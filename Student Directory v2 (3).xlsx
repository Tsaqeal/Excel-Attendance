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dEnroll" sheetId="1" r:id="rId4"/>
    <sheet state="visible" name="StudentTracker" sheetId="2" r:id="rId5"/>
    <sheet state="visible" name="Detail2-Good-Maths1" sheetId="3" r:id="rId6"/>
    <sheet state="visible" name="Detail1-Good-Physics1" sheetId="4" r:id="rId7"/>
    <sheet state="visible" name="Physics1.DailyAttendance" sheetId="5" r:id="rId8"/>
    <sheet state="visible" name="Maths1.DailyAttendance" sheetId="6" r:id="rId9"/>
    <sheet state="visible" name="StudentAssignments" sheetId="7" r:id="rId10"/>
    <sheet state="visible" name="Certificate Score" sheetId="8" r:id="rId11"/>
    <sheet state="visible" name="Sheet1" sheetId="9" r:id="rId12"/>
  </sheets>
  <definedNames>
    <definedName hidden="1" localSheetId="1" name="_xlnm._FilterDatabase">StudentTracker!$A$1:$S$27</definedName>
    <definedName hidden="1" localSheetId="6" name="_xlnm._FilterDatabase">StudentAssignments!$A$1:$G$27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<sst xmlns="http://schemas.openxmlformats.org/spreadsheetml/2006/main" count="782" uniqueCount="120">
  <si>
    <t>Name</t>
  </si>
  <si>
    <t>Surname</t>
  </si>
  <si>
    <t>email</t>
  </si>
  <si>
    <t>Class</t>
  </si>
  <si>
    <t>John</t>
  </si>
  <si>
    <t>Makaron</t>
  </si>
  <si>
    <t>Physics1</t>
  </si>
  <si>
    <t>Elvis</t>
  </si>
  <si>
    <t>Bond</t>
  </si>
  <si>
    <t>Maths1</t>
  </si>
  <si>
    <t>Mary</t>
  </si>
  <si>
    <t>Gas</t>
  </si>
  <si>
    <t>Olivia</t>
  </si>
  <si>
    <t>Matt</t>
  </si>
  <si>
    <t>Robert</t>
  </si>
  <si>
    <t>Hus</t>
  </si>
  <si>
    <t>Omar</t>
  </si>
  <si>
    <t>Kasim</t>
  </si>
  <si>
    <t>Diana</t>
  </si>
  <si>
    <t>Pinto</t>
  </si>
  <si>
    <t>Denis</t>
  </si>
  <si>
    <t>Rodman</t>
  </si>
  <si>
    <t>Kate</t>
  </si>
  <si>
    <t>Potter</t>
  </si>
  <si>
    <t>Manny</t>
  </si>
  <si>
    <t>Pac</t>
  </si>
  <si>
    <t>Katy</t>
  </si>
  <si>
    <t>Perri</t>
  </si>
  <si>
    <t>Antony</t>
  </si>
  <si>
    <t>Ward</t>
  </si>
  <si>
    <t>Billy</t>
  </si>
  <si>
    <t>Sane</t>
  </si>
  <si>
    <t>Ronald</t>
  </si>
  <si>
    <t>Connan</t>
  </si>
  <si>
    <t>Baderas</t>
  </si>
  <si>
    <t>Dennis</t>
  </si>
  <si>
    <t>Menace</t>
  </si>
  <si>
    <t>Pape</t>
  </si>
  <si>
    <t>RonaldPape@gmail.com</t>
  </si>
  <si>
    <t>Walid</t>
  </si>
  <si>
    <t>Matip</t>
  </si>
  <si>
    <t>Donna</t>
  </si>
  <si>
    <t>Corleone</t>
  </si>
  <si>
    <t>Dustin</t>
  </si>
  <si>
    <t>Boier</t>
  </si>
  <si>
    <t>Lana</t>
  </si>
  <si>
    <t>Andie</t>
  </si>
  <si>
    <t>Anna</t>
  </si>
  <si>
    <t>Tsakiris</t>
  </si>
  <si>
    <t>Neto</t>
  </si>
  <si>
    <t>Juninhio</t>
  </si>
  <si>
    <t>Andres</t>
  </si>
  <si>
    <t>Iniesti</t>
  </si>
  <si>
    <t>Attendance</t>
  </si>
  <si>
    <t>1st test score</t>
  </si>
  <si>
    <t>2nd test score</t>
  </si>
  <si>
    <t>Final Project Completed</t>
  </si>
  <si>
    <t>Certificate Grade</t>
  </si>
  <si>
    <t>Classes</t>
  </si>
  <si>
    <t>Learners Count</t>
  </si>
  <si>
    <t>Grand Total</t>
  </si>
  <si>
    <t>Fail</t>
  </si>
  <si>
    <t>Good</t>
  </si>
  <si>
    <t>Excellent</t>
  </si>
  <si>
    <t>OmarKasim@gmail.com</t>
  </si>
  <si>
    <t>Yes</t>
  </si>
  <si>
    <t>JohnBaderas@gmail.com</t>
  </si>
  <si>
    <t>RonaldConnan@gmail.com</t>
  </si>
  <si>
    <t>MaryConnan@gmail.com</t>
  </si>
  <si>
    <t>MannyPac@gmail.com</t>
  </si>
  <si>
    <t>BillySane@gmail.com</t>
  </si>
  <si>
    <t>AnnaTsakiris@gmail.com</t>
  </si>
  <si>
    <t>Week1 Day1</t>
  </si>
  <si>
    <t>Week1 Day2</t>
  </si>
  <si>
    <t>Week1 Day3</t>
  </si>
  <si>
    <t>Week1 Day4</t>
  </si>
  <si>
    <t>Week1 Day5</t>
  </si>
  <si>
    <t>Week2 Day1</t>
  </si>
  <si>
    <t>Week2 Day2</t>
  </si>
  <si>
    <t>Week2 Day3</t>
  </si>
  <si>
    <t>Week2 Day4</t>
  </si>
  <si>
    <t>Week2 Day5</t>
  </si>
  <si>
    <t>Week1 Attendance</t>
  </si>
  <si>
    <t>Week2 Attendance</t>
  </si>
  <si>
    <t>1st Projoct Score</t>
  </si>
  <si>
    <t>2nd Project Score</t>
  </si>
  <si>
    <t>Overall Attendance</t>
  </si>
  <si>
    <t>P</t>
  </si>
  <si>
    <t>A</t>
  </si>
  <si>
    <t>No</t>
  </si>
  <si>
    <t>1st Project Score</t>
  </si>
  <si>
    <t>p</t>
  </si>
  <si>
    <t>Final Assignment</t>
  </si>
  <si>
    <t>Status</t>
  </si>
  <si>
    <t xml:space="preserve">Certification Score </t>
  </si>
  <si>
    <t>Percentage</t>
  </si>
  <si>
    <t xml:space="preserve">Attendance </t>
  </si>
  <si>
    <t>Test1</t>
  </si>
  <si>
    <t>Test2</t>
  </si>
  <si>
    <t>Final assignment</t>
  </si>
  <si>
    <t xml:space="preserve">Overall </t>
  </si>
  <si>
    <t xml:space="preserve">Score to pass </t>
  </si>
  <si>
    <t>&gt;=70</t>
  </si>
  <si>
    <t>Score Good</t>
  </si>
  <si>
    <t>&gt;70&lt;85</t>
  </si>
  <si>
    <t>Score Excellent</t>
  </si>
  <si>
    <t>&gt;85</t>
  </si>
  <si>
    <t>1d</t>
  </si>
  <si>
    <t xml:space="preserve">Week1 </t>
  </si>
  <si>
    <t xml:space="preserve">Week2 </t>
  </si>
  <si>
    <t xml:space="preserve">Week3 </t>
  </si>
  <si>
    <t xml:space="preserve">Week4 </t>
  </si>
  <si>
    <t xml:space="preserve">Week5 </t>
  </si>
  <si>
    <t>JohnMakaron@gmail.com</t>
  </si>
  <si>
    <t>OliviaMatt@gmail.com</t>
  </si>
  <si>
    <t>DianaPinto@gmail.com</t>
  </si>
  <si>
    <t>KatePotter@gmail.com</t>
  </si>
  <si>
    <t>KatyPerri@gmail.com</t>
  </si>
  <si>
    <t>AntonyWard@gmail.com</t>
  </si>
  <si>
    <t>NetoJuninhio@gmail.com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</si>
</sst>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ptos Narrow"/>
    </font>
    <font>
      <sz val="12.0"/>
      <color theme="1"/>
      <name val="Aptos Narrow"/>
      <scheme val="minor"/>
    </font>
    <font>
      <color theme="1"/>
      <name val="Arial"/>
    </font>
    <font>
      <b/>
      <color rgb="FFFFFFFF"/>
      <name val="Aptos Narrow"/>
      <scheme val="minor"/>
    </font>
    <font>
      <sz val="20.0"/>
      <color theme="1"/>
      <name val="Aptos Narrow"/>
    </font>
    <font>
      <b/>
      <sz val="14.0"/>
      <color theme="1"/>
      <name val="Aptos Narrow"/>
    </font>
    <font>
      <b/>
      <sz val="12.0"/>
      <color theme="1"/>
      <name val="Arial"/>
    </font>
    <font>
      <b/>
      <sz val="12.0"/>
      <color theme="1"/>
      <name val="Aptos Narrow"/>
    </font>
    <font/>
    <font>
      <b/>
      <color theme="1"/>
      <name val="Aptos Narrow"/>
      <scheme val="minor"/>
    </font>
    <font>
      <sz val="20.0"/>
      <color theme="6"/>
      <name val="Aptos Narrow"/>
    </font>
    <font>
      <sz val="14.0"/>
      <color theme="1"/>
      <name val="Aptos Narrow"/>
    </font>
    <font>
      <sz val="12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14.0"/>
      <color theme="0"/>
      <name val="Aptos Narrow"/>
    </font>
  </fonts>
  <fills count="1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AE2D5"/>
        <bgColor rgb="FFFAE2D5"/>
      </patternFill>
    </fill>
    <fill>
      <patternFill patternType="solid">
        <fgColor rgb="FFA6C9EB"/>
        <bgColor rgb="FFA6C9EB"/>
      </patternFill>
    </fill>
    <fill>
      <patternFill patternType="solid">
        <fgColor rgb="FFD0D0D0"/>
        <bgColor rgb="FFD0D0D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5C6AC"/>
        <bgColor rgb="FFF5C6AC"/>
      </patternFill>
    </fill>
    <fill>
      <patternFill patternType="solid">
        <fgColor rgb="FFDBE9F7"/>
        <bgColor rgb="FFDBE9F7"/>
      </patternFill>
    </fill>
    <fill>
      <patternFill patternType="solid">
        <fgColor rgb="FFFFFFB3"/>
        <bgColor rgb="FFFFFFB3"/>
      </patternFill>
    </fill>
    <fill>
      <patternFill patternType="solid">
        <fgColor rgb="FFF1CEEE"/>
        <bgColor rgb="FFF1CEEE"/>
      </patternFill>
    </fill>
    <fill>
      <patternFill patternType="solid">
        <fgColor theme="9"/>
        <bgColor theme="9"/>
      </patternFill>
    </fill>
  </fills>
  <borders count="31">
    <border/>
    <border>
      <left/>
      <right/>
      <top/>
      <bottom/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/>
      <right/>
      <top/>
    </border>
    <border>
      <lef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/>
      <bottom/>
    </border>
    <border>
      <left/>
      <right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top/>
      <bottom/>
    </border>
    <border>
      <left style="thin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3" numFmtId="0" xfId="0" applyAlignment="1" applyBorder="1" applyFont="1">
      <alignment readingOrder="0"/>
    </xf>
    <xf borderId="0" fillId="2" fontId="1" numFmtId="0" xfId="0" applyFont="1"/>
    <xf borderId="0" fillId="0" fontId="4" numFmtId="10" xfId="0" applyFont="1" applyNumberFormat="1"/>
    <xf borderId="0" fillId="3" fontId="5" numFmtId="0" xfId="0" applyFill="1" applyFont="1"/>
    <xf borderId="0" fillId="4" fontId="5" numFmtId="0" xfId="0" applyFill="1" applyFont="1"/>
    <xf borderId="0" fillId="0" fontId="6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10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8" fillId="5" fontId="8" numFmtId="0" xfId="0" applyAlignment="1" applyBorder="1" applyFill="1" applyFont="1">
      <alignment horizontal="center" textRotation="255" vertical="top"/>
    </xf>
    <xf borderId="1" fillId="2" fontId="9" numFmtId="0" xfId="0" applyAlignment="1" applyBorder="1" applyFont="1">
      <alignment horizontal="center" shrinkToFit="0" wrapText="1"/>
    </xf>
    <xf borderId="9" fillId="2" fontId="9" numFmtId="0" xfId="0" applyAlignment="1" applyBorder="1" applyFont="1">
      <alignment horizontal="center" shrinkToFit="0" wrapText="1"/>
    </xf>
    <xf borderId="10" fillId="2" fontId="10" numFmtId="0" xfId="0" applyAlignment="1" applyBorder="1" applyFont="1">
      <alignment horizontal="center" readingOrder="0" shrinkToFit="0" wrapText="1"/>
    </xf>
    <xf borderId="11" fillId="2" fontId="10" numFmtId="0" xfId="0" applyAlignment="1" applyBorder="1" applyFont="1">
      <alignment horizontal="center" readingOrder="0" shrinkToFit="0" wrapText="1"/>
    </xf>
    <xf borderId="12" fillId="2" fontId="10" numFmtId="0" xfId="0" applyAlignment="1" applyBorder="1" applyFont="1">
      <alignment horizontal="center" readingOrder="0" shrinkToFit="0" wrapText="1"/>
    </xf>
    <xf borderId="13" fillId="2" fontId="11" numFmtId="0" xfId="0" applyAlignment="1" applyBorder="1" applyFont="1">
      <alignment horizontal="center" shrinkToFit="0" wrapText="1"/>
    </xf>
    <xf borderId="1" fillId="2" fontId="10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14" fillId="0" fontId="1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4" numFmtId="10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13" numFmtId="10" xfId="0" applyFont="1" applyNumberFormat="1"/>
    <xf borderId="16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0" fillId="0" fontId="13" numFmtId="0" xfId="0" applyFont="1"/>
    <xf borderId="20" fillId="0" fontId="12" numFmtId="0" xfId="0" applyBorder="1" applyFont="1"/>
    <xf borderId="1" fillId="5" fontId="8" numFmtId="0" xfId="0" applyBorder="1" applyFont="1"/>
    <xf borderId="8" fillId="6" fontId="14" numFmtId="0" xfId="0" applyAlignment="1" applyBorder="1" applyFill="1" applyFont="1">
      <alignment horizontal="center" textRotation="255" vertical="center"/>
    </xf>
    <xf borderId="1" fillId="7" fontId="9" numFmtId="0" xfId="0" applyAlignment="1" applyBorder="1" applyFill="1" applyFont="1">
      <alignment horizontal="center" shrinkToFit="0" wrapText="1"/>
    </xf>
    <xf borderId="9" fillId="7" fontId="15" numFmtId="0" xfId="0" applyAlignment="1" applyBorder="1" applyFont="1">
      <alignment horizontal="center" shrinkToFit="0" wrapText="1"/>
    </xf>
    <xf borderId="10" fillId="8" fontId="16" numFmtId="0" xfId="0" applyAlignment="1" applyBorder="1" applyFill="1" applyFont="1">
      <alignment horizontal="left" readingOrder="0" shrinkToFit="0" wrapText="1"/>
    </xf>
    <xf borderId="11" fillId="8" fontId="16" numFmtId="0" xfId="0" applyAlignment="1" applyBorder="1" applyFont="1">
      <alignment horizontal="left" readingOrder="0" shrinkToFit="0" wrapText="1"/>
    </xf>
    <xf borderId="12" fillId="8" fontId="16" numFmtId="0" xfId="0" applyAlignment="1" applyBorder="1" applyFont="1">
      <alignment horizontal="left" readingOrder="0" shrinkToFit="0" wrapText="1"/>
    </xf>
    <xf borderId="13" fillId="9" fontId="9" numFmtId="0" xfId="0" applyAlignment="1" applyBorder="1" applyFill="1" applyFont="1">
      <alignment horizontal="left" shrinkToFit="0" wrapText="1"/>
    </xf>
    <xf borderId="1" fillId="9" fontId="17" numFmtId="0" xfId="0" applyAlignment="1" applyBorder="1" applyFont="1">
      <alignment horizontal="left" readingOrder="0" shrinkToFit="0" wrapText="1"/>
    </xf>
    <xf borderId="16" fillId="10" fontId="18" numFmtId="0" xfId="0" applyAlignment="1" applyBorder="1" applyFill="1" applyFont="1">
      <alignment readingOrder="0"/>
    </xf>
    <xf borderId="0" fillId="9" fontId="4" numFmtId="10" xfId="0" applyFont="1" applyNumberFormat="1"/>
    <xf borderId="0" fillId="0" fontId="2" numFmtId="10" xfId="0" applyFont="1" applyNumberFormat="1"/>
    <xf borderId="18" fillId="0" fontId="6" numFmtId="0" xfId="0" applyAlignment="1" applyBorder="1" applyFont="1">
      <alignment readingOrder="0"/>
    </xf>
    <xf borderId="19" fillId="10" fontId="18" numFmtId="0" xfId="0" applyAlignment="1" applyBorder="1" applyFont="1">
      <alignment readingOrder="0"/>
    </xf>
    <xf borderId="1" fillId="6" fontId="4" numFmtId="0" xfId="0" applyBorder="1" applyFont="1"/>
    <xf borderId="0" fillId="10" fontId="2" numFmtId="0" xfId="0" applyFont="1"/>
    <xf borderId="0" fillId="0" fontId="1" numFmtId="0" xfId="0" applyFont="1"/>
    <xf borderId="9" fillId="11" fontId="19" numFmtId="0" xfId="0" applyAlignment="1" applyBorder="1" applyFill="1" applyFont="1">
      <alignment horizontal="center"/>
    </xf>
    <xf borderId="21" fillId="0" fontId="12" numFmtId="0" xfId="0" applyBorder="1" applyFont="1"/>
    <xf borderId="13" fillId="0" fontId="12" numFmtId="0" xfId="0" applyBorder="1" applyFont="1"/>
    <xf borderId="1" fillId="11" fontId="4" numFmtId="0" xfId="0" applyBorder="1" applyFont="1"/>
    <xf borderId="10" fillId="12" fontId="15" numFmtId="0" xfId="0" applyBorder="1" applyFill="1" applyFont="1"/>
    <xf borderId="11" fillId="12" fontId="15" numFmtId="0" xfId="0" applyBorder="1" applyFont="1"/>
    <xf borderId="12" fillId="12" fontId="15" numFmtId="0" xfId="0" applyAlignment="1" applyBorder="1" applyFont="1">
      <alignment horizontal="center"/>
    </xf>
    <xf borderId="22" fillId="12" fontId="15" numFmtId="0" xfId="0" applyBorder="1" applyFont="1"/>
    <xf borderId="23" fillId="12" fontId="15" numFmtId="0" xfId="0" applyBorder="1" applyFont="1"/>
    <xf borderId="24" fillId="12" fontId="15" numFmtId="0" xfId="0" applyAlignment="1" applyBorder="1" applyFont="1">
      <alignment horizontal="center"/>
    </xf>
    <xf borderId="25" fillId="12" fontId="15" numFmtId="0" xfId="0" applyBorder="1" applyFont="1"/>
    <xf borderId="26" fillId="12" fontId="15" numFmtId="0" xfId="0" applyBorder="1" applyFont="1"/>
    <xf borderId="27" fillId="12" fontId="15" numFmtId="0" xfId="0" applyAlignment="1" applyBorder="1" applyFont="1">
      <alignment horizontal="center"/>
    </xf>
    <xf borderId="28" fillId="12" fontId="9" numFmtId="0" xfId="0" applyBorder="1" applyFont="1"/>
    <xf borderId="29" fillId="12" fontId="15" numFmtId="0" xfId="0" applyBorder="1" applyFont="1"/>
    <xf borderId="30" fillId="12" fontId="15" numFmtId="0" xfId="0" applyAlignment="1" applyBorder="1" applyFont="1">
      <alignment horizontal="center"/>
    </xf>
    <xf borderId="1" fillId="13" fontId="4" numFmtId="0" xfId="0" applyBorder="1" applyFill="1" applyFont="1"/>
    <xf borderId="1" fillId="13" fontId="4" numFmtId="0" xfId="0" applyAlignment="1" applyBorder="1" applyFont="1">
      <alignment horizontal="center"/>
    </xf>
    <xf borderId="1" fillId="14" fontId="4" numFmtId="0" xfId="0" applyBorder="1" applyFill="1" applyFont="1"/>
    <xf borderId="1" fillId="14" fontId="4" numFmtId="0" xfId="0" applyAlignment="1" applyBorder="1" applyFont="1">
      <alignment horizontal="center"/>
    </xf>
    <xf borderId="1" fillId="15" fontId="4" numFmtId="0" xfId="0" applyBorder="1" applyFill="1" applyFont="1"/>
    <xf borderId="1" fillId="15" fontId="4" numFmtId="0" xfId="0" applyAlignment="1" applyBorder="1" applyFont="1">
      <alignment horizontal="center"/>
    </xf>
    <xf borderId="0" fillId="0" fontId="2" numFmtId="0" xfId="0" applyFont="1"/>
    <xf borderId="0" fillId="0" fontId="1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8" numFmtId="10" xfId="0" applyAlignment="1" applyFont="1" applyNumberFormat="1">
      <alignment readingOrder="0"/>
    </xf>
  </cellXfs>
  <cellStyles count="1">
    <cellStyle xfId="0" name="Normal" builtinId="0"/>
  </cellStyles>
  <dxfs count="10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2">
    <tableStyle count="3" pivot="0" name="Detail2-Good-Maths1-style">
      <tableStyleElement dxfId="6" type="headerRow"/>
      <tableStyleElement dxfId="7" type="firstRowStripe"/>
      <tableStyleElement dxfId="8" type="secondRowStripe"/>
    </tableStyle>
    <tableStyle count="3" pivot="0" name="Detail1-Good-Physics1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9525</xdr:rowOff>
    </xdr:from>
    <xdr:ext cx="13477875" cy="584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7" sheet="StudentTracker"/>
  </cacheSource>
  <cacheFields>
    <cacheField name="Name" numFmtId="0">
      <sharedItems>
        <s v="John"/>
        <s v="Elvis"/>
        <s v="Mary"/>
        <s v="Olivia"/>
        <s v="Robert"/>
        <s v="Omar"/>
        <s v="Diana"/>
        <s v="Denis"/>
        <s v="Kate"/>
        <s v="Manny"/>
        <s v="Katy"/>
        <s v="Antony"/>
        <s v="Billy"/>
        <s v="Ronald"/>
        <s v="Dennis"/>
        <s v="Walid"/>
        <s v="Donna"/>
        <s v="Dustin"/>
        <s v="Lana"/>
        <s v="Anna"/>
        <s v="Neto"/>
        <s v="Andres"/>
      </sharedItems>
    </cacheField>
    <cacheField name="Surname" numFmtId="0">
      <sharedItems>
        <s v="Makaron"/>
        <s v="Bond"/>
        <s v="Gas"/>
        <s v="Matt"/>
        <s v="Hus"/>
        <s v="Kasim"/>
        <s v="Pinto"/>
        <s v="Rodman"/>
        <s v="Potter"/>
        <s v="Pac"/>
        <s v="Perri"/>
        <s v="Ward"/>
        <s v="Sane"/>
        <s v="Connan"/>
        <s v="Baderas"/>
        <s v="Menace"/>
        <s v="Pape"/>
        <s v="Matip"/>
        <s v="Corleone"/>
        <s v="Boier"/>
        <s v="Andie"/>
        <s v="Tsakiris"/>
        <s v="Juninhio"/>
        <s v="Iniesti"/>
      </sharedItems>
    </cacheField>
    <cacheField name="email" numFmtId="0">
      <sharedItems>
        <s v="JohnMakaron@gmail.com"/>
        <s v="ElvisBond@gmail.com"/>
        <s v="MaryGas@gmail.com"/>
        <s v="OliviaMatt@gmail.com"/>
        <s v="RobertHus@gmail.com"/>
        <s v="OmarKasim@gmail.com"/>
        <s v="DianaPinto@gmail.com"/>
        <s v="DenisRodman@gmail.com"/>
        <s v="KatePotter@gmail.com"/>
        <s v="MannyPac@gmail.com"/>
        <s v="KatyPerri@gmail.com"/>
        <s v="AntonyWard@gmail.com"/>
        <s v="BillySane@gmail.com"/>
        <s v="RonaldConnan@gmail.com"/>
        <s v="JohnBaderas@gmail.com"/>
        <s v="DennisMenace@gmail.com"/>
        <s v="RonaldPape@gmail.com"/>
        <s v="WalidMatip@gmail.com"/>
        <s v="DonnaCorleone@gmail.com"/>
        <s v="MaryConnan@gmail.com"/>
        <s v="DustinBoier@gmail.com"/>
        <s v="LanaAndie@gmail.com"/>
        <s v="AnnaTsakiris@gmail.com"/>
        <s v="NetoJuninhio@gmail.com"/>
        <s v="AndresIniesti@gmail.com"/>
      </sharedItems>
    </cacheField>
    <cacheField name="Class" numFmtId="0">
      <sharedItems>
        <s v="Physics1"/>
        <s v="Maths1"/>
      </sharedItems>
    </cacheField>
    <cacheField name="Attendance" numFmtId="10">
      <sharedItems containsSemiMixedTypes="0" containsString="0" containsNumber="1">
        <n v="0.8"/>
        <n v="1.0"/>
        <n v="0.4"/>
        <n v="0.6"/>
        <n v="0.0"/>
      </sharedItems>
    </cacheField>
    <cacheField name="1st test score" numFmtId="0">
      <sharedItems containsSemiMixedTypes="0" containsString="0" containsNumber="1" containsInteger="1">
        <n v="85.0"/>
        <n v="96.0"/>
        <n v="55.0"/>
        <n v="88.0"/>
        <n v="81.0"/>
        <n v="77.0"/>
        <n v="69.0"/>
        <n v="80.0"/>
        <n v="100.0"/>
        <n v="70.0"/>
        <n v="43.0"/>
        <n v="82.0"/>
        <n v="75.0"/>
        <n v="92.0"/>
        <n v="60.0"/>
        <n v="73.0"/>
        <n v="0.0"/>
        <n v="97.0"/>
        <n v="71.0"/>
        <n v="40.0"/>
        <n v="90.0"/>
      </sharedItems>
    </cacheField>
    <cacheField name="2nd test score" numFmtId="0">
      <sharedItems containsSemiMixedTypes="0" containsString="0" containsNumber="1" containsInteger="1">
        <n v="87.0"/>
        <n v="88.0"/>
        <n v="66.0"/>
        <n v="75.0"/>
        <n v="99.0"/>
        <n v="33.0"/>
        <n v="78.0"/>
        <n v="84.0"/>
        <n v="79.0"/>
        <n v="100.0"/>
        <n v="81.0"/>
        <n v="94.0"/>
        <n v="68.0"/>
        <n v="80.0"/>
        <n v="90.0"/>
        <n v="91.0"/>
        <n v="37.0"/>
      </sharedItems>
    </cacheField>
    <cacheField name="Final Project Completed" numFmtId="0">
      <sharedItems>
        <s v="Yes"/>
        <s v="No"/>
      </sharedItems>
    </cacheField>
    <cacheField name="Certificate Grade" numFmtId="0">
      <sharedItems>
        <s v="Excellent"/>
        <s v="Fail"/>
        <s v="Goo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udentTracker" cacheId="0" dataCaption="" compact="0" compactData="0">
  <location ref="M15:P20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ass" axis="axisCol" compact="0" outline="0" multipleItemSelectionAllowed="1" showAll="0" sortType="ascending">
      <items>
        <item x="1"/>
        <item x="0"/>
        <item t="default"/>
      </items>
    </pivotField>
    <pivotField name="Attendance" compact="0" numFmtId="10" outline="0" multipleItemSelectionAllowed="1" showAll="0">
      <items>
        <item x="0"/>
        <item x="1"/>
        <item x="2"/>
        <item x="3"/>
        <item x="4"/>
        <item t="default"/>
      </items>
    </pivotField>
    <pivotField name="1st test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2nd test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Final Project Completed" compact="0" outline="0" multipleItemSelectionAllowed="1" showAll="0">
      <items>
        <item x="0"/>
        <item x="1"/>
        <item t="default"/>
      </items>
    </pivotField>
    <pivotField name="Certificate Grade" axis="axisRow" dataField="1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  <reference field="3">
              <x v="0"/>
            </reference>
          </references>
        </pivotArea>
      </autoSortScope>
    </pivotField>
  </pivotFields>
  <rowFields>
    <field x="8"/>
  </rowFields>
  <colFields>
    <field x="3"/>
  </colFields>
  <dataFields>
    <dataField name="Learners Count" fld="8" subtotal="count" baseField="0"/>
  </dataFields>
</pivotTableDefinition>
</file>

<file path=xl/tables/table1.xml><?xml version="1.0" encoding="utf-8"?>
<table xmlns="http://schemas.openxmlformats.org/spreadsheetml/2006/main" ref="A1:I6" displayName="Table_1" name="Table_1" id="1">
  <tableColumns count="9">
    <tableColumn name="Name" id="1"/>
    <tableColumn name="Surname" id="2"/>
    <tableColumn name="email" id="3"/>
    <tableColumn name="Class" id="4"/>
    <tableColumn name="Attendance" id="5"/>
    <tableColumn name="1st test score" id="6"/>
    <tableColumn name="2nd test score" id="7"/>
    <tableColumn name="Final Project Completed" id="8"/>
    <tableColumn name="Certificate Grade" id="9"/>
  </tableColumns>
  <tableStyleInfo name="Detail2-Good-Maths1-style" showColumnStripes="0" showFirstColumn="1" showLastColumn="1" showRowStripes="1"/>
</table>
</file>

<file path=xl/tables/table2.xml><?xml version="1.0" encoding="utf-8"?>
<table xmlns="http://schemas.openxmlformats.org/spreadsheetml/2006/main" ref="A1:I5" displayName="Table_2" name="Table_2" id="2">
  <tableColumns count="9">
    <tableColumn name="Name" id="1"/>
    <tableColumn name="Surname" id="2"/>
    <tableColumn name="email" id="3"/>
    <tableColumn name="Class" id="4"/>
    <tableColumn name="Attendance" id="5"/>
    <tableColumn name="1st test score" id="6"/>
    <tableColumn name="2nd test score" id="7"/>
    <tableColumn name="Final Project Completed" id="8"/>
    <tableColumn name="Certificate Grade" id="9"/>
  </tableColumns>
  <tableStyleInfo name="Detail1-Good-Physics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88"/>
    <col customWidth="1" min="3" max="4" width="18.88"/>
    <col customWidth="1" min="5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tr">
        <f t="shared" ref="C2:C18" si="1">A2&amp;B2&amp;"@gmail.com"</f>
        <v>JohnMakaron@gmail.com</v>
      </c>
      <c r="D2" s="2" t="s">
        <v>6</v>
      </c>
    </row>
    <row r="3">
      <c r="A3" s="2" t="s">
        <v>7</v>
      </c>
      <c r="B3" s="2" t="s">
        <v>8</v>
      </c>
      <c r="C3" s="2" t="str">
        <f t="shared" si="1"/>
        <v>ElvisBond@gmail.com</v>
      </c>
      <c r="D3" s="2" t="s">
        <v>9</v>
      </c>
    </row>
    <row r="4">
      <c r="A4" s="2" t="s">
        <v>10</v>
      </c>
      <c r="B4" s="2" t="s">
        <v>11</v>
      </c>
      <c r="C4" s="2" t="str">
        <f t="shared" si="1"/>
        <v>MaryGas@gmail.com</v>
      </c>
      <c r="D4" s="2" t="s">
        <v>9</v>
      </c>
    </row>
    <row r="5">
      <c r="A5" s="2" t="s">
        <v>12</v>
      </c>
      <c r="B5" s="2" t="s">
        <v>13</v>
      </c>
      <c r="C5" s="2" t="str">
        <f t="shared" si="1"/>
        <v>OliviaMatt@gmail.com</v>
      </c>
      <c r="D5" s="2" t="s">
        <v>6</v>
      </c>
    </row>
    <row r="6">
      <c r="A6" s="2" t="s">
        <v>14</v>
      </c>
      <c r="B6" s="2" t="s">
        <v>15</v>
      </c>
      <c r="C6" s="2" t="str">
        <f t="shared" si="1"/>
        <v>RobertHus@gmail.com</v>
      </c>
      <c r="D6" s="2" t="s">
        <v>9</v>
      </c>
    </row>
    <row r="7">
      <c r="A7" s="2" t="s">
        <v>16</v>
      </c>
      <c r="B7" s="2" t="s">
        <v>17</v>
      </c>
      <c r="C7" s="2" t="str">
        <f t="shared" si="1"/>
        <v>OmarKasim@gmail.com</v>
      </c>
      <c r="D7" s="2" t="s">
        <v>9</v>
      </c>
    </row>
    <row r="8">
      <c r="A8" s="2" t="s">
        <v>18</v>
      </c>
      <c r="B8" s="2" t="s">
        <v>19</v>
      </c>
      <c r="C8" s="2" t="str">
        <f t="shared" si="1"/>
        <v>DianaPinto@gmail.com</v>
      </c>
      <c r="D8" s="2" t="s">
        <v>6</v>
      </c>
    </row>
    <row r="9">
      <c r="A9" s="2" t="s">
        <v>20</v>
      </c>
      <c r="B9" s="2" t="s">
        <v>21</v>
      </c>
      <c r="C9" s="2" t="str">
        <f t="shared" si="1"/>
        <v>DenisRodman@gmail.com</v>
      </c>
      <c r="D9" s="2" t="s">
        <v>9</v>
      </c>
    </row>
    <row r="10">
      <c r="A10" s="2" t="s">
        <v>22</v>
      </c>
      <c r="B10" s="2" t="s">
        <v>23</v>
      </c>
      <c r="C10" s="2" t="str">
        <f t="shared" si="1"/>
        <v>KatePotter@gmail.com</v>
      </c>
      <c r="D10" s="2" t="s">
        <v>6</v>
      </c>
    </row>
    <row r="11">
      <c r="A11" s="2" t="s">
        <v>24</v>
      </c>
      <c r="B11" s="2" t="s">
        <v>25</v>
      </c>
      <c r="C11" s="2" t="str">
        <f t="shared" si="1"/>
        <v>MannyPac@gmail.com</v>
      </c>
      <c r="D11" s="2" t="s">
        <v>6</v>
      </c>
    </row>
    <row r="12">
      <c r="A12" s="2" t="s">
        <v>26</v>
      </c>
      <c r="B12" s="2" t="s">
        <v>27</v>
      </c>
      <c r="C12" s="2" t="str">
        <f t="shared" si="1"/>
        <v>KatyPerri@gmail.com</v>
      </c>
      <c r="D12" s="2" t="s">
        <v>6</v>
      </c>
    </row>
    <row r="13">
      <c r="A13" s="2" t="s">
        <v>28</v>
      </c>
      <c r="B13" s="2" t="s">
        <v>29</v>
      </c>
      <c r="C13" s="2" t="str">
        <f t="shared" si="1"/>
        <v>AntonyWard@gmail.com</v>
      </c>
      <c r="D13" s="2" t="s">
        <v>6</v>
      </c>
    </row>
    <row r="14">
      <c r="A14" s="2" t="s">
        <v>30</v>
      </c>
      <c r="B14" s="2" t="s">
        <v>31</v>
      </c>
      <c r="C14" s="2" t="str">
        <f t="shared" si="1"/>
        <v>BillySane@gmail.com</v>
      </c>
      <c r="D14" s="2" t="s">
        <v>6</v>
      </c>
    </row>
    <row r="15">
      <c r="A15" s="2" t="s">
        <v>32</v>
      </c>
      <c r="B15" s="2" t="s">
        <v>33</v>
      </c>
      <c r="C15" s="2" t="str">
        <f t="shared" si="1"/>
        <v>RonaldConnan@gmail.com</v>
      </c>
      <c r="D15" s="2" t="s">
        <v>6</v>
      </c>
    </row>
    <row r="16">
      <c r="A16" s="2" t="s">
        <v>4</v>
      </c>
      <c r="B16" s="2" t="s">
        <v>34</v>
      </c>
      <c r="C16" s="2" t="str">
        <f t="shared" si="1"/>
        <v>JohnBaderas@gmail.com</v>
      </c>
      <c r="D16" s="2" t="s">
        <v>9</v>
      </c>
    </row>
    <row r="17">
      <c r="A17" s="2" t="s">
        <v>32</v>
      </c>
      <c r="B17" s="2" t="s">
        <v>33</v>
      </c>
      <c r="C17" s="2" t="str">
        <f t="shared" si="1"/>
        <v>RonaldConnan@gmail.com</v>
      </c>
      <c r="D17" s="2" t="s">
        <v>9</v>
      </c>
    </row>
    <row r="18">
      <c r="A18" s="2" t="s">
        <v>35</v>
      </c>
      <c r="B18" s="2" t="s">
        <v>36</v>
      </c>
      <c r="C18" s="2" t="str">
        <f t="shared" si="1"/>
        <v>DennisMenace@gmail.com</v>
      </c>
      <c r="D18" s="2" t="s">
        <v>9</v>
      </c>
    </row>
    <row r="19">
      <c r="A19" s="2" t="s">
        <v>32</v>
      </c>
      <c r="B19" s="2" t="s">
        <v>37</v>
      </c>
      <c r="C19" s="2" t="s">
        <v>38</v>
      </c>
      <c r="D19" s="2" t="s">
        <v>9</v>
      </c>
    </row>
    <row r="20">
      <c r="A20" s="2" t="s">
        <v>39</v>
      </c>
      <c r="B20" s="2" t="s">
        <v>40</v>
      </c>
      <c r="C20" s="2" t="str">
        <f t="shared" ref="C20:C27" si="2">A20&amp;B20&amp;"@gmail.com"</f>
        <v>WalidMatip@gmail.com</v>
      </c>
      <c r="D20" s="2" t="s">
        <v>9</v>
      </c>
    </row>
    <row r="21" ht="15.75" customHeight="1">
      <c r="A21" s="2" t="s">
        <v>41</v>
      </c>
      <c r="B21" s="2" t="s">
        <v>42</v>
      </c>
      <c r="C21" s="2" t="str">
        <f t="shared" si="2"/>
        <v>DonnaCorleone@gmail.com</v>
      </c>
      <c r="D21" s="2" t="s">
        <v>9</v>
      </c>
    </row>
    <row r="22" ht="15.75" customHeight="1">
      <c r="A22" s="2" t="s">
        <v>10</v>
      </c>
      <c r="B22" s="2" t="s">
        <v>33</v>
      </c>
      <c r="C22" s="2" t="str">
        <f t="shared" si="2"/>
        <v>MaryConnan@gmail.com</v>
      </c>
      <c r="D22" s="2" t="s">
        <v>9</v>
      </c>
    </row>
    <row r="23" ht="15.75" customHeight="1">
      <c r="A23" s="2" t="s">
        <v>43</v>
      </c>
      <c r="B23" s="2" t="s">
        <v>44</v>
      </c>
      <c r="C23" s="2" t="str">
        <f t="shared" si="2"/>
        <v>DustinBoier@gmail.com</v>
      </c>
      <c r="D23" s="2" t="s">
        <v>9</v>
      </c>
    </row>
    <row r="24" ht="15.75" customHeight="1">
      <c r="A24" s="2" t="s">
        <v>45</v>
      </c>
      <c r="B24" s="2" t="s">
        <v>46</v>
      </c>
      <c r="C24" s="2" t="str">
        <f t="shared" si="2"/>
        <v>LanaAndie@gmail.com</v>
      </c>
      <c r="D24" s="2" t="s">
        <v>9</v>
      </c>
    </row>
    <row r="25" ht="15.75" customHeight="1">
      <c r="A25" s="2" t="s">
        <v>47</v>
      </c>
      <c r="B25" s="2" t="s">
        <v>48</v>
      </c>
      <c r="C25" s="2" t="str">
        <f t="shared" si="2"/>
        <v>AnnaTsakiris@gmail.com</v>
      </c>
      <c r="D25" s="2" t="s">
        <v>6</v>
      </c>
    </row>
    <row r="26" ht="15.75" customHeight="1">
      <c r="A26" s="2" t="s">
        <v>49</v>
      </c>
      <c r="B26" s="2" t="s">
        <v>50</v>
      </c>
      <c r="C26" s="2" t="str">
        <f t="shared" si="2"/>
        <v>NetoJuninhio@gmail.com</v>
      </c>
      <c r="D26" s="2" t="s">
        <v>6</v>
      </c>
    </row>
    <row r="27" ht="15.75" customHeight="1">
      <c r="A27" s="2" t="s">
        <v>51</v>
      </c>
      <c r="B27" s="2" t="s">
        <v>52</v>
      </c>
      <c r="C27" s="2" t="str">
        <f t="shared" si="2"/>
        <v>AndresIniesti@gmail.com</v>
      </c>
      <c r="D27" s="2" t="s">
        <v>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0.13"/>
    <col customWidth="1" min="3" max="3" width="22.75"/>
    <col customWidth="1" min="4" max="4" width="16.25"/>
    <col customWidth="1" min="5" max="5" width="11.75"/>
    <col customWidth="1" min="6" max="6" width="11.5"/>
    <col customWidth="1" min="7" max="7" width="12.75"/>
    <col customWidth="1" min="8" max="8" width="6.25"/>
    <col customWidth="1" min="9" max="9" width="17.88"/>
    <col customWidth="1" min="10" max="11" width="7.63"/>
    <col customWidth="1" min="12" max="12" width="9.13"/>
    <col customWidth="1" min="13" max="13" width="16.75"/>
    <col customWidth="1" min="14" max="14" width="24.0"/>
    <col customWidth="1" min="15" max="15" width="16.75"/>
    <col customWidth="1" min="16" max="49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54</v>
      </c>
      <c r="G1" s="1" t="s">
        <v>55</v>
      </c>
      <c r="H1" s="3" t="s">
        <v>56</v>
      </c>
      <c r="I1" s="3" t="s">
        <v>57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2" t="s">
        <v>4</v>
      </c>
      <c r="B2" s="2" t="s">
        <v>5</v>
      </c>
      <c r="C2" s="2" t="str">
        <f>StudendEnroll!C2</f>
        <v>JohnMakaron@gmail.com</v>
      </c>
      <c r="D2" s="2" t="s">
        <v>6</v>
      </c>
      <c r="E2" s="5">
        <f t="array" ref="E2">IF(D2=$O$3,(XLOOKUP(C2,Physics1.DailyAttendance!$D$2:$D$12,Physics1.DailyAttendance!$U$2:$U$12)),XLOOKUP(C2,Maths1.DailyAttendance!$D$2:$D$16,Maths1.DailyAttendance!$P$2:$P$16))</f>
        <v>0.8</v>
      </c>
      <c r="F2" s="2">
        <f t="array" ref="F2">XLOOKUP(C2,StudentAssignments!$C$2:$C$27,StudentAssignments!$E$2:$E$27)</f>
        <v>85</v>
      </c>
      <c r="G2" s="2">
        <f t="array" ref="G2">XLOOKUP(C2,StudentAssignments!$C$2:$C$27,StudentAssignments!$F$2:$F$27)</f>
        <v>87</v>
      </c>
      <c r="H2" s="2" t="str">
        <f t="array" ref="H2">XLOOKUP(C2,StudentAssignments!$C$2:$C$27,StudentAssignments!$G$2:$G$27)</f>
        <v>Yes</v>
      </c>
      <c r="I2" s="2" t="str">
        <f t="array" ref="I2">XLOOKUP(StudentTracker!C2,'Certificate Score'!$C$2:$C$27,'Certificate Score'!$J$2:$J$27)</f>
        <v>Excellent</v>
      </c>
      <c r="O2" s="6" t="s">
        <v>58</v>
      </c>
    </row>
    <row r="3">
      <c r="A3" s="2" t="s">
        <v>7</v>
      </c>
      <c r="B3" s="2" t="s">
        <v>8</v>
      </c>
      <c r="C3" s="2" t="str">
        <f>StudendEnroll!C3</f>
        <v>ElvisBond@gmail.com</v>
      </c>
      <c r="D3" s="2" t="s">
        <v>9</v>
      </c>
      <c r="E3" s="5">
        <f t="array" ref="E3">IF(D3=$O$3,(XLOOKUP(C3,Physics1.DailyAttendance!$D$2:$D$12,Physics1.DailyAttendance!$U$2:$U$12)),XLOOKUP(C3,Maths1.DailyAttendance!$D$2:$D$16,Maths1.DailyAttendance!$P$2:$P$16))</f>
        <v>1</v>
      </c>
      <c r="F3" s="2">
        <f t="array" ref="F3">XLOOKUP(C3,StudentAssignments!$C$2:$C$27,StudentAssignments!$E$2:$E$27)</f>
        <v>96</v>
      </c>
      <c r="G3" s="2">
        <f t="array" ref="G3">XLOOKUP(C3,StudentAssignments!$C$2:$C$27,StudentAssignments!$F$2:$F$27)</f>
        <v>88</v>
      </c>
      <c r="H3" s="2" t="str">
        <f t="array" ref="H3">XLOOKUP(C3,StudentAssignments!$C$2:$C$27,StudentAssignments!$G$2:$G$27)</f>
        <v>Yes</v>
      </c>
      <c r="I3" s="2" t="str">
        <f t="array" ref="I3">XLOOKUP(StudentTracker!C3,'Certificate Score'!$C$2:$C$27,'Certificate Score'!$J$2:$J$27)</f>
        <v>Excellent</v>
      </c>
      <c r="O3" s="7" t="s">
        <v>6</v>
      </c>
    </row>
    <row r="4">
      <c r="A4" s="2" t="s">
        <v>10</v>
      </c>
      <c r="B4" s="2" t="s">
        <v>11</v>
      </c>
      <c r="C4" s="2" t="str">
        <f>StudendEnroll!C4</f>
        <v>MaryGas@gmail.com</v>
      </c>
      <c r="D4" s="2" t="s">
        <v>9</v>
      </c>
      <c r="E4" s="5">
        <f t="array" ref="E4">IF(D4=$O$3,(XLOOKUP(C4,Physics1.DailyAttendance!$D$2:$D$12,Physics1.DailyAttendance!$U$2:$U$12)),XLOOKUP(C4,Maths1.DailyAttendance!$D$2:$D$16,Maths1.DailyAttendance!$P$2:$P$16))</f>
        <v>1</v>
      </c>
      <c r="F4" s="2">
        <f t="array" ref="F4">XLOOKUP(C4,StudentAssignments!$C$2:$C$27,StudentAssignments!$E$2:$E$27)</f>
        <v>55</v>
      </c>
      <c r="G4" s="2">
        <f t="array" ref="G4">XLOOKUP(C4,StudentAssignments!$C$2:$C$27,StudentAssignments!$F$2:$F$27)</f>
        <v>66</v>
      </c>
      <c r="H4" s="2" t="str">
        <f t="array" ref="H4">XLOOKUP(C4,StudentAssignments!$C$2:$C$27,StudentAssignments!$G$2:$G$27)</f>
        <v>No</v>
      </c>
      <c r="I4" s="2" t="str">
        <f t="array" ref="I4">XLOOKUP(StudentTracker!C4,'Certificate Score'!$C$2:$C$27,'Certificate Score'!$J$2:$J$27)</f>
        <v>Fail</v>
      </c>
      <c r="O4" s="7" t="s">
        <v>9</v>
      </c>
    </row>
    <row r="5">
      <c r="A5" s="2" t="s">
        <v>12</v>
      </c>
      <c r="B5" s="2" t="s">
        <v>13</v>
      </c>
      <c r="C5" s="2" t="str">
        <f>StudendEnroll!C5</f>
        <v>OliviaMatt@gmail.com</v>
      </c>
      <c r="D5" s="2" t="s">
        <v>6</v>
      </c>
      <c r="E5" s="5">
        <f t="array" ref="E5">IF(D5=$O$3,(XLOOKUP(C5,Physics1.DailyAttendance!$D$2:$D$12,Physics1.DailyAttendance!$U$2:$U$12)),XLOOKUP(C5,Maths1.DailyAttendance!$D$2:$D$16,Maths1.DailyAttendance!$P$2:$P$16))</f>
        <v>0.8</v>
      </c>
      <c r="F5" s="2">
        <f t="array" ref="F5">XLOOKUP(C5,StudentAssignments!$C$2:$C$27,StudentAssignments!$E$2:$E$27)</f>
        <v>88</v>
      </c>
      <c r="G5" s="2">
        <f t="array" ref="G5">XLOOKUP(C5,StudentAssignments!$C$2:$C$27,StudentAssignments!$F$2:$F$27)</f>
        <v>75</v>
      </c>
      <c r="H5" s="2" t="str">
        <f t="array" ref="H5">XLOOKUP(C5,StudentAssignments!$C$2:$C$27,StudentAssignments!$G$2:$G$27)</f>
        <v>Yes</v>
      </c>
      <c r="I5" s="2" t="str">
        <f t="array" ref="I5">XLOOKUP(StudentTracker!C5,'Certificate Score'!$C$2:$C$27,'Certificate Score'!$J$2:$J$27)</f>
        <v>Excellent</v>
      </c>
    </row>
    <row r="6">
      <c r="A6" s="2" t="s">
        <v>14</v>
      </c>
      <c r="B6" s="2" t="s">
        <v>15</v>
      </c>
      <c r="C6" s="2" t="str">
        <f>StudendEnroll!C6</f>
        <v>RobertHus@gmail.com</v>
      </c>
      <c r="D6" s="2" t="s">
        <v>9</v>
      </c>
      <c r="E6" s="5">
        <f t="array" ref="E6">IF(D6=$O$3,(XLOOKUP(C6,Physics1.DailyAttendance!$D$2:$D$12,Physics1.DailyAttendance!$U$2:$U$12)),XLOOKUP(C6,Maths1.DailyAttendance!$D$2:$D$16,Maths1.DailyAttendance!$P$2:$P$16))</f>
        <v>1</v>
      </c>
      <c r="F6" s="2">
        <f t="array" ref="F6">XLOOKUP(C6,StudentAssignments!$C$2:$C$27,StudentAssignments!$E$2:$E$27)</f>
        <v>81</v>
      </c>
      <c r="G6" s="2">
        <f t="array" ref="G6">XLOOKUP(C6,StudentAssignments!$C$2:$C$27,StudentAssignments!$F$2:$F$27)</f>
        <v>99</v>
      </c>
      <c r="H6" s="2" t="str">
        <f t="array" ref="H6">XLOOKUP(C6,StudentAssignments!$C$2:$C$27,StudentAssignments!$G$2:$G$27)</f>
        <v>Yes</v>
      </c>
      <c r="I6" s="2" t="str">
        <f t="array" ref="I6">XLOOKUP(StudentTracker!C6,'Certificate Score'!$C$2:$C$27,'Certificate Score'!$J$2:$J$27)</f>
        <v>Excellent</v>
      </c>
    </row>
    <row r="7">
      <c r="A7" s="2" t="s">
        <v>16</v>
      </c>
      <c r="B7" s="2" t="s">
        <v>17</v>
      </c>
      <c r="C7" s="2" t="str">
        <f>StudendEnroll!C7</f>
        <v>OmarKasim@gmail.com</v>
      </c>
      <c r="D7" s="2" t="s">
        <v>9</v>
      </c>
      <c r="E7" s="5">
        <f t="array" ref="E7">IF(D7=$O$3,(XLOOKUP(C7,Physics1.DailyAttendance!$D$2:$D$12,Physics1.DailyAttendance!$U$2:$U$12)),XLOOKUP(C7,Maths1.DailyAttendance!$D$2:$D$16,Maths1.DailyAttendance!$P$2:$P$16))</f>
        <v>0.4</v>
      </c>
      <c r="F7" s="2">
        <f t="array" ref="F7">XLOOKUP(C7,StudentAssignments!$C$2:$C$27,StudentAssignments!$E$2:$E$27)</f>
        <v>77</v>
      </c>
      <c r="G7" s="2">
        <f t="array" ref="G7">XLOOKUP(C7,StudentAssignments!$C$2:$C$27,StudentAssignments!$F$2:$F$27)</f>
        <v>87</v>
      </c>
      <c r="H7" s="2" t="str">
        <f t="array" ref="H7">XLOOKUP(C7,StudentAssignments!$C$2:$C$27,StudentAssignments!$G$2:$G$27)</f>
        <v>Yes</v>
      </c>
      <c r="I7" s="2" t="str">
        <f t="array" ref="I7">XLOOKUP(StudentTracker!C7,'Certificate Score'!$C$2:$C$27,'Certificate Score'!$J$2:$J$27)</f>
        <v>Good</v>
      </c>
    </row>
    <row r="8">
      <c r="A8" s="2" t="s">
        <v>18</v>
      </c>
      <c r="B8" s="2" t="s">
        <v>19</v>
      </c>
      <c r="C8" s="2" t="str">
        <f>StudendEnroll!C8</f>
        <v>DianaPinto@gmail.com</v>
      </c>
      <c r="D8" s="2" t="s">
        <v>6</v>
      </c>
      <c r="E8" s="5">
        <f t="array" ref="E8">IF(D8=$O$3,(XLOOKUP(C8,Physics1.DailyAttendance!$D$2:$D$12,Physics1.DailyAttendance!$U$2:$U$12)),XLOOKUP(C8,Maths1.DailyAttendance!$D$2:$D$16,Maths1.DailyAttendance!$P$2:$P$16))</f>
        <v>0.4</v>
      </c>
      <c r="F8" s="2">
        <f t="array" ref="F8">XLOOKUP(C8,StudentAssignments!$C$2:$C$27,StudentAssignments!$E$2:$E$27)</f>
        <v>69</v>
      </c>
      <c r="G8" s="2">
        <f t="array" ref="G8">XLOOKUP(C8,StudentAssignments!$C$2:$C$27,StudentAssignments!$F$2:$F$27)</f>
        <v>33</v>
      </c>
      <c r="H8" s="2" t="str">
        <f t="array" ref="H8">XLOOKUP(C8,StudentAssignments!$C$2:$C$27,StudentAssignments!$G$2:$G$27)</f>
        <v>Yes</v>
      </c>
      <c r="I8" s="2" t="str">
        <f t="array" ref="I8">XLOOKUP(StudentTracker!C8,'Certificate Score'!$C$2:$C$27,'Certificate Score'!$J$2:$J$27)</f>
        <v>Fail</v>
      </c>
    </row>
    <row r="9">
      <c r="A9" s="2" t="s">
        <v>20</v>
      </c>
      <c r="B9" s="2" t="s">
        <v>21</v>
      </c>
      <c r="C9" s="2" t="str">
        <f>StudendEnroll!C9</f>
        <v>DenisRodman@gmail.com</v>
      </c>
      <c r="D9" s="2" t="s">
        <v>9</v>
      </c>
      <c r="E9" s="5">
        <f t="array" ref="E9">IF(D9=$O$3,(XLOOKUP(C9,Physics1.DailyAttendance!$D$2:$D$12,Physics1.DailyAttendance!$U$2:$U$12)),XLOOKUP(C9,Maths1.DailyAttendance!$D$2:$D$16,Maths1.DailyAttendance!$P$2:$P$16))</f>
        <v>0.8</v>
      </c>
      <c r="F9" s="2">
        <f t="array" ref="F9">XLOOKUP(C9,StudentAssignments!$C$2:$C$27,StudentAssignments!$E$2:$E$27)</f>
        <v>80</v>
      </c>
      <c r="G9" s="2">
        <f t="array" ref="G9">XLOOKUP(C9,StudentAssignments!$C$2:$C$27,StudentAssignments!$F$2:$F$27)</f>
        <v>78</v>
      </c>
      <c r="H9" s="2" t="str">
        <f t="array" ref="H9">XLOOKUP(C9,StudentAssignments!$C$2:$C$27,StudentAssignments!$G$2:$G$27)</f>
        <v>Yes</v>
      </c>
      <c r="I9" s="2" t="str">
        <f t="array" ref="I9">XLOOKUP(StudentTracker!C9,'Certificate Score'!$C$2:$C$27,'Certificate Score'!$J$2:$J$27)</f>
        <v>Excellent</v>
      </c>
      <c r="L9" s="8"/>
    </row>
    <row r="10">
      <c r="A10" s="2" t="s">
        <v>22</v>
      </c>
      <c r="B10" s="2" t="s">
        <v>23</v>
      </c>
      <c r="C10" s="2" t="str">
        <f>StudendEnroll!C10</f>
        <v>KatePotter@gmail.com</v>
      </c>
      <c r="D10" s="2" t="s">
        <v>6</v>
      </c>
      <c r="E10" s="5">
        <f t="array" ref="E10">IF(D10=$O$3,(XLOOKUP(C10,Physics1.DailyAttendance!$D$2:$D$12,Physics1.DailyAttendance!$U$2:$U$12)),XLOOKUP(C10,Maths1.DailyAttendance!$D$2:$D$16,Maths1.DailyAttendance!$P$2:$P$16))</f>
        <v>1</v>
      </c>
      <c r="F10" s="2">
        <f t="array" ref="F10">XLOOKUP(C10,StudentAssignments!$C$2:$C$27,StudentAssignments!$E$2:$E$27)</f>
        <v>100</v>
      </c>
      <c r="G10" s="2">
        <f t="array" ref="G10">XLOOKUP(C10,StudentAssignments!$C$2:$C$27,StudentAssignments!$F$2:$F$27)</f>
        <v>84</v>
      </c>
      <c r="H10" s="2" t="str">
        <f t="array" ref="H10">XLOOKUP(C10,StudentAssignments!$C$2:$C$27,StudentAssignments!$G$2:$G$27)</f>
        <v>Yes</v>
      </c>
      <c r="I10" s="2" t="str">
        <f t="array" ref="I10">XLOOKUP(StudentTracker!C10,'Certificate Score'!$C$2:$C$27,'Certificate Score'!$J$2:$J$27)</f>
        <v>Excellent</v>
      </c>
      <c r="L10" s="8"/>
    </row>
    <row r="11">
      <c r="A11" s="2" t="s">
        <v>24</v>
      </c>
      <c r="B11" s="2" t="s">
        <v>25</v>
      </c>
      <c r="C11" s="2" t="str">
        <f>StudendEnroll!C11</f>
        <v>MannyPac@gmail.com</v>
      </c>
      <c r="D11" s="2" t="s">
        <v>6</v>
      </c>
      <c r="E11" s="5">
        <f t="array" ref="E11">IF(D11=$O$3,(XLOOKUP(C11,Physics1.DailyAttendance!$D$2:$D$12,Physics1.DailyAttendance!$U$2:$U$12)),XLOOKUP(C11,Maths1.DailyAttendance!$D$2:$D$16,Maths1.DailyAttendance!$P$2:$P$16))</f>
        <v>0.6</v>
      </c>
      <c r="F11" s="2">
        <f t="array" ref="F11">XLOOKUP(C11,StudentAssignments!$C$2:$C$27,StudentAssignments!$E$2:$E$27)</f>
        <v>70</v>
      </c>
      <c r="G11" s="2">
        <f t="array" ref="G11">XLOOKUP(C11,StudentAssignments!$C$2:$C$27,StudentAssignments!$F$2:$F$27)</f>
        <v>79</v>
      </c>
      <c r="H11" s="2" t="str">
        <f t="array" ref="H11">XLOOKUP(C11,StudentAssignments!$C$2:$C$27,StudentAssignments!$G$2:$G$27)</f>
        <v>Yes</v>
      </c>
      <c r="I11" s="2" t="str">
        <f t="array" ref="I11">XLOOKUP(StudentTracker!C11,'Certificate Score'!$C$2:$C$27,'Certificate Score'!$J$2:$J$27)</f>
        <v>Good</v>
      </c>
      <c r="L11" s="8"/>
    </row>
    <row r="12">
      <c r="A12" s="2" t="s">
        <v>26</v>
      </c>
      <c r="B12" s="2" t="s">
        <v>27</v>
      </c>
      <c r="C12" s="2" t="str">
        <f>StudendEnroll!C12</f>
        <v>KatyPerri@gmail.com</v>
      </c>
      <c r="D12" s="2" t="s">
        <v>6</v>
      </c>
      <c r="E12" s="5">
        <f t="array" ref="E12">IF(D12=$O$3,(XLOOKUP(C12,Physics1.DailyAttendance!$D$2:$D$12,Physics1.DailyAttendance!$U$2:$U$12)),XLOOKUP(C12,Maths1.DailyAttendance!$D$2:$D$16,Maths1.DailyAttendance!$P$2:$P$16))</f>
        <v>1</v>
      </c>
      <c r="F12" s="2">
        <f t="array" ref="F12">XLOOKUP(C12,StudentAssignments!$C$2:$C$27,StudentAssignments!$E$2:$E$27)</f>
        <v>43</v>
      </c>
      <c r="G12" s="2">
        <f t="array" ref="G12">XLOOKUP(C12,StudentAssignments!$C$2:$C$27,StudentAssignments!$F$2:$F$27)</f>
        <v>100</v>
      </c>
      <c r="H12" s="2" t="str">
        <f t="array" ref="H12">XLOOKUP(C12,StudentAssignments!$C$2:$C$27,StudentAssignments!$G$2:$G$27)</f>
        <v>Yes</v>
      </c>
      <c r="I12" s="2" t="str">
        <f t="array" ref="I12">XLOOKUP(StudentTracker!C12,'Certificate Score'!$C$2:$C$27,'Certificate Score'!$J$2:$J$27)</f>
        <v>Excellent</v>
      </c>
      <c r="L12" s="8"/>
    </row>
    <row r="13">
      <c r="A13" s="2" t="s">
        <v>28</v>
      </c>
      <c r="B13" s="2" t="s">
        <v>29</v>
      </c>
      <c r="C13" s="2" t="str">
        <f>StudendEnroll!C13</f>
        <v>AntonyWard@gmail.com</v>
      </c>
      <c r="D13" s="2" t="s">
        <v>6</v>
      </c>
      <c r="E13" s="5">
        <f t="array" ref="E13">IF(D13=$O$3,(XLOOKUP(C13,Physics1.DailyAttendance!$D$2:$D$12,Physics1.DailyAttendance!$U$2:$U$12)),XLOOKUP(C13,Maths1.DailyAttendance!$D$2:$D$16,Maths1.DailyAttendance!$P$2:$P$16))</f>
        <v>0.8</v>
      </c>
      <c r="F13" s="2">
        <f t="array" ref="F13">XLOOKUP(C13,StudentAssignments!$C$2:$C$27,StudentAssignments!$E$2:$E$27)</f>
        <v>82</v>
      </c>
      <c r="G13" s="2">
        <f t="array" ref="G13">XLOOKUP(C13,StudentAssignments!$C$2:$C$27,StudentAssignments!$F$2:$F$27)</f>
        <v>88</v>
      </c>
      <c r="H13" s="2" t="str">
        <f t="array" ref="H13">XLOOKUP(C13,StudentAssignments!$C$2:$C$27,StudentAssignments!$G$2:$G$27)</f>
        <v>Yes</v>
      </c>
      <c r="I13" s="2" t="str">
        <f t="array" ref="I13">XLOOKUP(StudentTracker!C13,'Certificate Score'!$C$2:$C$27,'Certificate Score'!$J$2:$J$27)</f>
        <v>Excellent</v>
      </c>
    </row>
    <row r="14">
      <c r="A14" s="2" t="s">
        <v>30</v>
      </c>
      <c r="B14" s="2" t="s">
        <v>31</v>
      </c>
      <c r="C14" s="2" t="str">
        <f>StudendEnroll!C14</f>
        <v>BillySane@gmail.com</v>
      </c>
      <c r="D14" s="2" t="s">
        <v>6</v>
      </c>
      <c r="E14" s="5">
        <f t="array" ref="E14">IF(D14=$O$3,(XLOOKUP(C14,Physics1.DailyAttendance!$D$2:$D$12,Physics1.DailyAttendance!$U$2:$U$12)),XLOOKUP(C14,Maths1.DailyAttendance!$D$2:$D$16,Maths1.DailyAttendance!$P$2:$P$16))</f>
        <v>0.6</v>
      </c>
      <c r="F14" s="2">
        <f t="array" ref="F14">XLOOKUP(C14,StudentAssignments!$C$2:$C$27,StudentAssignments!$E$2:$E$27)</f>
        <v>75</v>
      </c>
      <c r="G14" s="2">
        <f t="array" ref="G14">XLOOKUP(C14,StudentAssignments!$C$2:$C$27,StudentAssignments!$F$2:$F$27)</f>
        <v>81</v>
      </c>
      <c r="H14" s="2" t="str">
        <f t="array" ref="H14">XLOOKUP(C14,StudentAssignments!$C$2:$C$27,StudentAssignments!$G$2:$G$27)</f>
        <v>Yes</v>
      </c>
      <c r="I14" s="2" t="str">
        <f t="array" ref="I14">XLOOKUP(StudentTracker!C14,'Certificate Score'!$C$2:$C$27,'Certificate Score'!$J$2:$J$27)</f>
        <v>Good</v>
      </c>
    </row>
    <row r="15">
      <c r="A15" s="2" t="s">
        <v>32</v>
      </c>
      <c r="B15" s="2" t="s">
        <v>33</v>
      </c>
      <c r="C15" s="2" t="str">
        <f>StudendEnroll!C15</f>
        <v>RonaldConnan@gmail.com</v>
      </c>
      <c r="D15" s="2" t="s">
        <v>6</v>
      </c>
      <c r="E15" s="5">
        <f t="array" ref="E15">IF(D15=$O$3,(XLOOKUP(C15,Physics1.DailyAttendance!$D$2:$D$12,Physics1.DailyAttendance!$U$2:$U$12)),XLOOKUP(C15,Maths1.DailyAttendance!$D$2:$D$16,Maths1.DailyAttendance!$P$2:$P$16))</f>
        <v>0.6</v>
      </c>
      <c r="F15" s="2">
        <f t="array" ref="F15">XLOOKUP(C15,StudentAssignments!$C$2:$C$27,StudentAssignments!$E$2:$E$27)</f>
        <v>92</v>
      </c>
      <c r="G15" s="2">
        <f t="array" ref="G15">XLOOKUP(C15,StudentAssignments!$C$2:$C$27,StudentAssignments!$F$2:$F$27)</f>
        <v>79</v>
      </c>
      <c r="H15" s="2" t="str">
        <f t="array" ref="H15">XLOOKUP(C15,StudentAssignments!$C$2:$C$27,StudentAssignments!$G$2:$G$27)</f>
        <v>Yes</v>
      </c>
      <c r="I15" s="2" t="str">
        <f t="array" ref="I15">XLOOKUP(StudentTracker!C15,'Certificate Score'!$C$2:$C$27,'Certificate Score'!$J$2:$J$27)</f>
        <v>Good</v>
      </c>
    </row>
    <row r="16">
      <c r="A16" s="2" t="s">
        <v>4</v>
      </c>
      <c r="B16" s="2" t="s">
        <v>34</v>
      </c>
      <c r="C16" s="2" t="str">
        <f>StudendEnroll!C16</f>
        <v>JohnBaderas@gmail.com</v>
      </c>
      <c r="D16" s="2" t="s">
        <v>9</v>
      </c>
      <c r="E16" s="5">
        <f t="array" ref="E16">IF(D16=$O$3,(XLOOKUP(C16,Physics1.DailyAttendance!$D$2:$D$12,Physics1.DailyAttendance!$U$2:$U$12)),XLOOKUP(C16,Maths1.DailyAttendance!$D$2:$D$16,Maths1.DailyAttendance!$P$2:$P$16))</f>
        <v>0.8</v>
      </c>
      <c r="F16" s="2">
        <f t="array" ref="F16">XLOOKUP(C16,StudentAssignments!$C$2:$C$27,StudentAssignments!$E$2:$E$27)</f>
        <v>60</v>
      </c>
      <c r="G16" s="2">
        <f t="array" ref="G16">XLOOKUP(C16,StudentAssignments!$C$2:$C$27,StudentAssignments!$F$2:$F$27)</f>
        <v>94</v>
      </c>
      <c r="H16" s="2" t="str">
        <f t="array" ref="H16">XLOOKUP(C16,StudentAssignments!$C$2:$C$27,StudentAssignments!$G$2:$G$27)</f>
        <v>Yes</v>
      </c>
      <c r="I16" s="2" t="str">
        <f t="array" ref="I16">XLOOKUP(StudentTracker!C16,'Certificate Score'!$C$2:$C$27,'Certificate Score'!$J$2:$J$27)</f>
        <v>Good</v>
      </c>
    </row>
    <row r="17">
      <c r="A17" s="2" t="s">
        <v>32</v>
      </c>
      <c r="B17" s="2" t="s">
        <v>33</v>
      </c>
      <c r="C17" s="2" t="str">
        <f>StudendEnroll!C17</f>
        <v>RonaldConnan@gmail.com</v>
      </c>
      <c r="D17" s="2" t="s">
        <v>9</v>
      </c>
      <c r="E17" s="5">
        <f t="array" ref="E17">IF(D17=$O$3,(XLOOKUP(C17,Physics1.DailyAttendance!$D$2:$D$12,Physics1.DailyAttendance!$U$2:$U$12)),XLOOKUP(C17,Maths1.DailyAttendance!$D$2:$D$16,Maths1.DailyAttendance!$P$2:$P$16))</f>
        <v>0.4</v>
      </c>
      <c r="F17" s="2">
        <f t="array" ref="F17">XLOOKUP(C17,StudentAssignments!$C$2:$C$27,StudentAssignments!$E$2:$E$27)</f>
        <v>92</v>
      </c>
      <c r="G17" s="2">
        <f t="array" ref="G17">XLOOKUP(C17,StudentAssignments!$C$2:$C$27,StudentAssignments!$F$2:$F$27)</f>
        <v>79</v>
      </c>
      <c r="H17" s="2" t="str">
        <f t="array" ref="H17">XLOOKUP(C17,StudentAssignments!$C$2:$C$27,StudentAssignments!$G$2:$G$27)</f>
        <v>Yes</v>
      </c>
      <c r="I17" s="2" t="str">
        <f t="array" ref="I17">XLOOKUP(StudentTracker!C17,'Certificate Score'!$C$2:$C$27,'Certificate Score'!$J$2:$J$27)</f>
        <v>Good</v>
      </c>
    </row>
    <row r="18">
      <c r="A18" s="2" t="s">
        <v>35</v>
      </c>
      <c r="B18" s="2" t="s">
        <v>36</v>
      </c>
      <c r="C18" s="2" t="str">
        <f>StudendEnroll!C18</f>
        <v>DennisMenace@gmail.com</v>
      </c>
      <c r="D18" s="2" t="s">
        <v>9</v>
      </c>
      <c r="E18" s="5">
        <f t="array" ref="E18">IF(D18=$O$3,(XLOOKUP(C18,Physics1.DailyAttendance!$D$2:$D$12,Physics1.DailyAttendance!$U$2:$U$12)),XLOOKUP(C18,Maths1.DailyAttendance!$D$2:$D$16,Maths1.DailyAttendance!$P$2:$P$16))</f>
        <v>1</v>
      </c>
      <c r="F18" s="2">
        <f t="array" ref="F18">XLOOKUP(C18,StudentAssignments!$C$2:$C$27,StudentAssignments!$E$2:$E$27)</f>
        <v>73</v>
      </c>
      <c r="G18" s="2">
        <f t="array" ref="G18">XLOOKUP(C18,StudentAssignments!$C$2:$C$27,StudentAssignments!$F$2:$F$27)</f>
        <v>99</v>
      </c>
      <c r="H18" s="2" t="str">
        <f t="array" ref="H18">XLOOKUP(C18,StudentAssignments!$C$2:$C$27,StudentAssignments!$G$2:$G$27)</f>
        <v>Yes</v>
      </c>
      <c r="I18" s="2" t="str">
        <f t="array" ref="I18">XLOOKUP(StudentTracker!C18,'Certificate Score'!$C$2:$C$27,'Certificate Score'!$J$2:$J$27)</f>
        <v>Excellent</v>
      </c>
    </row>
    <row r="19">
      <c r="A19" s="2" t="s">
        <v>32</v>
      </c>
      <c r="B19" s="2" t="s">
        <v>37</v>
      </c>
      <c r="C19" s="2" t="str">
        <f>StudendEnroll!C19</f>
        <v>RonaldPape@gmail.com</v>
      </c>
      <c r="D19" s="2" t="s">
        <v>9</v>
      </c>
      <c r="E19" s="5">
        <f t="array" ref="E19">IF(D19=$O$3,(XLOOKUP(C19,Physics1.DailyAttendance!$D$2:$D$12,Physics1.DailyAttendance!$U$2:$U$12)),XLOOKUP(C19,Maths1.DailyAttendance!$D$2:$D$16,Maths1.DailyAttendance!$P$2:$P$16))</f>
        <v>0.6</v>
      </c>
      <c r="F19" s="2">
        <f t="array" ref="F19">XLOOKUP(C19,StudentAssignments!$C$2:$C$27,StudentAssignments!$E$2:$E$27)</f>
        <v>73</v>
      </c>
      <c r="G19" s="2">
        <f t="array" ref="G19">XLOOKUP(C19,StudentAssignments!$C$2:$C$27,StudentAssignments!$F$2:$F$27)</f>
        <v>68</v>
      </c>
      <c r="H19" s="2" t="str">
        <f t="array" ref="H19">XLOOKUP(C19,StudentAssignments!$C$2:$C$27,StudentAssignments!$G$2:$G$27)</f>
        <v>Yes</v>
      </c>
      <c r="I19" s="2" t="str">
        <f t="array" ref="I19">XLOOKUP(StudentTracker!C19,'Certificate Score'!$C$2:$C$27,'Certificate Score'!$J$2:$J$27)</f>
        <v>Good</v>
      </c>
    </row>
    <row r="20">
      <c r="A20" s="2" t="s">
        <v>39</v>
      </c>
      <c r="B20" s="2" t="s">
        <v>40</v>
      </c>
      <c r="C20" s="2" t="str">
        <f>StudendEnroll!C20</f>
        <v>WalidMatip@gmail.com</v>
      </c>
      <c r="D20" s="2" t="s">
        <v>9</v>
      </c>
      <c r="E20" s="5">
        <f t="array" ref="E20">IF(D20=$O$3,(XLOOKUP(C20,Physics1.DailyAttendance!$D$2:$D$12,Physics1.DailyAttendance!$U$2:$U$12)),XLOOKUP(C20,Maths1.DailyAttendance!$D$2:$D$16,Maths1.DailyAttendance!$P$2:$P$16))</f>
        <v>1</v>
      </c>
      <c r="F20" s="2">
        <f t="array" ref="F20">XLOOKUP(C20,StudentAssignments!$C$2:$C$27,StudentAssignments!$E$2:$E$27)</f>
        <v>88</v>
      </c>
      <c r="G20" s="2">
        <f t="array" ref="G20">XLOOKUP(C20,StudentAssignments!$C$2:$C$27,StudentAssignments!$F$2:$F$27)</f>
        <v>80</v>
      </c>
      <c r="H20" s="2" t="str">
        <f t="array" ref="H20">XLOOKUP(C20,StudentAssignments!$C$2:$C$27,StudentAssignments!$G$2:$G$27)</f>
        <v>Yes</v>
      </c>
      <c r="I20" s="2" t="str">
        <f t="array" ref="I20">XLOOKUP(StudentTracker!C20,'Certificate Score'!$C$2:$C$27,'Certificate Score'!$J$2:$J$27)</f>
        <v>Excellent</v>
      </c>
    </row>
    <row r="21" ht="15.75" customHeight="1">
      <c r="A21" s="2" t="s">
        <v>41</v>
      </c>
      <c r="B21" s="2" t="s">
        <v>42</v>
      </c>
      <c r="C21" s="2" t="str">
        <f>StudendEnroll!C21</f>
        <v>DonnaCorleone@gmail.com</v>
      </c>
      <c r="D21" s="2" t="s">
        <v>9</v>
      </c>
      <c r="E21" s="5">
        <f t="array" ref="E21">IF(D21=$O$3,(XLOOKUP(C21,Physics1.DailyAttendance!$D$2:$D$12,Physics1.DailyAttendance!$U$2:$U$12)),XLOOKUP(C21,Maths1.DailyAttendance!$D$2:$D$16,Maths1.DailyAttendance!$P$2:$P$16))</f>
        <v>0.8</v>
      </c>
      <c r="F21" s="2">
        <f t="array" ref="F21">XLOOKUP(C21,StudentAssignments!$C$2:$C$27,StudentAssignments!$E$2:$E$27)</f>
        <v>96</v>
      </c>
      <c r="G21" s="2">
        <f t="array" ref="G21">XLOOKUP(C21,StudentAssignments!$C$2:$C$27,StudentAssignments!$F$2:$F$27)</f>
        <v>90</v>
      </c>
      <c r="H21" s="2" t="str">
        <f t="array" ref="H21">XLOOKUP(C21,StudentAssignments!$C$2:$C$27,StudentAssignments!$G$2:$G$27)</f>
        <v>Yes</v>
      </c>
      <c r="I21" s="2" t="str">
        <f t="array" ref="I21">XLOOKUP(StudentTracker!C21,'Certificate Score'!$C$2:$C$27,'Certificate Score'!$J$2:$J$27)</f>
        <v>Excellent</v>
      </c>
    </row>
    <row r="22" ht="15.75" customHeight="1">
      <c r="A22" s="2" t="s">
        <v>10</v>
      </c>
      <c r="B22" s="2" t="s">
        <v>33</v>
      </c>
      <c r="C22" s="2" t="str">
        <f>StudendEnroll!C22</f>
        <v>MaryConnan@gmail.com</v>
      </c>
      <c r="D22" s="2" t="s">
        <v>9</v>
      </c>
      <c r="E22" s="5">
        <f t="array" ref="E22">IF(D22=$O$3,(XLOOKUP(C22,Physics1.DailyAttendance!$D$2:$D$12,Physics1.DailyAttendance!$U$2:$U$12)),XLOOKUP(C22,Maths1.DailyAttendance!$D$2:$D$16,Maths1.DailyAttendance!$P$2:$P$16))</f>
        <v>0.6</v>
      </c>
      <c r="F22" s="2">
        <f t="array" ref="F22">XLOOKUP(C22,StudentAssignments!$C$2:$C$27,StudentAssignments!$E$2:$E$27)</f>
        <v>100</v>
      </c>
      <c r="G22" s="2">
        <f t="array" ref="G22">XLOOKUP(C22,StudentAssignments!$C$2:$C$27,StudentAssignments!$F$2:$F$27)</f>
        <v>91</v>
      </c>
      <c r="H22" s="2" t="str">
        <f t="array" ref="H22">XLOOKUP(C22,StudentAssignments!$C$2:$C$27,StudentAssignments!$G$2:$G$27)</f>
        <v>Yes</v>
      </c>
      <c r="I22" s="2" t="str">
        <f t="array" ref="I22">XLOOKUP(StudentTracker!C22,'Certificate Score'!$C$2:$C$27,'Certificate Score'!$J$2:$J$27)</f>
        <v>Good</v>
      </c>
    </row>
    <row r="23" ht="15.75" customHeight="1">
      <c r="A23" s="2" t="s">
        <v>43</v>
      </c>
      <c r="B23" s="2" t="s">
        <v>44</v>
      </c>
      <c r="C23" s="2" t="str">
        <f>StudendEnroll!C23</f>
        <v>DustinBoier@gmail.com</v>
      </c>
      <c r="D23" s="2" t="s">
        <v>9</v>
      </c>
      <c r="E23" s="5">
        <f t="array" ref="E23">IF(D23=$O$3,(XLOOKUP(C23,Physics1.DailyAttendance!$D$2:$D$12,Physics1.DailyAttendance!$U$2:$U$12)),XLOOKUP(C23,Maths1.DailyAttendance!$D$2:$D$16,Maths1.DailyAttendance!$P$2:$P$16))</f>
        <v>0</v>
      </c>
      <c r="F23" s="2">
        <f t="array" ref="F23">XLOOKUP(C23,StudentAssignments!$C$2:$C$27,StudentAssignments!$E$2:$E$27)</f>
        <v>0</v>
      </c>
      <c r="G23" s="2">
        <f t="array" ref="G23">XLOOKUP(C23,StudentAssignments!$C$2:$C$27,StudentAssignments!$F$2:$F$27)</f>
        <v>37</v>
      </c>
      <c r="H23" s="2" t="str">
        <f t="array" ref="H23">XLOOKUP(C23,StudentAssignments!$C$2:$C$27,StudentAssignments!$G$2:$G$27)</f>
        <v>No</v>
      </c>
      <c r="I23" s="2" t="str">
        <f t="array" ref="I23">XLOOKUP(StudentTracker!C23,'Certificate Score'!$C$2:$C$27,'Certificate Score'!$J$2:$J$27)</f>
        <v>Fail</v>
      </c>
    </row>
    <row r="24" ht="15.75" customHeight="1">
      <c r="A24" s="2" t="s">
        <v>45</v>
      </c>
      <c r="B24" s="2" t="s">
        <v>46</v>
      </c>
      <c r="C24" s="2" t="str">
        <f>StudendEnroll!C24</f>
        <v>LanaAndie@gmail.com</v>
      </c>
      <c r="D24" s="2" t="s">
        <v>9</v>
      </c>
      <c r="E24" s="5">
        <f t="array" ref="E24">IF(D24=$O$3,(XLOOKUP(C24,Physics1.DailyAttendance!$D$2:$D$12,Physics1.DailyAttendance!$U$2:$U$12)),XLOOKUP(C24,Maths1.DailyAttendance!$D$2:$D$16,Maths1.DailyAttendance!$P$2:$P$16))</f>
        <v>0.8</v>
      </c>
      <c r="F24" s="2">
        <f t="array" ref="F24">XLOOKUP(C24,StudentAssignments!$C$2:$C$27,StudentAssignments!$E$2:$E$27)</f>
        <v>97</v>
      </c>
      <c r="G24" s="2">
        <f t="array" ref="G24">XLOOKUP(C24,StudentAssignments!$C$2:$C$27,StudentAssignments!$F$2:$F$27)</f>
        <v>100</v>
      </c>
      <c r="H24" s="2" t="str">
        <f t="array" ref="H24">XLOOKUP(C24,StudentAssignments!$C$2:$C$27,StudentAssignments!$G$2:$G$27)</f>
        <v>Yes</v>
      </c>
      <c r="I24" s="2" t="str">
        <f t="array" ref="I24">XLOOKUP(StudentTracker!C24,'Certificate Score'!$C$2:$C$27,'Certificate Score'!$J$2:$J$27)</f>
        <v>Excellent</v>
      </c>
    </row>
    <row r="25" ht="15.75" customHeight="1">
      <c r="A25" s="2" t="s">
        <v>47</v>
      </c>
      <c r="B25" s="2" t="s">
        <v>48</v>
      </c>
      <c r="C25" s="2" t="str">
        <f>StudendEnroll!C25</f>
        <v>AnnaTsakiris@gmail.com</v>
      </c>
      <c r="D25" s="2" t="s">
        <v>6</v>
      </c>
      <c r="E25" s="5">
        <f t="array" ref="E25">IF(D25=$O$3,(XLOOKUP(C25,Physics1.DailyAttendance!$D$2:$D$12,Physics1.DailyAttendance!$U$2:$U$12)),XLOOKUP(C25,Maths1.DailyAttendance!$D$2:$D$16,Maths1.DailyAttendance!$P$2:$P$16))</f>
        <v>0.8</v>
      </c>
      <c r="F25" s="2">
        <f t="array" ref="F25">XLOOKUP(C25,StudentAssignments!$C$2:$C$27,StudentAssignments!$E$2:$E$27)</f>
        <v>71</v>
      </c>
      <c r="G25" s="2">
        <f t="array" ref="G25">XLOOKUP(C25,StudentAssignments!$C$2:$C$27,StudentAssignments!$F$2:$F$27)</f>
        <v>79</v>
      </c>
      <c r="H25" s="2" t="str">
        <f t="array" ref="H25">XLOOKUP(C25,StudentAssignments!$C$2:$C$27,StudentAssignments!$G$2:$G$27)</f>
        <v>Yes</v>
      </c>
      <c r="I25" s="2" t="str">
        <f t="array" ref="I25">XLOOKUP(StudentTracker!C25,'Certificate Score'!$C$2:$C$27,'Certificate Score'!$J$2:$J$27)</f>
        <v>Good</v>
      </c>
    </row>
    <row r="26" ht="15.75" customHeight="1">
      <c r="A26" s="2" t="s">
        <v>49</v>
      </c>
      <c r="B26" s="2" t="s">
        <v>50</v>
      </c>
      <c r="C26" s="2" t="str">
        <f>StudendEnroll!C26</f>
        <v>NetoJuninhio@gmail.com</v>
      </c>
      <c r="D26" s="2" t="s">
        <v>6</v>
      </c>
      <c r="E26" s="5">
        <f t="array" ref="E26">IF(D26=$O$3,(XLOOKUP(C26,Physics1.DailyAttendance!$D$2:$D$12,Physics1.DailyAttendance!$U$2:$U$12)),XLOOKUP(C26,Maths1.DailyAttendance!$D$2:$D$16,Maths1.DailyAttendance!$P$2:$P$16))</f>
        <v>0.6</v>
      </c>
      <c r="F26" s="2">
        <f t="array" ref="F26">XLOOKUP(C26,StudentAssignments!$C$2:$C$27,StudentAssignments!$E$2:$E$27)</f>
        <v>40</v>
      </c>
      <c r="G26" s="2">
        <f t="array" ref="G26">XLOOKUP(C26,StudentAssignments!$C$2:$C$27,StudentAssignments!$F$2:$F$27)</f>
        <v>66</v>
      </c>
      <c r="H26" s="2" t="str">
        <f t="array" ref="H26">XLOOKUP(C26,StudentAssignments!$C$2:$C$27,StudentAssignments!$G$2:$G$27)</f>
        <v>No</v>
      </c>
      <c r="I26" s="2" t="str">
        <f t="array" ref="I26">XLOOKUP(StudentTracker!C26,'Certificate Score'!$C$2:$C$27,'Certificate Score'!$J$2:$J$27)</f>
        <v>Fail</v>
      </c>
    </row>
    <row r="27" ht="15.75" customHeight="1">
      <c r="A27" s="2" t="s">
        <v>51</v>
      </c>
      <c r="B27" s="2" t="s">
        <v>52</v>
      </c>
      <c r="C27" s="2" t="str">
        <f>StudendEnroll!C27</f>
        <v>AndresIniesti@gmail.com</v>
      </c>
      <c r="D27" s="2" t="s">
        <v>9</v>
      </c>
      <c r="E27" s="5">
        <f t="array" ref="E27">IF(D27=$O$3,(XLOOKUP(C27,Physics1.DailyAttendance!$D$2:$D$12,Physics1.DailyAttendance!$U$2:$U$12)),XLOOKUP(C27,Maths1.DailyAttendance!$D$2:$D$16,Maths1.DailyAttendance!$P$2:$P$16))</f>
        <v>0.8</v>
      </c>
      <c r="F27" s="2">
        <f t="array" ref="F27">XLOOKUP(C27,StudentAssignments!$C$2:$C$27,StudentAssignments!$E$2:$E$27)</f>
        <v>90</v>
      </c>
      <c r="G27" s="2">
        <f t="array" ref="G27">XLOOKUP(C27,StudentAssignments!$C$2:$C$27,StudentAssignments!$F$2:$F$27)</f>
        <v>87</v>
      </c>
      <c r="H27" s="2" t="str">
        <f t="array" ref="H27">XLOOKUP(C27,StudentAssignments!$C$2:$C$27,StudentAssignments!$G$2:$G$27)</f>
        <v>Yes</v>
      </c>
      <c r="I27" s="2" t="str">
        <f t="array" ref="I27">XLOOKUP(StudentTracker!C27,'Certificate Score'!$C$2:$C$27,'Certificate Score'!$J$2:$J$27)</f>
        <v>Excellent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27"/>
  <conditionalFormatting sqref="E2:E27">
    <cfRule type="cellIs" dxfId="0" priority="1" operator="greaterThanOrEqual">
      <formula>0.8</formula>
    </cfRule>
  </conditionalFormatting>
  <conditionalFormatting sqref="E2:E27">
    <cfRule type="cellIs" dxfId="1" priority="2" operator="lessThan">
      <formula>0.8</formula>
    </cfRule>
  </conditionalFormatting>
  <conditionalFormatting sqref="I2:I27 A2:C27">
    <cfRule type="expression" dxfId="1" priority="3">
      <formula>$I2:$I27="Fail"</formula>
    </cfRule>
  </conditionalFormatting>
  <conditionalFormatting sqref="I2:I27 A2:C27">
    <cfRule type="expression" dxfId="2" priority="4">
      <formula>$I2:$I27="Excellent"</formula>
    </cfRule>
  </conditionalFormatting>
  <conditionalFormatting sqref="A2:C27 I2:I27">
    <cfRule type="expression" dxfId="3" priority="5">
      <formula>$I2:$I27="Good"</formula>
    </cfRule>
  </conditionalFormatting>
  <conditionalFormatting sqref="Y27">
    <cfRule type="notContainsBlanks" dxfId="4" priority="6">
      <formula>LEN(TRIM(Y27))&gt;0</formula>
    </cfRule>
  </conditionalFormatting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53</v>
      </c>
      <c r="F1" s="10" t="s">
        <v>54</v>
      </c>
      <c r="G1" s="10" t="s">
        <v>55</v>
      </c>
      <c r="H1" s="10" t="s">
        <v>56</v>
      </c>
      <c r="I1" s="11" t="s">
        <v>57</v>
      </c>
    </row>
    <row r="2">
      <c r="A2" s="12" t="s">
        <v>16</v>
      </c>
      <c r="B2" s="13" t="s">
        <v>17</v>
      </c>
      <c r="C2" s="13" t="s">
        <v>64</v>
      </c>
      <c r="D2" s="13" t="s">
        <v>9</v>
      </c>
      <c r="E2" s="14">
        <v>0.4</v>
      </c>
      <c r="F2" s="13">
        <v>77.0</v>
      </c>
      <c r="G2" s="13">
        <v>87.0</v>
      </c>
      <c r="H2" s="13" t="s">
        <v>65</v>
      </c>
      <c r="I2" s="15" t="s">
        <v>62</v>
      </c>
    </row>
    <row r="3">
      <c r="A3" s="12" t="s">
        <v>4</v>
      </c>
      <c r="B3" s="13" t="s">
        <v>34</v>
      </c>
      <c r="C3" s="13" t="s">
        <v>66</v>
      </c>
      <c r="D3" s="13" t="s">
        <v>9</v>
      </c>
      <c r="E3" s="14">
        <v>0.8</v>
      </c>
      <c r="F3" s="13">
        <v>60.0</v>
      </c>
      <c r="G3" s="13">
        <v>94.0</v>
      </c>
      <c r="H3" s="13" t="s">
        <v>65</v>
      </c>
      <c r="I3" s="15" t="s">
        <v>62</v>
      </c>
    </row>
    <row r="4">
      <c r="A4" s="12" t="s">
        <v>32</v>
      </c>
      <c r="B4" s="13" t="s">
        <v>33</v>
      </c>
      <c r="C4" s="13" t="s">
        <v>67</v>
      </c>
      <c r="D4" s="13" t="s">
        <v>9</v>
      </c>
      <c r="E4" s="14">
        <v>0.4</v>
      </c>
      <c r="F4" s="13">
        <v>92.0</v>
      </c>
      <c r="G4" s="13">
        <v>79.0</v>
      </c>
      <c r="H4" s="13" t="s">
        <v>65</v>
      </c>
      <c r="I4" s="15" t="s">
        <v>62</v>
      </c>
    </row>
    <row r="5">
      <c r="A5" s="12" t="s">
        <v>32</v>
      </c>
      <c r="B5" s="13" t="s">
        <v>37</v>
      </c>
      <c r="C5" s="13" t="s">
        <v>38</v>
      </c>
      <c r="D5" s="13" t="s">
        <v>9</v>
      </c>
      <c r="E5" s="14">
        <v>0.6</v>
      </c>
      <c r="F5" s="13">
        <v>73.0</v>
      </c>
      <c r="G5" s="13">
        <v>68.0</v>
      </c>
      <c r="H5" s="13" t="s">
        <v>65</v>
      </c>
      <c r="I5" s="15" t="s">
        <v>62</v>
      </c>
    </row>
    <row r="6">
      <c r="A6" s="12" t="s">
        <v>10</v>
      </c>
      <c r="B6" s="13" t="s">
        <v>33</v>
      </c>
      <c r="C6" s="13" t="s">
        <v>68</v>
      </c>
      <c r="D6" s="13" t="s">
        <v>9</v>
      </c>
      <c r="E6" s="14">
        <v>0.6</v>
      </c>
      <c r="F6" s="13">
        <v>100.0</v>
      </c>
      <c r="G6" s="13">
        <v>91.0</v>
      </c>
      <c r="H6" s="13" t="s">
        <v>65</v>
      </c>
      <c r="I6" s="15" t="s">
        <v>62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53</v>
      </c>
      <c r="F1" s="10" t="s">
        <v>54</v>
      </c>
      <c r="G1" s="10" t="s">
        <v>55</v>
      </c>
      <c r="H1" s="10" t="s">
        <v>56</v>
      </c>
      <c r="I1" s="11" t="s">
        <v>57</v>
      </c>
    </row>
    <row r="2">
      <c r="A2" s="12" t="s">
        <v>24</v>
      </c>
      <c r="B2" s="13" t="s">
        <v>25</v>
      </c>
      <c r="C2" s="13" t="s">
        <v>69</v>
      </c>
      <c r="D2" s="13" t="s">
        <v>6</v>
      </c>
      <c r="E2" s="14">
        <v>0.6</v>
      </c>
      <c r="F2" s="13">
        <v>70.0</v>
      </c>
      <c r="G2" s="13">
        <v>79.0</v>
      </c>
      <c r="H2" s="13" t="s">
        <v>65</v>
      </c>
      <c r="I2" s="15" t="s">
        <v>62</v>
      </c>
    </row>
    <row r="3">
      <c r="A3" s="12" t="s">
        <v>30</v>
      </c>
      <c r="B3" s="13" t="s">
        <v>31</v>
      </c>
      <c r="C3" s="13" t="s">
        <v>70</v>
      </c>
      <c r="D3" s="13" t="s">
        <v>6</v>
      </c>
      <c r="E3" s="14">
        <v>0.6</v>
      </c>
      <c r="F3" s="13">
        <v>75.0</v>
      </c>
      <c r="G3" s="13">
        <v>81.0</v>
      </c>
      <c r="H3" s="13" t="s">
        <v>65</v>
      </c>
      <c r="I3" s="15" t="s">
        <v>62</v>
      </c>
    </row>
    <row r="4">
      <c r="A4" s="12" t="s">
        <v>32</v>
      </c>
      <c r="B4" s="13" t="s">
        <v>33</v>
      </c>
      <c r="C4" s="13" t="s">
        <v>67</v>
      </c>
      <c r="D4" s="13" t="s">
        <v>6</v>
      </c>
      <c r="E4" s="14">
        <v>0.6</v>
      </c>
      <c r="F4" s="13">
        <v>92.0</v>
      </c>
      <c r="G4" s="13">
        <v>79.0</v>
      </c>
      <c r="H4" s="13" t="s">
        <v>65</v>
      </c>
      <c r="I4" s="15" t="s">
        <v>62</v>
      </c>
    </row>
    <row r="5">
      <c r="A5" s="12" t="s">
        <v>47</v>
      </c>
      <c r="B5" s="13" t="s">
        <v>48</v>
      </c>
      <c r="C5" s="13" t="s">
        <v>71</v>
      </c>
      <c r="D5" s="13" t="s">
        <v>6</v>
      </c>
      <c r="E5" s="14">
        <v>0.8</v>
      </c>
      <c r="F5" s="13">
        <v>71.0</v>
      </c>
      <c r="G5" s="13">
        <v>79.0</v>
      </c>
      <c r="H5" s="13" t="s">
        <v>65</v>
      </c>
      <c r="I5" s="15" t="s">
        <v>62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38"/>
    <col customWidth="1" min="3" max="3" width="11.0"/>
    <col customWidth="1" min="4" max="4" width="23.38"/>
    <col customWidth="1" min="5" max="6" width="8.38"/>
    <col customWidth="1" min="7" max="7" width="10.75"/>
    <col customWidth="1" min="8" max="8" width="8.5"/>
    <col customWidth="1" min="9" max="9" width="7.88"/>
    <col customWidth="1" min="10" max="10" width="10.0"/>
    <col customWidth="1" min="11" max="11" width="11.5"/>
    <col customWidth="1" min="12" max="12" width="10.75"/>
    <col customWidth="1" min="13" max="13" width="12.0"/>
    <col customWidth="1" min="14" max="14" width="12.63"/>
    <col customWidth="1" min="15" max="15" width="11.5"/>
    <col customWidth="1" min="16" max="16" width="14.0"/>
    <col customWidth="1" min="17" max="17" width="12.75"/>
    <col customWidth="1" min="18" max="18" width="12.38"/>
    <col customWidth="1" min="19" max="19" width="11.13"/>
    <col customWidth="1" min="20" max="20" width="11.75"/>
    <col customWidth="1" min="21" max="21" width="16.0"/>
    <col customWidth="1" min="22" max="26" width="7.63"/>
  </cols>
  <sheetData>
    <row r="1" ht="46.5" customHeight="1">
      <c r="A1" s="16" t="s">
        <v>6</v>
      </c>
      <c r="B1" s="17" t="s">
        <v>0</v>
      </c>
      <c r="C1" s="17" t="s">
        <v>1</v>
      </c>
      <c r="D1" s="17" t="s">
        <v>2</v>
      </c>
      <c r="E1" s="18" t="s">
        <v>3</v>
      </c>
      <c r="F1" s="19" t="s">
        <v>72</v>
      </c>
      <c r="G1" s="20" t="s">
        <v>73</v>
      </c>
      <c r="H1" s="20" t="s">
        <v>74</v>
      </c>
      <c r="I1" s="20" t="s">
        <v>75</v>
      </c>
      <c r="J1" s="21" t="s">
        <v>76</v>
      </c>
      <c r="K1" s="19" t="s">
        <v>77</v>
      </c>
      <c r="L1" s="20" t="s">
        <v>78</v>
      </c>
      <c r="M1" s="20" t="s">
        <v>79</v>
      </c>
      <c r="N1" s="20" t="s">
        <v>80</v>
      </c>
      <c r="O1" s="21" t="s">
        <v>81</v>
      </c>
      <c r="P1" s="22" t="s">
        <v>82</v>
      </c>
      <c r="Q1" s="23" t="s">
        <v>83</v>
      </c>
      <c r="R1" s="24" t="s">
        <v>84</v>
      </c>
      <c r="S1" s="24" t="s">
        <v>85</v>
      </c>
      <c r="T1" s="24" t="s">
        <v>56</v>
      </c>
      <c r="U1" s="3" t="s">
        <v>86</v>
      </c>
      <c r="V1" s="1"/>
      <c r="W1" s="1"/>
      <c r="X1" s="1"/>
      <c r="Y1" s="1"/>
      <c r="Z1" s="1"/>
    </row>
    <row r="2" ht="26.25" customHeight="1">
      <c r="A2" s="25"/>
      <c r="B2" s="2" t="str">
        <f>IFERROR(__xludf.DUMMYFUNCTION("FILTER(StudendEnroll!A2:D27,StudendEnroll!D2:D27=A1)"),"John")</f>
        <v>John</v>
      </c>
      <c r="C2" s="2" t="str">
        <f>IFERROR(__xludf.DUMMYFUNCTION("""COMPUTED_VALUE"""),"Makaron")</f>
        <v>Makaron</v>
      </c>
      <c r="D2" s="2" t="str">
        <f>IFERROR(__xludf.DUMMYFUNCTION("""COMPUTED_VALUE"""),"JohnMakaron@gmail.com")</f>
        <v>JohnMakaron@gmail.com</v>
      </c>
      <c r="E2" s="2" t="str">
        <f>IFERROR(__xludf.DUMMYFUNCTION("""COMPUTED_VALUE"""),"Physics1")</f>
        <v>Physics1</v>
      </c>
      <c r="F2" s="26" t="s">
        <v>87</v>
      </c>
      <c r="G2" s="2" t="s">
        <v>87</v>
      </c>
      <c r="H2" s="2" t="s">
        <v>87</v>
      </c>
      <c r="I2" s="2" t="s">
        <v>88</v>
      </c>
      <c r="J2" s="27" t="s">
        <v>87</v>
      </c>
      <c r="K2" s="26" t="s">
        <v>87</v>
      </c>
      <c r="L2" s="2" t="s">
        <v>87</v>
      </c>
      <c r="M2" s="2" t="s">
        <v>87</v>
      </c>
      <c r="N2" s="2" t="s">
        <v>88</v>
      </c>
      <c r="O2" s="27" t="s">
        <v>87</v>
      </c>
      <c r="P2" s="5">
        <f t="shared" ref="P2:P12" si="1">COUNTIF(F2:J2,"P")/COUNTA(F2:J2)</f>
        <v>0.8</v>
      </c>
      <c r="Q2" s="28">
        <f t="shared" ref="Q2:Q12" si="2">COUNTIF(K2:O2,"P")/COUNTA(K2:O2)</f>
        <v>0.8</v>
      </c>
      <c r="R2" s="29">
        <v>85.0</v>
      </c>
      <c r="S2" s="29">
        <v>87.0</v>
      </c>
      <c r="T2" s="29" t="s">
        <v>65</v>
      </c>
      <c r="U2" s="30">
        <f t="shared" ref="U2:U12" si="3">SUM(P2:Q2)/2</f>
        <v>0.8</v>
      </c>
    </row>
    <row r="3" ht="26.25" customHeight="1">
      <c r="A3" s="25"/>
      <c r="B3" s="2" t="str">
        <f>IFERROR(__xludf.DUMMYFUNCTION("""COMPUTED_VALUE"""),"Olivia")</f>
        <v>Olivia</v>
      </c>
      <c r="C3" s="2" t="str">
        <f>IFERROR(__xludf.DUMMYFUNCTION("""COMPUTED_VALUE"""),"Matt")</f>
        <v>Matt</v>
      </c>
      <c r="D3" s="2" t="str">
        <f>IFERROR(__xludf.DUMMYFUNCTION("""COMPUTED_VALUE"""),"OliviaMatt@gmail.com")</f>
        <v>OliviaMatt@gmail.com</v>
      </c>
      <c r="E3" s="2" t="str">
        <f>IFERROR(__xludf.DUMMYFUNCTION("""COMPUTED_VALUE"""),"Physics1")</f>
        <v>Physics1</v>
      </c>
      <c r="F3" s="26" t="s">
        <v>87</v>
      </c>
      <c r="G3" s="2" t="s">
        <v>87</v>
      </c>
      <c r="H3" s="2" t="s">
        <v>87</v>
      </c>
      <c r="I3" s="2" t="s">
        <v>87</v>
      </c>
      <c r="J3" s="27" t="s">
        <v>88</v>
      </c>
      <c r="K3" s="26" t="s">
        <v>87</v>
      </c>
      <c r="L3" s="2" t="s">
        <v>87</v>
      </c>
      <c r="M3" s="2" t="s">
        <v>87</v>
      </c>
      <c r="N3" s="2" t="s">
        <v>87</v>
      </c>
      <c r="O3" s="27" t="s">
        <v>88</v>
      </c>
      <c r="P3" s="5">
        <f t="shared" si="1"/>
        <v>0.8</v>
      </c>
      <c r="Q3" s="28">
        <f t="shared" si="2"/>
        <v>0.8</v>
      </c>
      <c r="R3" s="29">
        <v>88.0</v>
      </c>
      <c r="S3" s="29">
        <v>75.0</v>
      </c>
      <c r="T3" s="29" t="s">
        <v>65</v>
      </c>
      <c r="U3" s="30">
        <f t="shared" si="3"/>
        <v>0.8</v>
      </c>
    </row>
    <row r="4" ht="26.25" customHeight="1">
      <c r="A4" s="25"/>
      <c r="B4" s="2" t="str">
        <f>IFERROR(__xludf.DUMMYFUNCTION("""COMPUTED_VALUE"""),"Diana")</f>
        <v>Diana</v>
      </c>
      <c r="C4" s="2" t="str">
        <f>IFERROR(__xludf.DUMMYFUNCTION("""COMPUTED_VALUE"""),"Pinto")</f>
        <v>Pinto</v>
      </c>
      <c r="D4" s="2" t="str">
        <f>IFERROR(__xludf.DUMMYFUNCTION("""COMPUTED_VALUE"""),"DianaPinto@gmail.com")</f>
        <v>DianaPinto@gmail.com</v>
      </c>
      <c r="E4" s="2" t="str">
        <f>IFERROR(__xludf.DUMMYFUNCTION("""COMPUTED_VALUE"""),"Physics1")</f>
        <v>Physics1</v>
      </c>
      <c r="F4" s="26" t="s">
        <v>88</v>
      </c>
      <c r="G4" s="2" t="s">
        <v>88</v>
      </c>
      <c r="H4" s="2" t="s">
        <v>87</v>
      </c>
      <c r="I4" s="2" t="s">
        <v>88</v>
      </c>
      <c r="J4" s="27" t="s">
        <v>87</v>
      </c>
      <c r="K4" s="26" t="s">
        <v>88</v>
      </c>
      <c r="L4" s="2" t="s">
        <v>88</v>
      </c>
      <c r="M4" s="2" t="s">
        <v>87</v>
      </c>
      <c r="N4" s="2" t="s">
        <v>88</v>
      </c>
      <c r="O4" s="27" t="s">
        <v>87</v>
      </c>
      <c r="P4" s="5">
        <f t="shared" si="1"/>
        <v>0.4</v>
      </c>
      <c r="Q4" s="28">
        <f t="shared" si="2"/>
        <v>0.4</v>
      </c>
      <c r="R4" s="29">
        <v>69.0</v>
      </c>
      <c r="S4" s="29">
        <v>33.0</v>
      </c>
      <c r="T4" s="29" t="s">
        <v>65</v>
      </c>
      <c r="U4" s="30">
        <f t="shared" si="3"/>
        <v>0.4</v>
      </c>
    </row>
    <row r="5" ht="26.25" customHeight="1">
      <c r="A5" s="25"/>
      <c r="B5" s="2" t="str">
        <f>IFERROR(__xludf.DUMMYFUNCTION("""COMPUTED_VALUE"""),"Kate")</f>
        <v>Kate</v>
      </c>
      <c r="C5" s="2" t="str">
        <f>IFERROR(__xludf.DUMMYFUNCTION("""COMPUTED_VALUE"""),"Potter")</f>
        <v>Potter</v>
      </c>
      <c r="D5" s="2" t="str">
        <f>IFERROR(__xludf.DUMMYFUNCTION("""COMPUTED_VALUE"""),"KatePotter@gmail.com")</f>
        <v>KatePotter@gmail.com</v>
      </c>
      <c r="E5" s="2" t="str">
        <f>IFERROR(__xludf.DUMMYFUNCTION("""COMPUTED_VALUE"""),"Physics1")</f>
        <v>Physics1</v>
      </c>
      <c r="F5" s="26" t="s">
        <v>87</v>
      </c>
      <c r="G5" s="2" t="s">
        <v>87</v>
      </c>
      <c r="H5" s="2" t="s">
        <v>87</v>
      </c>
      <c r="I5" s="2" t="s">
        <v>87</v>
      </c>
      <c r="J5" s="27" t="s">
        <v>87</v>
      </c>
      <c r="K5" s="26" t="s">
        <v>87</v>
      </c>
      <c r="L5" s="2" t="s">
        <v>87</v>
      </c>
      <c r="M5" s="2" t="s">
        <v>87</v>
      </c>
      <c r="N5" s="2" t="s">
        <v>87</v>
      </c>
      <c r="O5" s="27" t="s">
        <v>87</v>
      </c>
      <c r="P5" s="5">
        <f t="shared" si="1"/>
        <v>1</v>
      </c>
      <c r="Q5" s="28">
        <f t="shared" si="2"/>
        <v>1</v>
      </c>
      <c r="R5" s="29">
        <v>100.0</v>
      </c>
      <c r="S5" s="29">
        <v>84.0</v>
      </c>
      <c r="T5" s="29" t="s">
        <v>65</v>
      </c>
      <c r="U5" s="30">
        <f t="shared" si="3"/>
        <v>1</v>
      </c>
    </row>
    <row r="6" ht="26.25" customHeight="1">
      <c r="A6" s="25"/>
      <c r="B6" s="2" t="str">
        <f>IFERROR(__xludf.DUMMYFUNCTION("""COMPUTED_VALUE"""),"Manny")</f>
        <v>Manny</v>
      </c>
      <c r="C6" s="2" t="str">
        <f>IFERROR(__xludf.DUMMYFUNCTION("""COMPUTED_VALUE"""),"Pac")</f>
        <v>Pac</v>
      </c>
      <c r="D6" s="2" t="str">
        <f>IFERROR(__xludf.DUMMYFUNCTION("""COMPUTED_VALUE"""),"MannyPac@gmail.com")</f>
        <v>MannyPac@gmail.com</v>
      </c>
      <c r="E6" s="2" t="str">
        <f>IFERROR(__xludf.DUMMYFUNCTION("""COMPUTED_VALUE"""),"Physics1")</f>
        <v>Physics1</v>
      </c>
      <c r="F6" s="26" t="s">
        <v>88</v>
      </c>
      <c r="G6" s="2" t="s">
        <v>87</v>
      </c>
      <c r="H6" s="2" t="s">
        <v>87</v>
      </c>
      <c r="I6" s="2" t="s">
        <v>87</v>
      </c>
      <c r="J6" s="27" t="s">
        <v>88</v>
      </c>
      <c r="K6" s="26" t="s">
        <v>88</v>
      </c>
      <c r="L6" s="2" t="s">
        <v>87</v>
      </c>
      <c r="M6" s="2" t="s">
        <v>87</v>
      </c>
      <c r="N6" s="2" t="s">
        <v>87</v>
      </c>
      <c r="O6" s="27" t="s">
        <v>88</v>
      </c>
      <c r="P6" s="5">
        <f t="shared" si="1"/>
        <v>0.6</v>
      </c>
      <c r="Q6" s="28">
        <f t="shared" si="2"/>
        <v>0.6</v>
      </c>
      <c r="R6" s="29">
        <v>70.0</v>
      </c>
      <c r="S6" s="29">
        <v>79.0</v>
      </c>
      <c r="T6" s="29" t="s">
        <v>65</v>
      </c>
      <c r="U6" s="30">
        <f t="shared" si="3"/>
        <v>0.6</v>
      </c>
    </row>
    <row r="7" ht="26.25" customHeight="1">
      <c r="A7" s="25"/>
      <c r="B7" s="2" t="str">
        <f>IFERROR(__xludf.DUMMYFUNCTION("""COMPUTED_VALUE"""),"Katy")</f>
        <v>Katy</v>
      </c>
      <c r="C7" s="2" t="str">
        <f>IFERROR(__xludf.DUMMYFUNCTION("""COMPUTED_VALUE"""),"Perri")</f>
        <v>Perri</v>
      </c>
      <c r="D7" s="2" t="str">
        <f>IFERROR(__xludf.DUMMYFUNCTION("""COMPUTED_VALUE"""),"KatyPerri@gmail.com")</f>
        <v>KatyPerri@gmail.com</v>
      </c>
      <c r="E7" s="2" t="str">
        <f>IFERROR(__xludf.DUMMYFUNCTION("""COMPUTED_VALUE"""),"Physics1")</f>
        <v>Physics1</v>
      </c>
      <c r="F7" s="26" t="s">
        <v>87</v>
      </c>
      <c r="G7" s="2" t="s">
        <v>87</v>
      </c>
      <c r="H7" s="2" t="s">
        <v>87</v>
      </c>
      <c r="I7" s="2" t="s">
        <v>87</v>
      </c>
      <c r="J7" s="27" t="s">
        <v>87</v>
      </c>
      <c r="K7" s="26" t="s">
        <v>87</v>
      </c>
      <c r="L7" s="2" t="s">
        <v>87</v>
      </c>
      <c r="M7" s="2" t="s">
        <v>87</v>
      </c>
      <c r="N7" s="2" t="s">
        <v>87</v>
      </c>
      <c r="O7" s="27" t="s">
        <v>87</v>
      </c>
      <c r="P7" s="5">
        <f t="shared" si="1"/>
        <v>1</v>
      </c>
      <c r="Q7" s="28">
        <f t="shared" si="2"/>
        <v>1</v>
      </c>
      <c r="R7" s="29">
        <v>43.0</v>
      </c>
      <c r="S7" s="29">
        <v>100.0</v>
      </c>
      <c r="T7" s="29" t="s">
        <v>65</v>
      </c>
      <c r="U7" s="30">
        <f t="shared" si="3"/>
        <v>1</v>
      </c>
    </row>
    <row r="8" ht="26.25" customHeight="1">
      <c r="A8" s="25"/>
      <c r="B8" s="2" t="str">
        <f>IFERROR(__xludf.DUMMYFUNCTION("""COMPUTED_VALUE"""),"Antony")</f>
        <v>Antony</v>
      </c>
      <c r="C8" s="2" t="str">
        <f>IFERROR(__xludf.DUMMYFUNCTION("""COMPUTED_VALUE"""),"Ward")</f>
        <v>Ward</v>
      </c>
      <c r="D8" s="2" t="str">
        <f>IFERROR(__xludf.DUMMYFUNCTION("""COMPUTED_VALUE"""),"AntonyWard@gmail.com")</f>
        <v>AntonyWard@gmail.com</v>
      </c>
      <c r="E8" s="2" t="str">
        <f>IFERROR(__xludf.DUMMYFUNCTION("""COMPUTED_VALUE"""),"Physics1")</f>
        <v>Physics1</v>
      </c>
      <c r="F8" s="26" t="s">
        <v>87</v>
      </c>
      <c r="G8" s="2" t="s">
        <v>87</v>
      </c>
      <c r="H8" s="2" t="s">
        <v>87</v>
      </c>
      <c r="I8" s="2" t="s">
        <v>87</v>
      </c>
      <c r="J8" s="27" t="s">
        <v>88</v>
      </c>
      <c r="K8" s="26" t="s">
        <v>87</v>
      </c>
      <c r="L8" s="2" t="s">
        <v>87</v>
      </c>
      <c r="M8" s="2" t="s">
        <v>87</v>
      </c>
      <c r="N8" s="2" t="s">
        <v>87</v>
      </c>
      <c r="O8" s="27" t="s">
        <v>88</v>
      </c>
      <c r="P8" s="5">
        <f t="shared" si="1"/>
        <v>0.8</v>
      </c>
      <c r="Q8" s="28">
        <f t="shared" si="2"/>
        <v>0.8</v>
      </c>
      <c r="R8" s="29">
        <v>82.0</v>
      </c>
      <c r="S8" s="29">
        <v>88.0</v>
      </c>
      <c r="T8" s="29" t="s">
        <v>65</v>
      </c>
      <c r="U8" s="30">
        <f t="shared" si="3"/>
        <v>0.8</v>
      </c>
    </row>
    <row r="9" ht="26.25" customHeight="1">
      <c r="A9" s="25"/>
      <c r="B9" s="2" t="str">
        <f>IFERROR(__xludf.DUMMYFUNCTION("""COMPUTED_VALUE"""),"Billy")</f>
        <v>Billy</v>
      </c>
      <c r="C9" s="2" t="str">
        <f>IFERROR(__xludf.DUMMYFUNCTION("""COMPUTED_VALUE"""),"Sane")</f>
        <v>Sane</v>
      </c>
      <c r="D9" s="2" t="str">
        <f>IFERROR(__xludf.DUMMYFUNCTION("""COMPUTED_VALUE"""),"BillySane@gmail.com")</f>
        <v>BillySane@gmail.com</v>
      </c>
      <c r="E9" s="2" t="str">
        <f>IFERROR(__xludf.DUMMYFUNCTION("""COMPUTED_VALUE"""),"Physics1")</f>
        <v>Physics1</v>
      </c>
      <c r="F9" s="26" t="s">
        <v>87</v>
      </c>
      <c r="G9" s="2" t="s">
        <v>88</v>
      </c>
      <c r="H9" s="2" t="s">
        <v>87</v>
      </c>
      <c r="I9" s="2" t="s">
        <v>88</v>
      </c>
      <c r="J9" s="27" t="s">
        <v>87</v>
      </c>
      <c r="K9" s="26" t="s">
        <v>87</v>
      </c>
      <c r="L9" s="2" t="s">
        <v>88</v>
      </c>
      <c r="M9" s="2" t="s">
        <v>87</v>
      </c>
      <c r="N9" s="2" t="s">
        <v>88</v>
      </c>
      <c r="O9" s="27" t="s">
        <v>87</v>
      </c>
      <c r="P9" s="5">
        <f t="shared" si="1"/>
        <v>0.6</v>
      </c>
      <c r="Q9" s="28">
        <f t="shared" si="2"/>
        <v>0.6</v>
      </c>
      <c r="R9" s="29">
        <v>75.0</v>
      </c>
      <c r="S9" s="29">
        <v>81.0</v>
      </c>
      <c r="T9" s="29" t="s">
        <v>65</v>
      </c>
      <c r="U9" s="30">
        <f t="shared" si="3"/>
        <v>0.6</v>
      </c>
    </row>
    <row r="10" ht="26.25" customHeight="1">
      <c r="A10" s="25"/>
      <c r="B10" s="2" t="str">
        <f>IFERROR(__xludf.DUMMYFUNCTION("""COMPUTED_VALUE"""),"Ronald")</f>
        <v>Ronald</v>
      </c>
      <c r="C10" s="2" t="str">
        <f>IFERROR(__xludf.DUMMYFUNCTION("""COMPUTED_VALUE"""),"Connan")</f>
        <v>Connan</v>
      </c>
      <c r="D10" s="2" t="str">
        <f>IFERROR(__xludf.DUMMYFUNCTION("""COMPUTED_VALUE"""),"RonaldConnan@gmail.com")</f>
        <v>RonaldConnan@gmail.com</v>
      </c>
      <c r="E10" s="2" t="str">
        <f>IFERROR(__xludf.DUMMYFUNCTION("""COMPUTED_VALUE"""),"Physics1")</f>
        <v>Physics1</v>
      </c>
      <c r="F10" s="26" t="s">
        <v>88</v>
      </c>
      <c r="G10" s="2" t="s">
        <v>88</v>
      </c>
      <c r="H10" s="2" t="s">
        <v>88</v>
      </c>
      <c r="I10" s="2" t="s">
        <v>88</v>
      </c>
      <c r="J10" s="31" t="s">
        <v>87</v>
      </c>
      <c r="K10" s="32" t="s">
        <v>87</v>
      </c>
      <c r="L10" s="8" t="s">
        <v>87</v>
      </c>
      <c r="M10" s="8" t="s">
        <v>87</v>
      </c>
      <c r="N10" s="8" t="s">
        <v>87</v>
      </c>
      <c r="O10" s="31" t="s">
        <v>87</v>
      </c>
      <c r="P10" s="5">
        <f t="shared" si="1"/>
        <v>0.2</v>
      </c>
      <c r="Q10" s="28">
        <f t="shared" si="2"/>
        <v>1</v>
      </c>
      <c r="R10" s="29">
        <v>92.0</v>
      </c>
      <c r="S10" s="29">
        <v>79.0</v>
      </c>
      <c r="T10" s="29" t="s">
        <v>65</v>
      </c>
      <c r="U10" s="30">
        <f t="shared" si="3"/>
        <v>0.6</v>
      </c>
    </row>
    <row r="11" ht="26.25" customHeight="1">
      <c r="A11" s="25"/>
      <c r="B11" s="2" t="str">
        <f>IFERROR(__xludf.DUMMYFUNCTION("""COMPUTED_VALUE"""),"Anna")</f>
        <v>Anna</v>
      </c>
      <c r="C11" s="2" t="str">
        <f>IFERROR(__xludf.DUMMYFUNCTION("""COMPUTED_VALUE"""),"Tsakiris")</f>
        <v>Tsakiris</v>
      </c>
      <c r="D11" s="2" t="str">
        <f>IFERROR(__xludf.DUMMYFUNCTION("""COMPUTED_VALUE"""),"AnnaTsakiris@gmail.com")</f>
        <v>AnnaTsakiris@gmail.com</v>
      </c>
      <c r="E11" s="2" t="str">
        <f>IFERROR(__xludf.DUMMYFUNCTION("""COMPUTED_VALUE"""),"Physics1")</f>
        <v>Physics1</v>
      </c>
      <c r="F11" s="26" t="s">
        <v>87</v>
      </c>
      <c r="G11" s="2" t="s">
        <v>87</v>
      </c>
      <c r="H11" s="2" t="s">
        <v>88</v>
      </c>
      <c r="I11" s="2" t="s">
        <v>87</v>
      </c>
      <c r="J11" s="27" t="s">
        <v>87</v>
      </c>
      <c r="K11" s="26" t="s">
        <v>87</v>
      </c>
      <c r="L11" s="2" t="s">
        <v>87</v>
      </c>
      <c r="M11" s="2" t="s">
        <v>88</v>
      </c>
      <c r="N11" s="2" t="s">
        <v>87</v>
      </c>
      <c r="O11" s="27" t="s">
        <v>87</v>
      </c>
      <c r="P11" s="5">
        <f t="shared" si="1"/>
        <v>0.8</v>
      </c>
      <c r="Q11" s="28">
        <f t="shared" si="2"/>
        <v>0.8</v>
      </c>
      <c r="R11" s="29">
        <v>71.0</v>
      </c>
      <c r="S11" s="29">
        <v>79.0</v>
      </c>
      <c r="T11" s="29" t="s">
        <v>65</v>
      </c>
      <c r="U11" s="30">
        <f t="shared" si="3"/>
        <v>0.8</v>
      </c>
    </row>
    <row r="12" ht="26.25" customHeight="1">
      <c r="A12" s="25"/>
      <c r="B12" s="2" t="str">
        <f>IFERROR(__xludf.DUMMYFUNCTION("""COMPUTED_VALUE"""),"Neto")</f>
        <v>Neto</v>
      </c>
      <c r="C12" s="2" t="str">
        <f>IFERROR(__xludf.DUMMYFUNCTION("""COMPUTED_VALUE"""),"Juninhio")</f>
        <v>Juninhio</v>
      </c>
      <c r="D12" s="2" t="str">
        <f>IFERROR(__xludf.DUMMYFUNCTION("""COMPUTED_VALUE"""),"NetoJuninhio@gmail.com")</f>
        <v>NetoJuninhio@gmail.com</v>
      </c>
      <c r="E12" s="2" t="str">
        <f>IFERROR(__xludf.DUMMYFUNCTION("""COMPUTED_VALUE"""),"Physics1")</f>
        <v>Physics1</v>
      </c>
      <c r="F12" s="33" t="s">
        <v>87</v>
      </c>
      <c r="G12" s="34" t="s">
        <v>88</v>
      </c>
      <c r="H12" s="34" t="s">
        <v>88</v>
      </c>
      <c r="I12" s="34" t="s">
        <v>87</v>
      </c>
      <c r="J12" s="35" t="s">
        <v>87</v>
      </c>
      <c r="K12" s="33" t="s">
        <v>87</v>
      </c>
      <c r="L12" s="34" t="s">
        <v>88</v>
      </c>
      <c r="M12" s="34" t="s">
        <v>88</v>
      </c>
      <c r="N12" s="34" t="s">
        <v>87</v>
      </c>
      <c r="O12" s="35" t="s">
        <v>87</v>
      </c>
      <c r="P12" s="5">
        <f t="shared" si="1"/>
        <v>0.6</v>
      </c>
      <c r="Q12" s="28">
        <f t="shared" si="2"/>
        <v>0.6</v>
      </c>
      <c r="R12" s="29">
        <v>40.0</v>
      </c>
      <c r="S12" s="29">
        <v>66.0</v>
      </c>
      <c r="T12" s="29" t="s">
        <v>89</v>
      </c>
      <c r="U12" s="30">
        <f t="shared" si="3"/>
        <v>0.6</v>
      </c>
    </row>
    <row r="13" ht="26.25" customHeight="1">
      <c r="A13" s="25"/>
      <c r="U13" s="36"/>
    </row>
    <row r="14" ht="26.25" customHeight="1">
      <c r="A14" s="25"/>
      <c r="U14" s="36"/>
    </row>
    <row r="15" ht="26.25" customHeight="1">
      <c r="A15" s="25"/>
      <c r="U15" s="36"/>
    </row>
    <row r="16" ht="26.25" customHeight="1">
      <c r="A16" s="25"/>
      <c r="U16" s="36"/>
    </row>
    <row r="17" ht="26.25" customHeight="1">
      <c r="A17" s="25"/>
      <c r="U17" s="36"/>
    </row>
    <row r="18" ht="26.25" customHeight="1">
      <c r="A18" s="25"/>
      <c r="U18" s="36"/>
    </row>
    <row r="19" ht="26.25" customHeight="1">
      <c r="A19" s="25"/>
      <c r="U19" s="36"/>
    </row>
    <row r="20" ht="26.25" customHeight="1">
      <c r="A20" s="25"/>
      <c r="U20" s="36"/>
    </row>
    <row r="21" ht="26.25" customHeight="1">
      <c r="A21" s="25"/>
      <c r="U21" s="36"/>
    </row>
    <row r="22" ht="26.25" customHeight="1">
      <c r="A22" s="25"/>
      <c r="U22" s="36"/>
    </row>
    <row r="23" ht="26.25" customHeight="1">
      <c r="A23" s="25"/>
      <c r="U23" s="36"/>
    </row>
    <row r="24" ht="26.25" customHeight="1">
      <c r="A24" s="25"/>
      <c r="U24" s="36"/>
    </row>
    <row r="25" ht="26.25" customHeight="1">
      <c r="A25" s="25"/>
      <c r="U25" s="36"/>
    </row>
    <row r="26" ht="26.25" customHeight="1">
      <c r="A26" s="25"/>
      <c r="U26" s="36"/>
    </row>
    <row r="27" ht="26.25" customHeight="1">
      <c r="A27" s="25"/>
      <c r="U27" s="36"/>
    </row>
    <row r="28" ht="26.25" customHeight="1">
      <c r="A28" s="25"/>
      <c r="U28" s="36"/>
    </row>
    <row r="29" ht="26.25" customHeight="1">
      <c r="A29" s="37"/>
      <c r="U29" s="36"/>
    </row>
    <row r="30" ht="26.25" customHeight="1">
      <c r="A30" s="38"/>
      <c r="U30" s="36"/>
    </row>
    <row r="31" ht="26.25" customHeight="1">
      <c r="A31" s="38"/>
      <c r="U31" s="36"/>
    </row>
    <row r="32" ht="26.25" customHeight="1">
      <c r="A32" s="38"/>
      <c r="U32" s="36"/>
    </row>
    <row r="33" ht="26.25" customHeight="1">
      <c r="A33" s="38"/>
      <c r="U33" s="36"/>
    </row>
    <row r="34" ht="26.25" customHeight="1">
      <c r="A34" s="38"/>
      <c r="U34" s="36"/>
    </row>
    <row r="35" ht="26.25" customHeight="1">
      <c r="A35" s="38"/>
      <c r="U35" s="36"/>
    </row>
    <row r="36" ht="26.25" customHeight="1">
      <c r="A36" s="38"/>
      <c r="U36" s="36"/>
    </row>
    <row r="37" ht="26.25" customHeight="1">
      <c r="A37" s="38"/>
      <c r="U37" s="36"/>
    </row>
    <row r="38" ht="26.25" customHeight="1">
      <c r="A38" s="38"/>
      <c r="U38" s="36"/>
    </row>
    <row r="39" ht="26.25" customHeight="1">
      <c r="A39" s="38"/>
      <c r="U39" s="36"/>
    </row>
    <row r="40" ht="26.25" customHeight="1">
      <c r="A40" s="38"/>
      <c r="U40" s="36"/>
    </row>
    <row r="41" ht="26.25" customHeight="1">
      <c r="A41" s="38"/>
      <c r="U41" s="36"/>
    </row>
    <row r="42" ht="26.25" customHeight="1">
      <c r="A42" s="38"/>
      <c r="U42" s="36"/>
    </row>
    <row r="43" ht="26.25" customHeight="1">
      <c r="A43" s="38"/>
      <c r="U43" s="36"/>
    </row>
    <row r="44" ht="26.25" customHeight="1">
      <c r="A44" s="38"/>
      <c r="U44" s="36"/>
    </row>
    <row r="45" ht="26.25" customHeight="1">
      <c r="A45" s="38"/>
      <c r="U45" s="36"/>
    </row>
    <row r="46" ht="26.25" customHeight="1">
      <c r="A46" s="38"/>
      <c r="U46" s="36"/>
    </row>
    <row r="47" ht="26.25" customHeight="1">
      <c r="A47" s="38"/>
      <c r="U47" s="36"/>
    </row>
    <row r="48" ht="26.25" customHeight="1">
      <c r="A48" s="38"/>
      <c r="U48" s="36"/>
    </row>
    <row r="49" ht="26.25" customHeight="1">
      <c r="A49" s="38"/>
      <c r="U49" s="36"/>
    </row>
    <row r="50" ht="26.25" customHeight="1">
      <c r="A50" s="38"/>
      <c r="U50" s="36"/>
    </row>
    <row r="51" ht="26.25" customHeight="1">
      <c r="A51" s="38"/>
      <c r="U51" s="36"/>
    </row>
    <row r="52" ht="26.25" customHeight="1">
      <c r="A52" s="38"/>
      <c r="U52" s="36"/>
    </row>
    <row r="53" ht="26.25" customHeight="1">
      <c r="A53" s="38"/>
      <c r="U53" s="36"/>
    </row>
    <row r="54" ht="26.25" customHeight="1">
      <c r="A54" s="38"/>
      <c r="U54" s="36"/>
    </row>
    <row r="55" ht="26.25" customHeight="1">
      <c r="A55" s="38"/>
      <c r="U55" s="36"/>
    </row>
    <row r="56" ht="26.25" customHeight="1">
      <c r="A56" s="38"/>
      <c r="U56" s="36"/>
    </row>
    <row r="57" ht="26.25" customHeight="1">
      <c r="A57" s="38"/>
      <c r="U57" s="36"/>
    </row>
    <row r="58" ht="26.25" customHeight="1">
      <c r="A58" s="38"/>
      <c r="U58" s="36"/>
    </row>
    <row r="59" ht="26.25" customHeight="1">
      <c r="A59" s="38"/>
      <c r="U59" s="36"/>
    </row>
    <row r="60" ht="26.25" customHeight="1">
      <c r="A60" s="38"/>
      <c r="U60" s="36"/>
    </row>
    <row r="61" ht="26.25" customHeight="1">
      <c r="A61" s="38"/>
      <c r="U61" s="36"/>
    </row>
    <row r="62" ht="26.25" customHeight="1">
      <c r="A62" s="38"/>
      <c r="U62" s="36"/>
    </row>
    <row r="63" ht="26.25" customHeight="1">
      <c r="A63" s="38"/>
      <c r="U63" s="36"/>
    </row>
    <row r="64" ht="26.25" customHeight="1">
      <c r="A64" s="38"/>
      <c r="U64" s="36"/>
    </row>
    <row r="65" ht="26.25" customHeight="1">
      <c r="A65" s="38"/>
      <c r="U65" s="36"/>
    </row>
    <row r="66" ht="26.25" customHeight="1">
      <c r="A66" s="38"/>
      <c r="U66" s="36"/>
    </row>
    <row r="67" ht="26.25" customHeight="1">
      <c r="A67" s="38"/>
      <c r="U67" s="36"/>
    </row>
    <row r="68" ht="26.25" customHeight="1">
      <c r="A68" s="38"/>
      <c r="U68" s="36"/>
    </row>
    <row r="69" ht="26.25" customHeight="1">
      <c r="A69" s="38"/>
      <c r="U69" s="36"/>
    </row>
    <row r="70" ht="26.25" customHeight="1">
      <c r="A70" s="38"/>
      <c r="U70" s="36"/>
    </row>
    <row r="71" ht="26.25" customHeight="1">
      <c r="A71" s="38"/>
      <c r="U71" s="36"/>
    </row>
    <row r="72" ht="26.25" customHeight="1">
      <c r="A72" s="38"/>
      <c r="U72" s="36"/>
    </row>
    <row r="73" ht="26.25" customHeight="1">
      <c r="A73" s="38"/>
      <c r="U73" s="36"/>
    </row>
    <row r="74" ht="26.25" customHeight="1">
      <c r="A74" s="38"/>
      <c r="U74" s="36"/>
    </row>
    <row r="75" ht="26.25" customHeight="1">
      <c r="A75" s="38"/>
      <c r="U75" s="36"/>
    </row>
    <row r="76" ht="26.25" customHeight="1">
      <c r="A76" s="38"/>
      <c r="U76" s="36"/>
    </row>
    <row r="77" ht="26.25" customHeight="1">
      <c r="A77" s="38"/>
      <c r="U77" s="36"/>
    </row>
    <row r="78" ht="26.25" customHeight="1">
      <c r="A78" s="38"/>
      <c r="U78" s="36"/>
    </row>
    <row r="79" ht="26.25" customHeight="1">
      <c r="A79" s="38"/>
      <c r="U79" s="36"/>
    </row>
    <row r="80" ht="26.25" customHeight="1">
      <c r="A80" s="38"/>
      <c r="U80" s="36"/>
    </row>
    <row r="81" ht="26.25" customHeight="1">
      <c r="A81" s="38"/>
      <c r="U81" s="36"/>
    </row>
    <row r="82" ht="26.25" customHeight="1">
      <c r="A82" s="38"/>
      <c r="U82" s="36"/>
    </row>
    <row r="83" ht="26.25" customHeight="1">
      <c r="A83" s="38"/>
      <c r="U83" s="36"/>
    </row>
    <row r="84" ht="26.25" customHeight="1">
      <c r="A84" s="38"/>
      <c r="U84" s="36"/>
    </row>
    <row r="85" ht="26.25" customHeight="1">
      <c r="A85" s="38"/>
      <c r="U85" s="36"/>
    </row>
    <row r="86" ht="26.25" customHeight="1">
      <c r="A86" s="38"/>
      <c r="U86" s="36"/>
    </row>
    <row r="87" ht="26.25" customHeight="1">
      <c r="A87" s="38"/>
      <c r="U87" s="36"/>
    </row>
    <row r="88" ht="26.25" customHeight="1">
      <c r="A88" s="38"/>
      <c r="U88" s="36"/>
    </row>
    <row r="89" ht="26.25" customHeight="1">
      <c r="A89" s="38"/>
      <c r="U89" s="36"/>
    </row>
    <row r="90" ht="26.25" customHeight="1">
      <c r="A90" s="38"/>
      <c r="U90" s="36"/>
    </row>
    <row r="91" ht="26.25" customHeight="1">
      <c r="A91" s="38"/>
      <c r="U91" s="36"/>
    </row>
    <row r="92" ht="26.25" customHeight="1">
      <c r="A92" s="38"/>
      <c r="U92" s="36"/>
    </row>
    <row r="93" ht="26.25" customHeight="1">
      <c r="A93" s="38"/>
      <c r="U93" s="36"/>
    </row>
    <row r="94" ht="26.25" customHeight="1">
      <c r="A94" s="38"/>
      <c r="U94" s="36"/>
    </row>
    <row r="95" ht="26.25" customHeight="1">
      <c r="A95" s="38"/>
      <c r="U95" s="36"/>
    </row>
    <row r="96" ht="26.25" customHeight="1">
      <c r="A96" s="38"/>
      <c r="U96" s="36"/>
    </row>
    <row r="97" ht="26.25" customHeight="1">
      <c r="A97" s="38"/>
      <c r="U97" s="36"/>
    </row>
    <row r="98" ht="26.25" customHeight="1">
      <c r="A98" s="38"/>
      <c r="U98" s="36"/>
    </row>
    <row r="99" ht="26.25" customHeight="1">
      <c r="A99" s="38"/>
      <c r="U99" s="36"/>
    </row>
    <row r="100" ht="26.25" customHeight="1">
      <c r="A100" s="38"/>
      <c r="U100" s="36"/>
    </row>
    <row r="101" ht="26.25" customHeight="1">
      <c r="A101" s="38"/>
      <c r="U101" s="36"/>
    </row>
    <row r="102" ht="26.25" customHeight="1">
      <c r="A102" s="38"/>
      <c r="U102" s="36"/>
    </row>
    <row r="103" ht="26.25" customHeight="1">
      <c r="A103" s="38"/>
      <c r="U103" s="36"/>
    </row>
    <row r="104" ht="26.25" customHeight="1">
      <c r="A104" s="38"/>
      <c r="U104" s="36"/>
    </row>
    <row r="105" ht="26.25" customHeight="1">
      <c r="A105" s="38"/>
      <c r="U105" s="36"/>
    </row>
    <row r="106" ht="26.25" customHeight="1">
      <c r="A106" s="38"/>
      <c r="U106" s="36"/>
    </row>
    <row r="107" ht="26.25" customHeight="1">
      <c r="A107" s="38"/>
      <c r="U107" s="36"/>
    </row>
    <row r="108" ht="26.25" customHeight="1">
      <c r="A108" s="38"/>
      <c r="U108" s="36"/>
    </row>
    <row r="109" ht="26.25" customHeight="1">
      <c r="A109" s="38"/>
      <c r="U109" s="36"/>
    </row>
    <row r="110" ht="26.25" customHeight="1">
      <c r="A110" s="38"/>
      <c r="U110" s="36"/>
    </row>
    <row r="111" ht="26.25" customHeight="1">
      <c r="A111" s="38"/>
      <c r="U111" s="36"/>
    </row>
    <row r="112" ht="26.25" customHeight="1">
      <c r="A112" s="38"/>
      <c r="U112" s="36"/>
    </row>
    <row r="113" ht="26.25" customHeight="1">
      <c r="A113" s="38"/>
      <c r="U113" s="36"/>
    </row>
    <row r="114" ht="26.25" customHeight="1">
      <c r="A114" s="38"/>
      <c r="U114" s="36"/>
    </row>
    <row r="115" ht="26.25" customHeight="1">
      <c r="A115" s="38"/>
      <c r="U115" s="36"/>
    </row>
    <row r="116" ht="26.25" customHeight="1">
      <c r="A116" s="38"/>
      <c r="U116" s="36"/>
    </row>
    <row r="117" ht="26.25" customHeight="1">
      <c r="A117" s="38"/>
      <c r="U117" s="36"/>
    </row>
    <row r="118" ht="26.25" customHeight="1">
      <c r="A118" s="38"/>
      <c r="U118" s="36"/>
    </row>
    <row r="119" ht="26.25" customHeight="1">
      <c r="A119" s="38"/>
      <c r="U119" s="36"/>
    </row>
    <row r="120" ht="26.25" customHeight="1">
      <c r="A120" s="38"/>
      <c r="U120" s="36"/>
    </row>
    <row r="121" ht="26.25" customHeight="1">
      <c r="A121" s="38"/>
      <c r="U121" s="36"/>
    </row>
    <row r="122" ht="26.25" customHeight="1">
      <c r="A122" s="38"/>
      <c r="U122" s="36"/>
    </row>
    <row r="123" ht="26.25" customHeight="1">
      <c r="A123" s="38"/>
      <c r="U123" s="36"/>
    </row>
    <row r="124" ht="26.25" customHeight="1">
      <c r="A124" s="38"/>
      <c r="U124" s="36"/>
    </row>
    <row r="125" ht="26.25" customHeight="1">
      <c r="A125" s="38"/>
      <c r="U125" s="36"/>
    </row>
    <row r="126" ht="26.25" customHeight="1">
      <c r="A126" s="38"/>
      <c r="U126" s="36"/>
    </row>
    <row r="127" ht="26.25" customHeight="1">
      <c r="A127" s="38"/>
      <c r="U127" s="36"/>
    </row>
    <row r="128" ht="26.25" customHeight="1">
      <c r="A128" s="38"/>
      <c r="U128" s="36"/>
    </row>
    <row r="129" ht="26.25" customHeight="1">
      <c r="A129" s="38"/>
      <c r="U129" s="36"/>
    </row>
    <row r="130" ht="26.25" customHeight="1">
      <c r="A130" s="38"/>
      <c r="U130" s="36"/>
    </row>
    <row r="131" ht="26.25" customHeight="1">
      <c r="A131" s="38"/>
      <c r="U131" s="36"/>
    </row>
    <row r="132" ht="26.25" customHeight="1">
      <c r="A132" s="38"/>
      <c r="U132" s="36"/>
    </row>
    <row r="133" ht="26.25" customHeight="1">
      <c r="A133" s="38"/>
      <c r="U133" s="36"/>
    </row>
    <row r="134" ht="26.25" customHeight="1">
      <c r="A134" s="38"/>
      <c r="U134" s="36"/>
    </row>
    <row r="135" ht="26.25" customHeight="1">
      <c r="A135" s="38"/>
      <c r="U135" s="36"/>
    </row>
    <row r="136" ht="26.25" customHeight="1">
      <c r="A136" s="38"/>
      <c r="U136" s="36"/>
    </row>
    <row r="137" ht="26.25" customHeight="1">
      <c r="A137" s="38"/>
      <c r="U137" s="36"/>
    </row>
    <row r="138" ht="26.25" customHeight="1">
      <c r="A138" s="38"/>
      <c r="U138" s="36"/>
    </row>
    <row r="139" ht="26.25" customHeight="1">
      <c r="A139" s="38"/>
      <c r="U139" s="36"/>
    </row>
    <row r="140" ht="26.25" customHeight="1">
      <c r="A140" s="38"/>
      <c r="U140" s="36"/>
    </row>
    <row r="141" ht="26.25" customHeight="1">
      <c r="A141" s="38"/>
      <c r="U141" s="36"/>
    </row>
    <row r="142" ht="26.25" customHeight="1">
      <c r="A142" s="38"/>
      <c r="U142" s="36"/>
    </row>
    <row r="143" ht="26.25" customHeight="1">
      <c r="A143" s="38"/>
      <c r="U143" s="36"/>
    </row>
    <row r="144" ht="26.25" customHeight="1">
      <c r="A144" s="38"/>
      <c r="U144" s="36"/>
    </row>
    <row r="145" ht="26.25" customHeight="1">
      <c r="A145" s="38"/>
      <c r="U145" s="36"/>
    </row>
    <row r="146" ht="26.25" customHeight="1">
      <c r="A146" s="38"/>
      <c r="U146" s="36"/>
    </row>
    <row r="147" ht="26.25" customHeight="1">
      <c r="A147" s="38"/>
      <c r="U147" s="36"/>
    </row>
    <row r="148" ht="26.25" customHeight="1">
      <c r="A148" s="38"/>
      <c r="U148" s="36"/>
    </row>
    <row r="149" ht="26.25" customHeight="1">
      <c r="A149" s="38"/>
      <c r="U149" s="36"/>
    </row>
    <row r="150" ht="26.25" customHeight="1">
      <c r="A150" s="38"/>
      <c r="U150" s="36"/>
    </row>
    <row r="151" ht="26.25" customHeight="1">
      <c r="A151" s="38"/>
      <c r="U151" s="36"/>
    </row>
    <row r="152" ht="26.25" customHeight="1">
      <c r="A152" s="38"/>
      <c r="U152" s="36"/>
    </row>
    <row r="153" ht="26.25" customHeight="1">
      <c r="A153" s="38"/>
      <c r="U153" s="36"/>
    </row>
    <row r="154" ht="26.25" customHeight="1">
      <c r="A154" s="38"/>
      <c r="U154" s="36"/>
    </row>
    <row r="155" ht="26.25" customHeight="1">
      <c r="A155" s="38"/>
      <c r="U155" s="36"/>
    </row>
    <row r="156" ht="26.25" customHeight="1">
      <c r="A156" s="38"/>
      <c r="U156" s="36"/>
    </row>
    <row r="157" ht="26.25" customHeight="1">
      <c r="A157" s="38"/>
      <c r="U157" s="36"/>
    </row>
    <row r="158" ht="26.25" customHeight="1">
      <c r="A158" s="38"/>
      <c r="U158" s="36"/>
    </row>
    <row r="159" ht="26.25" customHeight="1">
      <c r="A159" s="38"/>
      <c r="U159" s="36"/>
    </row>
    <row r="160" ht="26.25" customHeight="1">
      <c r="A160" s="38"/>
      <c r="U160" s="36"/>
    </row>
    <row r="161" ht="26.25" customHeight="1">
      <c r="A161" s="38"/>
      <c r="U161" s="36"/>
    </row>
    <row r="162" ht="26.25" customHeight="1">
      <c r="A162" s="38"/>
      <c r="U162" s="36"/>
    </row>
    <row r="163" ht="26.25" customHeight="1">
      <c r="A163" s="38"/>
      <c r="U163" s="36"/>
    </row>
    <row r="164" ht="26.25" customHeight="1">
      <c r="A164" s="38"/>
      <c r="U164" s="36"/>
    </row>
    <row r="165" ht="26.25" customHeight="1">
      <c r="A165" s="38"/>
      <c r="U165" s="36"/>
    </row>
    <row r="166" ht="26.25" customHeight="1">
      <c r="A166" s="38"/>
      <c r="U166" s="36"/>
    </row>
    <row r="167" ht="26.25" customHeight="1">
      <c r="A167" s="38"/>
      <c r="U167" s="36"/>
    </row>
    <row r="168" ht="26.25" customHeight="1">
      <c r="A168" s="38"/>
      <c r="U168" s="36"/>
    </row>
    <row r="169" ht="26.25" customHeight="1">
      <c r="A169" s="38"/>
      <c r="U169" s="36"/>
    </row>
    <row r="170" ht="26.25" customHeight="1">
      <c r="A170" s="38"/>
      <c r="U170" s="36"/>
    </row>
    <row r="171" ht="26.25" customHeight="1">
      <c r="A171" s="38"/>
      <c r="U171" s="36"/>
    </row>
    <row r="172" ht="26.25" customHeight="1">
      <c r="A172" s="38"/>
      <c r="U172" s="36"/>
    </row>
    <row r="173" ht="26.25" customHeight="1">
      <c r="A173" s="38"/>
      <c r="U173" s="36"/>
    </row>
    <row r="174" ht="26.25" customHeight="1">
      <c r="A174" s="38"/>
      <c r="U174" s="36"/>
    </row>
    <row r="175" ht="26.25" customHeight="1">
      <c r="A175" s="38"/>
      <c r="U175" s="36"/>
    </row>
    <row r="176" ht="26.25" customHeight="1">
      <c r="A176" s="38"/>
      <c r="U176" s="36"/>
    </row>
    <row r="177" ht="26.25" customHeight="1">
      <c r="A177" s="38"/>
      <c r="U177" s="36"/>
    </row>
    <row r="178" ht="26.25" customHeight="1">
      <c r="A178" s="38"/>
      <c r="U178" s="36"/>
    </row>
    <row r="179" ht="26.25" customHeight="1">
      <c r="A179" s="38"/>
      <c r="U179" s="36"/>
    </row>
    <row r="180" ht="26.25" customHeight="1">
      <c r="A180" s="38"/>
      <c r="U180" s="36"/>
    </row>
    <row r="181" ht="26.25" customHeight="1">
      <c r="A181" s="38"/>
      <c r="U181" s="36"/>
    </row>
    <row r="182" ht="26.25" customHeight="1">
      <c r="A182" s="38"/>
      <c r="U182" s="36"/>
    </row>
    <row r="183" ht="26.25" customHeight="1">
      <c r="A183" s="38"/>
      <c r="U183" s="36"/>
    </row>
    <row r="184" ht="26.25" customHeight="1">
      <c r="A184" s="38"/>
      <c r="U184" s="36"/>
    </row>
    <row r="185" ht="26.25" customHeight="1">
      <c r="A185" s="38"/>
      <c r="U185" s="36"/>
    </row>
    <row r="186" ht="26.25" customHeight="1">
      <c r="A186" s="38"/>
      <c r="U186" s="36"/>
    </row>
    <row r="187" ht="26.25" customHeight="1">
      <c r="A187" s="38"/>
      <c r="U187" s="36"/>
    </row>
    <row r="188" ht="26.25" customHeight="1">
      <c r="A188" s="38"/>
      <c r="U188" s="36"/>
    </row>
    <row r="189" ht="26.25" customHeight="1">
      <c r="A189" s="38"/>
      <c r="U189" s="36"/>
    </row>
    <row r="190" ht="26.25" customHeight="1">
      <c r="A190" s="38"/>
      <c r="U190" s="36"/>
    </row>
    <row r="191" ht="26.25" customHeight="1">
      <c r="A191" s="38"/>
      <c r="U191" s="36"/>
    </row>
    <row r="192" ht="26.25" customHeight="1">
      <c r="A192" s="38"/>
      <c r="U192" s="36"/>
    </row>
    <row r="193" ht="26.25" customHeight="1">
      <c r="A193" s="38"/>
      <c r="U193" s="36"/>
    </row>
    <row r="194" ht="26.25" customHeight="1">
      <c r="A194" s="38"/>
      <c r="U194" s="36"/>
    </row>
    <row r="195" ht="26.25" customHeight="1">
      <c r="A195" s="38"/>
      <c r="U195" s="36"/>
    </row>
    <row r="196" ht="26.25" customHeight="1">
      <c r="A196" s="38"/>
      <c r="U196" s="36"/>
    </row>
    <row r="197" ht="26.25" customHeight="1">
      <c r="A197" s="38"/>
      <c r="U197" s="36"/>
    </row>
    <row r="198" ht="26.25" customHeight="1">
      <c r="A198" s="38"/>
      <c r="U198" s="36"/>
    </row>
    <row r="199" ht="26.25" customHeight="1">
      <c r="A199" s="38"/>
      <c r="U199" s="36"/>
    </row>
    <row r="200" ht="26.25" customHeight="1">
      <c r="A200" s="38"/>
      <c r="U200" s="36"/>
    </row>
    <row r="201" ht="26.25" customHeight="1">
      <c r="A201" s="38"/>
      <c r="U201" s="36"/>
    </row>
    <row r="202" ht="26.25" customHeight="1">
      <c r="A202" s="38"/>
      <c r="U202" s="36"/>
    </row>
    <row r="203" ht="26.25" customHeight="1">
      <c r="A203" s="38"/>
      <c r="U203" s="36"/>
    </row>
    <row r="204" ht="26.25" customHeight="1">
      <c r="A204" s="38"/>
      <c r="U204" s="36"/>
    </row>
    <row r="205" ht="26.25" customHeight="1">
      <c r="A205" s="38"/>
      <c r="U205" s="36"/>
    </row>
    <row r="206" ht="26.25" customHeight="1">
      <c r="A206" s="38"/>
      <c r="U206" s="36"/>
    </row>
    <row r="207" ht="26.25" customHeight="1">
      <c r="A207" s="38"/>
      <c r="U207" s="36"/>
    </row>
    <row r="208" ht="26.25" customHeight="1">
      <c r="A208" s="38"/>
      <c r="U208" s="36"/>
    </row>
    <row r="209" ht="26.25" customHeight="1">
      <c r="A209" s="38"/>
      <c r="U209" s="36"/>
    </row>
    <row r="210" ht="26.25" customHeight="1">
      <c r="A210" s="38"/>
      <c r="U210" s="36"/>
    </row>
    <row r="211" ht="26.25" customHeight="1">
      <c r="A211" s="38"/>
      <c r="U211" s="36"/>
    </row>
    <row r="212" ht="26.25" customHeight="1">
      <c r="A212" s="38"/>
      <c r="U212" s="36"/>
    </row>
    <row r="213" ht="26.25" customHeight="1">
      <c r="A213" s="38"/>
      <c r="U213" s="36"/>
    </row>
    <row r="214" ht="26.25" customHeight="1">
      <c r="A214" s="38"/>
      <c r="U214" s="36"/>
    </row>
    <row r="215" ht="26.25" customHeight="1">
      <c r="A215" s="38"/>
      <c r="U215" s="36"/>
    </row>
    <row r="216" ht="26.25" customHeight="1">
      <c r="A216" s="38"/>
      <c r="U216" s="36"/>
    </row>
    <row r="217" ht="26.25" customHeight="1">
      <c r="A217" s="38"/>
      <c r="U217" s="36"/>
    </row>
    <row r="218" ht="26.25" customHeight="1">
      <c r="A218" s="38"/>
      <c r="U218" s="36"/>
    </row>
    <row r="219" ht="26.25" customHeight="1">
      <c r="A219" s="38"/>
      <c r="U219" s="36"/>
    </row>
    <row r="220" ht="26.25" customHeight="1">
      <c r="A220" s="38"/>
      <c r="U220" s="36"/>
    </row>
    <row r="221" ht="26.25" customHeight="1">
      <c r="A221" s="38"/>
      <c r="U221" s="36"/>
    </row>
    <row r="222" ht="26.25" customHeight="1">
      <c r="A222" s="38"/>
      <c r="U222" s="36"/>
    </row>
    <row r="223" ht="26.25" customHeight="1">
      <c r="A223" s="38"/>
      <c r="U223" s="36"/>
    </row>
    <row r="224" ht="26.25" customHeight="1">
      <c r="A224" s="38"/>
      <c r="U224" s="36"/>
    </row>
    <row r="225" ht="26.25" customHeight="1">
      <c r="A225" s="38"/>
      <c r="U225" s="36"/>
    </row>
    <row r="226" ht="26.25" customHeight="1">
      <c r="A226" s="38"/>
      <c r="U226" s="36"/>
    </row>
    <row r="227" ht="26.25" customHeight="1">
      <c r="A227" s="38"/>
      <c r="U227" s="36"/>
    </row>
    <row r="228" ht="26.25" customHeight="1">
      <c r="A228" s="38"/>
      <c r="U228" s="36"/>
    </row>
    <row r="229" ht="26.25" customHeight="1">
      <c r="A229" s="38"/>
      <c r="U229" s="36"/>
    </row>
    <row r="230" ht="26.25" customHeight="1">
      <c r="A230" s="38"/>
      <c r="U230" s="36"/>
    </row>
    <row r="231" ht="26.25" customHeight="1">
      <c r="A231" s="38"/>
      <c r="U231" s="36"/>
    </row>
    <row r="232" ht="26.25" customHeight="1">
      <c r="A232" s="38"/>
      <c r="U232" s="36"/>
    </row>
    <row r="233" ht="26.25" customHeight="1">
      <c r="A233" s="38"/>
      <c r="U233" s="36"/>
    </row>
    <row r="234" ht="26.25" customHeight="1">
      <c r="A234" s="38"/>
      <c r="U234" s="36"/>
    </row>
    <row r="235" ht="26.25" customHeight="1">
      <c r="A235" s="38"/>
      <c r="U235" s="36"/>
    </row>
    <row r="236" ht="26.25" customHeight="1">
      <c r="A236" s="38"/>
      <c r="U236" s="36"/>
    </row>
    <row r="237" ht="26.25" customHeight="1">
      <c r="A237" s="38"/>
      <c r="U237" s="36"/>
    </row>
    <row r="238" ht="26.25" customHeight="1">
      <c r="A238" s="38"/>
      <c r="U238" s="36"/>
    </row>
    <row r="239" ht="26.25" customHeight="1">
      <c r="A239" s="38"/>
      <c r="U239" s="36"/>
    </row>
    <row r="240" ht="26.25" customHeight="1">
      <c r="A240" s="38"/>
      <c r="U240" s="36"/>
    </row>
    <row r="241" ht="26.25" customHeight="1">
      <c r="A241" s="38"/>
      <c r="U241" s="36"/>
    </row>
    <row r="242" ht="26.25" customHeight="1">
      <c r="A242" s="38"/>
      <c r="U242" s="36"/>
    </row>
    <row r="243" ht="26.25" customHeight="1">
      <c r="A243" s="38"/>
      <c r="U243" s="36"/>
    </row>
    <row r="244" ht="26.25" customHeight="1">
      <c r="A244" s="38"/>
      <c r="U244" s="36"/>
    </row>
    <row r="245" ht="26.25" customHeight="1">
      <c r="A245" s="38"/>
      <c r="U245" s="36"/>
    </row>
    <row r="246" ht="26.25" customHeight="1">
      <c r="A246" s="38"/>
      <c r="U246" s="36"/>
    </row>
    <row r="247" ht="26.25" customHeight="1">
      <c r="A247" s="38"/>
      <c r="U247" s="36"/>
    </row>
    <row r="248" ht="26.25" customHeight="1">
      <c r="A248" s="38"/>
      <c r="U248" s="36"/>
    </row>
    <row r="249" ht="26.25" customHeight="1">
      <c r="A249" s="38"/>
      <c r="U249" s="36"/>
    </row>
    <row r="250" ht="26.25" customHeight="1">
      <c r="A250" s="38"/>
      <c r="U250" s="36"/>
    </row>
    <row r="251" ht="26.25" customHeight="1">
      <c r="A251" s="38"/>
      <c r="U251" s="36"/>
    </row>
    <row r="252" ht="26.25" customHeight="1">
      <c r="A252" s="38"/>
      <c r="U252" s="36"/>
    </row>
    <row r="253" ht="26.25" customHeight="1">
      <c r="A253" s="38"/>
      <c r="U253" s="36"/>
    </row>
    <row r="254" ht="26.25" customHeight="1">
      <c r="A254" s="38"/>
      <c r="U254" s="36"/>
    </row>
    <row r="255" ht="26.25" customHeight="1">
      <c r="A255" s="38"/>
      <c r="U255" s="36"/>
    </row>
    <row r="256" ht="26.25" customHeight="1">
      <c r="A256" s="38"/>
      <c r="U256" s="36"/>
    </row>
    <row r="257" ht="26.25" customHeight="1">
      <c r="A257" s="38"/>
      <c r="U257" s="36"/>
    </row>
    <row r="258" ht="26.25" customHeight="1">
      <c r="A258" s="38"/>
      <c r="U258" s="36"/>
    </row>
    <row r="259" ht="26.25" customHeight="1">
      <c r="A259" s="38"/>
      <c r="U259" s="36"/>
    </row>
    <row r="260" ht="26.25" customHeight="1">
      <c r="A260" s="38"/>
      <c r="U260" s="36"/>
    </row>
    <row r="261" ht="26.25" customHeight="1">
      <c r="A261" s="38"/>
      <c r="U261" s="36"/>
    </row>
    <row r="262" ht="26.25" customHeight="1">
      <c r="A262" s="38"/>
      <c r="U262" s="36"/>
    </row>
    <row r="263" ht="26.25" customHeight="1">
      <c r="A263" s="38"/>
      <c r="U263" s="36"/>
    </row>
    <row r="264" ht="26.25" customHeight="1">
      <c r="A264" s="38"/>
      <c r="U264" s="36"/>
    </row>
    <row r="265" ht="26.25" customHeight="1">
      <c r="A265" s="38"/>
      <c r="U265" s="36"/>
    </row>
    <row r="266" ht="26.25" customHeight="1">
      <c r="A266" s="38"/>
      <c r="U266" s="36"/>
    </row>
    <row r="267" ht="26.25" customHeight="1">
      <c r="A267" s="38"/>
      <c r="U267" s="36"/>
    </row>
    <row r="268" ht="26.25" customHeight="1">
      <c r="A268" s="38"/>
      <c r="U268" s="36"/>
    </row>
    <row r="269" ht="26.25" customHeight="1">
      <c r="A269" s="38"/>
      <c r="U269" s="36"/>
    </row>
    <row r="270" ht="26.25" customHeight="1">
      <c r="A270" s="38"/>
      <c r="U270" s="36"/>
    </row>
    <row r="271" ht="26.25" customHeight="1">
      <c r="A271" s="38"/>
      <c r="U271" s="36"/>
    </row>
    <row r="272" ht="26.25" customHeight="1">
      <c r="A272" s="38"/>
      <c r="U272" s="36"/>
    </row>
    <row r="273" ht="26.25" customHeight="1">
      <c r="A273" s="38"/>
      <c r="U273" s="36"/>
    </row>
    <row r="274" ht="26.25" customHeight="1">
      <c r="A274" s="38"/>
      <c r="U274" s="36"/>
    </row>
    <row r="275" ht="26.25" customHeight="1">
      <c r="A275" s="38"/>
      <c r="U275" s="36"/>
    </row>
    <row r="276" ht="26.25" customHeight="1">
      <c r="A276" s="38"/>
      <c r="U276" s="36"/>
    </row>
    <row r="277" ht="26.25" customHeight="1">
      <c r="A277" s="38"/>
      <c r="U277" s="36"/>
    </row>
    <row r="278" ht="26.25" customHeight="1">
      <c r="A278" s="38"/>
      <c r="U278" s="36"/>
    </row>
    <row r="279" ht="26.25" customHeight="1">
      <c r="A279" s="38"/>
      <c r="U279" s="36"/>
    </row>
    <row r="280" ht="26.25" customHeight="1">
      <c r="A280" s="38"/>
      <c r="U280" s="36"/>
    </row>
    <row r="281" ht="26.25" customHeight="1">
      <c r="A281" s="38"/>
      <c r="U281" s="36"/>
    </row>
    <row r="282" ht="26.25" customHeight="1">
      <c r="A282" s="38"/>
      <c r="U282" s="36"/>
    </row>
    <row r="283" ht="26.25" customHeight="1">
      <c r="A283" s="38"/>
      <c r="U283" s="36"/>
    </row>
    <row r="284" ht="26.25" customHeight="1">
      <c r="A284" s="38"/>
      <c r="U284" s="36"/>
    </row>
    <row r="285" ht="26.25" customHeight="1">
      <c r="A285" s="38"/>
      <c r="U285" s="36"/>
    </row>
    <row r="286" ht="26.25" customHeight="1">
      <c r="A286" s="38"/>
      <c r="U286" s="36"/>
    </row>
    <row r="287" ht="26.25" customHeight="1">
      <c r="A287" s="38"/>
      <c r="U287" s="36"/>
    </row>
    <row r="288" ht="26.25" customHeight="1">
      <c r="A288" s="38"/>
      <c r="U288" s="36"/>
    </row>
    <row r="289" ht="26.25" customHeight="1">
      <c r="A289" s="38"/>
      <c r="U289" s="36"/>
    </row>
    <row r="290" ht="26.25" customHeight="1">
      <c r="A290" s="38"/>
      <c r="U290" s="36"/>
    </row>
    <row r="291" ht="26.25" customHeight="1">
      <c r="A291" s="38"/>
      <c r="U291" s="36"/>
    </row>
    <row r="292" ht="26.25" customHeight="1">
      <c r="A292" s="38"/>
      <c r="U292" s="36"/>
    </row>
    <row r="293" ht="26.25" customHeight="1">
      <c r="A293" s="38"/>
      <c r="U293" s="36"/>
    </row>
    <row r="294" ht="26.25" customHeight="1">
      <c r="A294" s="38"/>
      <c r="U294" s="36"/>
    </row>
    <row r="295" ht="26.25" customHeight="1">
      <c r="A295" s="38"/>
      <c r="U295" s="36"/>
    </row>
    <row r="296" ht="26.25" customHeight="1">
      <c r="A296" s="38"/>
      <c r="U296" s="36"/>
    </row>
    <row r="297" ht="26.25" customHeight="1">
      <c r="A297" s="38"/>
      <c r="U297" s="36"/>
    </row>
    <row r="298" ht="26.25" customHeight="1">
      <c r="A298" s="38"/>
      <c r="U298" s="36"/>
    </row>
    <row r="299" ht="26.25" customHeight="1">
      <c r="A299" s="38"/>
      <c r="U299" s="36"/>
    </row>
    <row r="300" ht="26.25" customHeight="1">
      <c r="A300" s="38"/>
      <c r="U300" s="36"/>
    </row>
    <row r="301" ht="26.25" customHeight="1">
      <c r="A301" s="38"/>
      <c r="U301" s="36"/>
    </row>
    <row r="302" ht="26.25" customHeight="1">
      <c r="A302" s="38"/>
      <c r="U302" s="36"/>
    </row>
    <row r="303" ht="26.25" customHeight="1">
      <c r="A303" s="38"/>
      <c r="U303" s="36"/>
    </row>
    <row r="304" ht="26.25" customHeight="1">
      <c r="A304" s="38"/>
      <c r="U304" s="36"/>
    </row>
    <row r="305" ht="26.25" customHeight="1">
      <c r="A305" s="38"/>
      <c r="U305" s="36"/>
    </row>
    <row r="306" ht="26.25" customHeight="1">
      <c r="A306" s="38"/>
      <c r="U306" s="36"/>
    </row>
    <row r="307" ht="26.25" customHeight="1">
      <c r="A307" s="38"/>
      <c r="U307" s="36"/>
    </row>
    <row r="308" ht="26.25" customHeight="1">
      <c r="A308" s="38"/>
      <c r="U308" s="36"/>
    </row>
    <row r="309" ht="26.25" customHeight="1">
      <c r="A309" s="38"/>
      <c r="U309" s="36"/>
    </row>
    <row r="310" ht="26.25" customHeight="1">
      <c r="A310" s="38"/>
      <c r="U310" s="36"/>
    </row>
    <row r="311" ht="26.25" customHeight="1">
      <c r="A311" s="38"/>
      <c r="U311" s="36"/>
    </row>
    <row r="312" ht="26.25" customHeight="1">
      <c r="A312" s="38"/>
      <c r="U312" s="36"/>
    </row>
    <row r="313" ht="26.25" customHeight="1">
      <c r="A313" s="38"/>
      <c r="U313" s="36"/>
    </row>
    <row r="314" ht="26.25" customHeight="1">
      <c r="A314" s="38"/>
      <c r="U314" s="36"/>
    </row>
    <row r="315" ht="26.25" customHeight="1">
      <c r="A315" s="38"/>
      <c r="U315" s="36"/>
    </row>
    <row r="316" ht="26.25" customHeight="1">
      <c r="A316" s="38"/>
      <c r="U316" s="36"/>
    </row>
    <row r="317" ht="26.25" customHeight="1">
      <c r="A317" s="38"/>
      <c r="U317" s="36"/>
    </row>
    <row r="318" ht="26.25" customHeight="1">
      <c r="A318" s="38"/>
      <c r="U318" s="36"/>
    </row>
    <row r="319" ht="26.25" customHeight="1">
      <c r="A319" s="38"/>
      <c r="U319" s="36"/>
    </row>
    <row r="320" ht="26.25" customHeight="1">
      <c r="A320" s="38"/>
      <c r="U320" s="36"/>
    </row>
    <row r="321" ht="26.25" customHeight="1">
      <c r="A321" s="38"/>
      <c r="U321" s="36"/>
    </row>
    <row r="322" ht="26.25" customHeight="1">
      <c r="A322" s="38"/>
      <c r="U322" s="36"/>
    </row>
    <row r="323" ht="26.25" customHeight="1">
      <c r="A323" s="38"/>
      <c r="U323" s="36"/>
    </row>
    <row r="324" ht="26.25" customHeight="1">
      <c r="A324" s="38"/>
      <c r="U324" s="36"/>
    </row>
    <row r="325" ht="26.25" customHeight="1">
      <c r="A325" s="38"/>
      <c r="U325" s="36"/>
    </row>
    <row r="326" ht="26.25" customHeight="1">
      <c r="A326" s="38"/>
      <c r="U326" s="36"/>
    </row>
    <row r="327" ht="26.25" customHeight="1">
      <c r="A327" s="38"/>
      <c r="U327" s="36"/>
    </row>
    <row r="328" ht="26.25" customHeight="1">
      <c r="A328" s="38"/>
      <c r="U328" s="36"/>
    </row>
    <row r="329" ht="26.25" customHeight="1">
      <c r="A329" s="38"/>
      <c r="U329" s="36"/>
    </row>
    <row r="330" ht="26.25" customHeight="1">
      <c r="A330" s="38"/>
      <c r="U330" s="36"/>
    </row>
    <row r="331" ht="26.25" customHeight="1">
      <c r="A331" s="38"/>
      <c r="U331" s="36"/>
    </row>
    <row r="332" ht="26.25" customHeight="1">
      <c r="A332" s="38"/>
      <c r="U332" s="36"/>
    </row>
    <row r="333" ht="26.25" customHeight="1">
      <c r="A333" s="38"/>
      <c r="U333" s="36"/>
    </row>
    <row r="334" ht="26.25" customHeight="1">
      <c r="A334" s="38"/>
      <c r="U334" s="36"/>
    </row>
    <row r="335" ht="26.25" customHeight="1">
      <c r="A335" s="38"/>
      <c r="U335" s="36"/>
    </row>
    <row r="336" ht="26.25" customHeight="1">
      <c r="A336" s="38"/>
      <c r="U336" s="36"/>
    </row>
    <row r="337" ht="26.25" customHeight="1">
      <c r="A337" s="38"/>
      <c r="U337" s="36"/>
    </row>
    <row r="338" ht="26.25" customHeight="1">
      <c r="A338" s="38"/>
      <c r="U338" s="36"/>
    </row>
    <row r="339" ht="26.25" customHeight="1">
      <c r="A339" s="38"/>
      <c r="U339" s="36"/>
    </row>
    <row r="340" ht="26.25" customHeight="1">
      <c r="A340" s="38"/>
      <c r="U340" s="36"/>
    </row>
    <row r="341" ht="26.25" customHeight="1">
      <c r="A341" s="38"/>
      <c r="U341" s="36"/>
    </row>
    <row r="342" ht="26.25" customHeight="1">
      <c r="A342" s="38"/>
      <c r="U342" s="36"/>
    </row>
    <row r="343" ht="26.25" customHeight="1">
      <c r="A343" s="38"/>
      <c r="U343" s="36"/>
    </row>
    <row r="344" ht="26.25" customHeight="1">
      <c r="A344" s="38"/>
      <c r="U344" s="36"/>
    </row>
    <row r="345" ht="26.25" customHeight="1">
      <c r="A345" s="38"/>
      <c r="U345" s="36"/>
    </row>
    <row r="346" ht="26.25" customHeight="1">
      <c r="A346" s="38"/>
      <c r="U346" s="36"/>
    </row>
    <row r="347" ht="26.25" customHeight="1">
      <c r="A347" s="38"/>
      <c r="U347" s="36"/>
    </row>
    <row r="348" ht="26.25" customHeight="1">
      <c r="A348" s="38"/>
      <c r="U348" s="36"/>
    </row>
    <row r="349" ht="26.25" customHeight="1">
      <c r="A349" s="38"/>
      <c r="U349" s="36"/>
    </row>
    <row r="350" ht="26.25" customHeight="1">
      <c r="A350" s="38"/>
      <c r="U350" s="36"/>
    </row>
    <row r="351" ht="26.25" customHeight="1">
      <c r="A351" s="38"/>
      <c r="U351" s="36"/>
    </row>
    <row r="352" ht="26.25" customHeight="1">
      <c r="A352" s="38"/>
      <c r="U352" s="36"/>
    </row>
    <row r="353" ht="26.25" customHeight="1">
      <c r="A353" s="38"/>
      <c r="U353" s="36"/>
    </row>
    <row r="354" ht="26.25" customHeight="1">
      <c r="A354" s="38"/>
      <c r="U354" s="36"/>
    </row>
    <row r="355" ht="26.25" customHeight="1">
      <c r="A355" s="38"/>
      <c r="U355" s="36"/>
    </row>
    <row r="356" ht="26.25" customHeight="1">
      <c r="A356" s="38"/>
      <c r="U356" s="36"/>
    </row>
    <row r="357" ht="26.25" customHeight="1">
      <c r="A357" s="38"/>
      <c r="U357" s="36"/>
    </row>
    <row r="358" ht="26.25" customHeight="1">
      <c r="A358" s="38"/>
      <c r="U358" s="36"/>
    </row>
    <row r="359" ht="26.25" customHeight="1">
      <c r="A359" s="38"/>
      <c r="U359" s="36"/>
    </row>
    <row r="360" ht="26.25" customHeight="1">
      <c r="A360" s="38"/>
      <c r="U360" s="36"/>
    </row>
    <row r="361" ht="26.25" customHeight="1">
      <c r="A361" s="38"/>
      <c r="U361" s="36"/>
    </row>
    <row r="362" ht="26.25" customHeight="1">
      <c r="A362" s="38"/>
      <c r="U362" s="36"/>
    </row>
    <row r="363" ht="26.25" customHeight="1">
      <c r="A363" s="38"/>
      <c r="U363" s="36"/>
    </row>
    <row r="364" ht="26.25" customHeight="1">
      <c r="A364" s="38"/>
      <c r="U364" s="36"/>
    </row>
    <row r="365" ht="26.25" customHeight="1">
      <c r="A365" s="38"/>
      <c r="U365" s="36"/>
    </row>
    <row r="366" ht="26.25" customHeight="1">
      <c r="A366" s="38"/>
      <c r="U366" s="36"/>
    </row>
    <row r="367" ht="26.25" customHeight="1">
      <c r="A367" s="38"/>
      <c r="U367" s="36"/>
    </row>
    <row r="368" ht="26.25" customHeight="1">
      <c r="A368" s="38"/>
      <c r="U368" s="36"/>
    </row>
    <row r="369" ht="26.25" customHeight="1">
      <c r="A369" s="38"/>
      <c r="U369" s="36"/>
    </row>
    <row r="370" ht="26.25" customHeight="1">
      <c r="A370" s="38"/>
      <c r="U370" s="36"/>
    </row>
    <row r="371" ht="26.25" customHeight="1">
      <c r="A371" s="38"/>
      <c r="U371" s="36"/>
    </row>
    <row r="372" ht="26.25" customHeight="1">
      <c r="A372" s="38"/>
      <c r="U372" s="36"/>
    </row>
    <row r="373" ht="26.25" customHeight="1">
      <c r="A373" s="38"/>
      <c r="U373" s="36"/>
    </row>
    <row r="374" ht="26.25" customHeight="1">
      <c r="A374" s="38"/>
      <c r="U374" s="36"/>
    </row>
    <row r="375" ht="26.25" customHeight="1">
      <c r="A375" s="38"/>
      <c r="U375" s="36"/>
    </row>
    <row r="376" ht="26.25" customHeight="1">
      <c r="A376" s="38"/>
      <c r="U376" s="36"/>
    </row>
    <row r="377" ht="26.25" customHeight="1">
      <c r="A377" s="38"/>
      <c r="U377" s="36"/>
    </row>
    <row r="378" ht="26.25" customHeight="1">
      <c r="A378" s="38"/>
      <c r="U378" s="36"/>
    </row>
    <row r="379" ht="26.25" customHeight="1">
      <c r="A379" s="38"/>
      <c r="U379" s="36"/>
    </row>
    <row r="380" ht="26.25" customHeight="1">
      <c r="A380" s="38"/>
      <c r="U380" s="36"/>
    </row>
    <row r="381" ht="26.25" customHeight="1">
      <c r="A381" s="38"/>
      <c r="U381" s="36"/>
    </row>
    <row r="382" ht="26.25" customHeight="1">
      <c r="A382" s="38"/>
      <c r="U382" s="36"/>
    </row>
    <row r="383" ht="26.25" customHeight="1">
      <c r="A383" s="38"/>
      <c r="U383" s="36"/>
    </row>
    <row r="384" ht="26.25" customHeight="1">
      <c r="A384" s="38"/>
      <c r="U384" s="36"/>
    </row>
    <row r="385" ht="26.25" customHeight="1">
      <c r="A385" s="38"/>
      <c r="U385" s="36"/>
    </row>
    <row r="386" ht="26.25" customHeight="1">
      <c r="A386" s="38"/>
      <c r="U386" s="36"/>
    </row>
    <row r="387" ht="26.25" customHeight="1">
      <c r="A387" s="38"/>
      <c r="U387" s="36"/>
    </row>
    <row r="388" ht="26.25" customHeight="1">
      <c r="A388" s="38"/>
      <c r="U388" s="36"/>
    </row>
    <row r="389" ht="26.25" customHeight="1">
      <c r="A389" s="38"/>
      <c r="U389" s="36"/>
    </row>
    <row r="390" ht="26.25" customHeight="1">
      <c r="A390" s="38"/>
      <c r="U390" s="36"/>
    </row>
    <row r="391" ht="26.25" customHeight="1">
      <c r="A391" s="38"/>
      <c r="U391" s="36"/>
    </row>
    <row r="392" ht="26.25" customHeight="1">
      <c r="A392" s="38"/>
      <c r="U392" s="36"/>
    </row>
    <row r="393" ht="26.25" customHeight="1">
      <c r="A393" s="38"/>
      <c r="U393" s="36"/>
    </row>
    <row r="394" ht="26.25" customHeight="1">
      <c r="A394" s="38"/>
      <c r="U394" s="36"/>
    </row>
    <row r="395" ht="26.25" customHeight="1">
      <c r="A395" s="38"/>
      <c r="U395" s="36"/>
    </row>
    <row r="396" ht="26.25" customHeight="1">
      <c r="A396" s="38"/>
      <c r="U396" s="36"/>
    </row>
    <row r="397" ht="26.25" customHeight="1">
      <c r="A397" s="38"/>
      <c r="U397" s="36"/>
    </row>
    <row r="398" ht="26.25" customHeight="1">
      <c r="A398" s="38"/>
      <c r="U398" s="36"/>
    </row>
    <row r="399" ht="26.25" customHeight="1">
      <c r="A399" s="38"/>
      <c r="U399" s="36"/>
    </row>
    <row r="400" ht="26.25" customHeight="1">
      <c r="A400" s="38"/>
      <c r="U400" s="36"/>
    </row>
    <row r="401" ht="26.25" customHeight="1">
      <c r="A401" s="38"/>
      <c r="U401" s="36"/>
    </row>
    <row r="402" ht="26.25" customHeight="1">
      <c r="A402" s="38"/>
      <c r="U402" s="36"/>
    </row>
    <row r="403" ht="26.25" customHeight="1">
      <c r="A403" s="38"/>
      <c r="U403" s="36"/>
    </row>
    <row r="404" ht="26.25" customHeight="1">
      <c r="A404" s="38"/>
      <c r="U404" s="36"/>
    </row>
    <row r="405" ht="26.25" customHeight="1">
      <c r="A405" s="38"/>
      <c r="U405" s="36"/>
    </row>
    <row r="406" ht="26.25" customHeight="1">
      <c r="A406" s="38"/>
      <c r="U406" s="36"/>
    </row>
    <row r="407" ht="26.25" customHeight="1">
      <c r="A407" s="38"/>
      <c r="U407" s="36"/>
    </row>
    <row r="408" ht="26.25" customHeight="1">
      <c r="A408" s="38"/>
      <c r="U408" s="36"/>
    </row>
    <row r="409" ht="26.25" customHeight="1">
      <c r="A409" s="38"/>
      <c r="U409" s="36"/>
    </row>
    <row r="410" ht="26.25" customHeight="1">
      <c r="A410" s="38"/>
      <c r="U410" s="36"/>
    </row>
    <row r="411" ht="26.25" customHeight="1">
      <c r="A411" s="38"/>
      <c r="U411" s="36"/>
    </row>
    <row r="412" ht="26.25" customHeight="1">
      <c r="A412" s="38"/>
      <c r="U412" s="36"/>
    </row>
    <row r="413" ht="26.25" customHeight="1">
      <c r="A413" s="38"/>
      <c r="U413" s="36"/>
    </row>
    <row r="414" ht="26.25" customHeight="1">
      <c r="A414" s="38"/>
      <c r="U414" s="36"/>
    </row>
    <row r="415" ht="26.25" customHeight="1">
      <c r="A415" s="38"/>
      <c r="U415" s="36"/>
    </row>
    <row r="416" ht="26.25" customHeight="1">
      <c r="A416" s="38"/>
      <c r="U416" s="36"/>
    </row>
    <row r="417" ht="26.25" customHeight="1">
      <c r="A417" s="38"/>
      <c r="U417" s="36"/>
    </row>
    <row r="418" ht="26.25" customHeight="1">
      <c r="A418" s="38"/>
      <c r="U418" s="36"/>
    </row>
    <row r="419" ht="26.25" customHeight="1">
      <c r="A419" s="38"/>
      <c r="U419" s="36"/>
    </row>
    <row r="420" ht="26.25" customHeight="1">
      <c r="A420" s="38"/>
      <c r="U420" s="36"/>
    </row>
    <row r="421" ht="26.25" customHeight="1">
      <c r="A421" s="38"/>
      <c r="U421" s="36"/>
    </row>
    <row r="422" ht="26.25" customHeight="1">
      <c r="A422" s="38"/>
      <c r="U422" s="36"/>
    </row>
    <row r="423" ht="26.25" customHeight="1">
      <c r="A423" s="38"/>
      <c r="U423" s="36"/>
    </row>
    <row r="424" ht="26.25" customHeight="1">
      <c r="A424" s="38"/>
      <c r="U424" s="36"/>
    </row>
    <row r="425" ht="26.25" customHeight="1">
      <c r="A425" s="38"/>
      <c r="U425" s="36"/>
    </row>
    <row r="426" ht="26.25" customHeight="1">
      <c r="A426" s="38"/>
      <c r="U426" s="36"/>
    </row>
    <row r="427" ht="26.25" customHeight="1">
      <c r="A427" s="38"/>
      <c r="U427" s="36"/>
    </row>
    <row r="428" ht="26.25" customHeight="1">
      <c r="A428" s="38"/>
      <c r="U428" s="36"/>
    </row>
    <row r="429" ht="26.25" customHeight="1">
      <c r="A429" s="38"/>
      <c r="U429" s="36"/>
    </row>
    <row r="430" ht="26.25" customHeight="1">
      <c r="A430" s="38"/>
      <c r="U430" s="36"/>
    </row>
    <row r="431" ht="26.25" customHeight="1">
      <c r="A431" s="38"/>
      <c r="U431" s="36"/>
    </row>
    <row r="432" ht="26.25" customHeight="1">
      <c r="A432" s="38"/>
      <c r="U432" s="36"/>
    </row>
    <row r="433" ht="26.25" customHeight="1">
      <c r="A433" s="38"/>
      <c r="U433" s="36"/>
    </row>
    <row r="434" ht="26.25" customHeight="1">
      <c r="A434" s="38"/>
      <c r="U434" s="36"/>
    </row>
    <row r="435" ht="26.25" customHeight="1">
      <c r="A435" s="38"/>
      <c r="U435" s="36"/>
    </row>
    <row r="436" ht="26.25" customHeight="1">
      <c r="A436" s="38"/>
      <c r="U436" s="36"/>
    </row>
    <row r="437" ht="26.25" customHeight="1">
      <c r="A437" s="38"/>
      <c r="U437" s="36"/>
    </row>
    <row r="438" ht="26.25" customHeight="1">
      <c r="A438" s="38"/>
      <c r="U438" s="36"/>
    </row>
    <row r="439" ht="26.25" customHeight="1">
      <c r="A439" s="38"/>
      <c r="U439" s="36"/>
    </row>
    <row r="440" ht="26.25" customHeight="1">
      <c r="A440" s="38"/>
      <c r="U440" s="36"/>
    </row>
    <row r="441" ht="26.25" customHeight="1">
      <c r="A441" s="38"/>
      <c r="U441" s="36"/>
    </row>
    <row r="442" ht="26.25" customHeight="1">
      <c r="A442" s="38"/>
      <c r="U442" s="36"/>
    </row>
    <row r="443" ht="26.25" customHeight="1">
      <c r="A443" s="38"/>
      <c r="U443" s="36"/>
    </row>
    <row r="444" ht="26.25" customHeight="1">
      <c r="A444" s="38"/>
      <c r="U444" s="36"/>
    </row>
    <row r="445" ht="26.25" customHeight="1">
      <c r="A445" s="38"/>
      <c r="U445" s="36"/>
    </row>
    <row r="446" ht="26.25" customHeight="1">
      <c r="A446" s="38"/>
      <c r="U446" s="36"/>
    </row>
    <row r="447" ht="26.25" customHeight="1">
      <c r="A447" s="38"/>
      <c r="U447" s="36"/>
    </row>
    <row r="448" ht="26.25" customHeight="1">
      <c r="A448" s="38"/>
      <c r="U448" s="36"/>
    </row>
    <row r="449" ht="26.25" customHeight="1">
      <c r="A449" s="38"/>
      <c r="U449" s="36"/>
    </row>
    <row r="450" ht="26.25" customHeight="1">
      <c r="A450" s="38"/>
      <c r="U450" s="36"/>
    </row>
    <row r="451" ht="26.25" customHeight="1">
      <c r="A451" s="38"/>
      <c r="U451" s="36"/>
    </row>
    <row r="452" ht="26.25" customHeight="1">
      <c r="A452" s="38"/>
      <c r="U452" s="36"/>
    </row>
    <row r="453" ht="26.25" customHeight="1">
      <c r="A453" s="38"/>
      <c r="U453" s="36"/>
    </row>
    <row r="454" ht="26.25" customHeight="1">
      <c r="A454" s="38"/>
      <c r="U454" s="36"/>
    </row>
    <row r="455" ht="26.25" customHeight="1">
      <c r="A455" s="38"/>
      <c r="U455" s="36"/>
    </row>
    <row r="456" ht="26.25" customHeight="1">
      <c r="A456" s="38"/>
      <c r="U456" s="36"/>
    </row>
    <row r="457" ht="26.25" customHeight="1">
      <c r="A457" s="38"/>
      <c r="U457" s="36"/>
    </row>
    <row r="458" ht="26.25" customHeight="1">
      <c r="A458" s="38"/>
      <c r="U458" s="36"/>
    </row>
    <row r="459" ht="26.25" customHeight="1">
      <c r="A459" s="38"/>
      <c r="U459" s="36"/>
    </row>
    <row r="460" ht="26.25" customHeight="1">
      <c r="A460" s="38"/>
      <c r="U460" s="36"/>
    </row>
    <row r="461" ht="26.25" customHeight="1">
      <c r="A461" s="38"/>
      <c r="U461" s="36"/>
    </row>
    <row r="462" ht="26.25" customHeight="1">
      <c r="A462" s="38"/>
      <c r="U462" s="36"/>
    </row>
    <row r="463" ht="26.25" customHeight="1">
      <c r="A463" s="38"/>
      <c r="U463" s="36"/>
    </row>
    <row r="464" ht="26.25" customHeight="1">
      <c r="A464" s="38"/>
      <c r="U464" s="36"/>
    </row>
    <row r="465" ht="26.25" customHeight="1">
      <c r="A465" s="38"/>
      <c r="U465" s="36"/>
    </row>
    <row r="466" ht="26.25" customHeight="1">
      <c r="A466" s="38"/>
      <c r="U466" s="36"/>
    </row>
    <row r="467" ht="26.25" customHeight="1">
      <c r="A467" s="38"/>
      <c r="U467" s="36"/>
    </row>
    <row r="468" ht="26.25" customHeight="1">
      <c r="A468" s="38"/>
      <c r="U468" s="36"/>
    </row>
    <row r="469" ht="26.25" customHeight="1">
      <c r="A469" s="38"/>
      <c r="U469" s="36"/>
    </row>
    <row r="470" ht="26.25" customHeight="1">
      <c r="A470" s="38"/>
      <c r="U470" s="36"/>
    </row>
    <row r="471" ht="26.25" customHeight="1">
      <c r="A471" s="38"/>
      <c r="U471" s="36"/>
    </row>
    <row r="472" ht="26.25" customHeight="1">
      <c r="A472" s="38"/>
      <c r="U472" s="36"/>
    </row>
    <row r="473" ht="26.25" customHeight="1">
      <c r="A473" s="38"/>
      <c r="U473" s="36"/>
    </row>
    <row r="474" ht="26.25" customHeight="1">
      <c r="A474" s="38"/>
      <c r="U474" s="36"/>
    </row>
    <row r="475" ht="26.25" customHeight="1">
      <c r="A475" s="38"/>
      <c r="U475" s="36"/>
    </row>
    <row r="476" ht="26.25" customHeight="1">
      <c r="A476" s="38"/>
      <c r="U476" s="36"/>
    </row>
    <row r="477" ht="26.25" customHeight="1">
      <c r="A477" s="38"/>
      <c r="U477" s="36"/>
    </row>
    <row r="478" ht="26.25" customHeight="1">
      <c r="A478" s="38"/>
      <c r="U478" s="36"/>
    </row>
    <row r="479" ht="26.25" customHeight="1">
      <c r="A479" s="38"/>
      <c r="U479" s="36"/>
    </row>
    <row r="480" ht="26.25" customHeight="1">
      <c r="A480" s="38"/>
      <c r="U480" s="36"/>
    </row>
    <row r="481" ht="26.25" customHeight="1">
      <c r="A481" s="38"/>
      <c r="U481" s="36"/>
    </row>
    <row r="482" ht="26.25" customHeight="1">
      <c r="A482" s="38"/>
      <c r="U482" s="36"/>
    </row>
    <row r="483" ht="26.25" customHeight="1">
      <c r="A483" s="38"/>
      <c r="U483" s="36"/>
    </row>
    <row r="484" ht="26.25" customHeight="1">
      <c r="A484" s="38"/>
      <c r="U484" s="36"/>
    </row>
    <row r="485" ht="26.25" customHeight="1">
      <c r="A485" s="38"/>
      <c r="U485" s="36"/>
    </row>
    <row r="486" ht="26.25" customHeight="1">
      <c r="A486" s="38"/>
      <c r="U486" s="36"/>
    </row>
    <row r="487" ht="26.25" customHeight="1">
      <c r="A487" s="38"/>
      <c r="U487" s="36"/>
    </row>
    <row r="488" ht="26.25" customHeight="1">
      <c r="A488" s="38"/>
      <c r="U488" s="36"/>
    </row>
    <row r="489" ht="26.25" customHeight="1">
      <c r="A489" s="38"/>
      <c r="U489" s="36"/>
    </row>
    <row r="490" ht="26.25" customHeight="1">
      <c r="A490" s="38"/>
      <c r="U490" s="36"/>
    </row>
    <row r="491" ht="26.25" customHeight="1">
      <c r="A491" s="38"/>
      <c r="U491" s="36"/>
    </row>
    <row r="492" ht="26.25" customHeight="1">
      <c r="A492" s="38"/>
      <c r="U492" s="36"/>
    </row>
    <row r="493" ht="26.25" customHeight="1">
      <c r="A493" s="38"/>
      <c r="U493" s="36"/>
    </row>
    <row r="494" ht="26.25" customHeight="1">
      <c r="A494" s="38"/>
      <c r="U494" s="36"/>
    </row>
    <row r="495" ht="26.25" customHeight="1">
      <c r="A495" s="38"/>
      <c r="U495" s="36"/>
    </row>
    <row r="496" ht="26.25" customHeight="1">
      <c r="A496" s="38"/>
      <c r="U496" s="36"/>
    </row>
    <row r="497" ht="26.25" customHeight="1">
      <c r="A497" s="38"/>
      <c r="U497" s="36"/>
    </row>
    <row r="498" ht="26.25" customHeight="1">
      <c r="A498" s="38"/>
      <c r="U498" s="36"/>
    </row>
    <row r="499" ht="26.25" customHeight="1">
      <c r="A499" s="38"/>
      <c r="U499" s="36"/>
    </row>
    <row r="500" ht="26.25" customHeight="1">
      <c r="A500" s="38"/>
      <c r="U500" s="36"/>
    </row>
    <row r="501" ht="26.25" customHeight="1">
      <c r="A501" s="38"/>
      <c r="U501" s="36"/>
    </row>
    <row r="502" ht="26.25" customHeight="1">
      <c r="A502" s="38"/>
      <c r="U502" s="36"/>
    </row>
    <row r="503" ht="26.25" customHeight="1">
      <c r="A503" s="38"/>
      <c r="U503" s="36"/>
    </row>
    <row r="504" ht="26.25" customHeight="1">
      <c r="A504" s="38"/>
      <c r="U504" s="36"/>
    </row>
    <row r="505" ht="26.25" customHeight="1">
      <c r="A505" s="38"/>
      <c r="U505" s="36"/>
    </row>
    <row r="506" ht="26.25" customHeight="1">
      <c r="A506" s="38"/>
      <c r="U506" s="36"/>
    </row>
    <row r="507" ht="26.25" customHeight="1">
      <c r="A507" s="38"/>
      <c r="U507" s="36"/>
    </row>
    <row r="508" ht="26.25" customHeight="1">
      <c r="A508" s="38"/>
      <c r="U508" s="36"/>
    </row>
    <row r="509" ht="26.25" customHeight="1">
      <c r="A509" s="38"/>
      <c r="U509" s="36"/>
    </row>
    <row r="510" ht="26.25" customHeight="1">
      <c r="A510" s="38"/>
      <c r="U510" s="36"/>
    </row>
    <row r="511" ht="26.25" customHeight="1">
      <c r="A511" s="38"/>
      <c r="U511" s="36"/>
    </row>
    <row r="512" ht="26.25" customHeight="1">
      <c r="A512" s="38"/>
      <c r="U512" s="36"/>
    </row>
    <row r="513" ht="26.25" customHeight="1">
      <c r="A513" s="38"/>
      <c r="U513" s="36"/>
    </row>
    <row r="514" ht="26.25" customHeight="1">
      <c r="A514" s="38"/>
      <c r="U514" s="36"/>
    </row>
    <row r="515" ht="26.25" customHeight="1">
      <c r="A515" s="38"/>
      <c r="U515" s="36"/>
    </row>
    <row r="516" ht="26.25" customHeight="1">
      <c r="A516" s="38"/>
      <c r="U516" s="36"/>
    </row>
    <row r="517" ht="26.25" customHeight="1">
      <c r="A517" s="38"/>
      <c r="U517" s="36"/>
    </row>
    <row r="518" ht="26.25" customHeight="1">
      <c r="A518" s="38"/>
      <c r="U518" s="36"/>
    </row>
    <row r="519" ht="26.25" customHeight="1">
      <c r="A519" s="38"/>
      <c r="U519" s="36"/>
    </row>
    <row r="520" ht="26.25" customHeight="1">
      <c r="A520" s="38"/>
      <c r="U520" s="36"/>
    </row>
    <row r="521" ht="26.25" customHeight="1">
      <c r="A521" s="38"/>
      <c r="U521" s="36"/>
    </row>
    <row r="522" ht="26.25" customHeight="1">
      <c r="A522" s="38"/>
      <c r="U522" s="36"/>
    </row>
    <row r="523" ht="26.25" customHeight="1">
      <c r="A523" s="38"/>
      <c r="U523" s="36"/>
    </row>
    <row r="524" ht="26.25" customHeight="1">
      <c r="A524" s="38"/>
      <c r="U524" s="36"/>
    </row>
    <row r="525" ht="26.25" customHeight="1">
      <c r="A525" s="38"/>
      <c r="U525" s="36"/>
    </row>
    <row r="526" ht="26.25" customHeight="1">
      <c r="A526" s="38"/>
      <c r="U526" s="36"/>
    </row>
    <row r="527" ht="26.25" customHeight="1">
      <c r="A527" s="38"/>
      <c r="U527" s="36"/>
    </row>
    <row r="528" ht="26.25" customHeight="1">
      <c r="A528" s="38"/>
      <c r="U528" s="36"/>
    </row>
    <row r="529" ht="26.25" customHeight="1">
      <c r="A529" s="38"/>
      <c r="U529" s="36"/>
    </row>
    <row r="530" ht="26.25" customHeight="1">
      <c r="A530" s="38"/>
      <c r="U530" s="36"/>
    </row>
    <row r="531" ht="26.25" customHeight="1">
      <c r="A531" s="38"/>
      <c r="U531" s="36"/>
    </row>
    <row r="532" ht="26.25" customHeight="1">
      <c r="A532" s="38"/>
      <c r="U532" s="36"/>
    </row>
    <row r="533" ht="26.25" customHeight="1">
      <c r="A533" s="38"/>
      <c r="U533" s="36"/>
    </row>
    <row r="534" ht="26.25" customHeight="1">
      <c r="A534" s="38"/>
      <c r="U534" s="36"/>
    </row>
    <row r="535" ht="26.25" customHeight="1">
      <c r="A535" s="38"/>
      <c r="U535" s="36"/>
    </row>
    <row r="536" ht="26.25" customHeight="1">
      <c r="A536" s="38"/>
      <c r="U536" s="36"/>
    </row>
    <row r="537" ht="26.25" customHeight="1">
      <c r="A537" s="38"/>
      <c r="U537" s="36"/>
    </row>
    <row r="538" ht="26.25" customHeight="1">
      <c r="A538" s="38"/>
      <c r="U538" s="36"/>
    </row>
    <row r="539" ht="26.25" customHeight="1">
      <c r="A539" s="38"/>
      <c r="U539" s="36"/>
    </row>
    <row r="540" ht="26.25" customHeight="1">
      <c r="A540" s="38"/>
      <c r="U540" s="36"/>
    </row>
    <row r="541" ht="26.25" customHeight="1">
      <c r="A541" s="38"/>
      <c r="U541" s="36"/>
    </row>
    <row r="542" ht="26.25" customHeight="1">
      <c r="A542" s="38"/>
      <c r="U542" s="36"/>
    </row>
    <row r="543" ht="26.25" customHeight="1">
      <c r="A543" s="38"/>
      <c r="U543" s="36"/>
    </row>
    <row r="544" ht="26.25" customHeight="1">
      <c r="A544" s="38"/>
      <c r="U544" s="36"/>
    </row>
    <row r="545" ht="26.25" customHeight="1">
      <c r="A545" s="38"/>
      <c r="U545" s="36"/>
    </row>
    <row r="546" ht="26.25" customHeight="1">
      <c r="A546" s="38"/>
      <c r="U546" s="36"/>
    </row>
    <row r="547" ht="26.25" customHeight="1">
      <c r="A547" s="38"/>
      <c r="U547" s="36"/>
    </row>
    <row r="548" ht="26.25" customHeight="1">
      <c r="A548" s="38"/>
      <c r="U548" s="36"/>
    </row>
    <row r="549" ht="26.25" customHeight="1">
      <c r="A549" s="38"/>
      <c r="U549" s="36"/>
    </row>
    <row r="550" ht="26.25" customHeight="1">
      <c r="A550" s="38"/>
      <c r="U550" s="36"/>
    </row>
    <row r="551" ht="26.25" customHeight="1">
      <c r="A551" s="38"/>
      <c r="U551" s="36"/>
    </row>
    <row r="552" ht="26.25" customHeight="1">
      <c r="A552" s="38"/>
      <c r="U552" s="36"/>
    </row>
    <row r="553" ht="26.25" customHeight="1">
      <c r="A553" s="38"/>
      <c r="U553" s="36"/>
    </row>
    <row r="554" ht="26.25" customHeight="1">
      <c r="A554" s="38"/>
      <c r="U554" s="36"/>
    </row>
    <row r="555" ht="26.25" customHeight="1">
      <c r="A555" s="38"/>
      <c r="U555" s="36"/>
    </row>
    <row r="556" ht="26.25" customHeight="1">
      <c r="A556" s="38"/>
      <c r="U556" s="36"/>
    </row>
    <row r="557" ht="26.25" customHeight="1">
      <c r="A557" s="38"/>
      <c r="U557" s="36"/>
    </row>
    <row r="558" ht="26.25" customHeight="1">
      <c r="A558" s="38"/>
      <c r="U558" s="36"/>
    </row>
    <row r="559" ht="26.25" customHeight="1">
      <c r="A559" s="38"/>
      <c r="U559" s="36"/>
    </row>
    <row r="560" ht="26.25" customHeight="1">
      <c r="A560" s="38"/>
      <c r="U560" s="36"/>
    </row>
    <row r="561" ht="26.25" customHeight="1">
      <c r="A561" s="38"/>
      <c r="U561" s="36"/>
    </row>
    <row r="562" ht="26.25" customHeight="1">
      <c r="A562" s="38"/>
      <c r="U562" s="36"/>
    </row>
    <row r="563" ht="26.25" customHeight="1">
      <c r="A563" s="38"/>
      <c r="U563" s="36"/>
    </row>
    <row r="564" ht="26.25" customHeight="1">
      <c r="A564" s="38"/>
      <c r="U564" s="36"/>
    </row>
    <row r="565" ht="26.25" customHeight="1">
      <c r="A565" s="38"/>
      <c r="U565" s="36"/>
    </row>
    <row r="566" ht="26.25" customHeight="1">
      <c r="A566" s="38"/>
      <c r="U566" s="36"/>
    </row>
    <row r="567" ht="26.25" customHeight="1">
      <c r="A567" s="38"/>
      <c r="U567" s="36"/>
    </row>
    <row r="568" ht="26.25" customHeight="1">
      <c r="A568" s="38"/>
      <c r="U568" s="36"/>
    </row>
    <row r="569" ht="26.25" customHeight="1">
      <c r="A569" s="38"/>
      <c r="U569" s="36"/>
    </row>
    <row r="570" ht="26.25" customHeight="1">
      <c r="A570" s="38"/>
      <c r="U570" s="36"/>
    </row>
    <row r="571" ht="26.25" customHeight="1">
      <c r="A571" s="38"/>
      <c r="U571" s="36"/>
    </row>
    <row r="572" ht="26.25" customHeight="1">
      <c r="A572" s="38"/>
      <c r="U572" s="36"/>
    </row>
    <row r="573" ht="26.25" customHeight="1">
      <c r="A573" s="38"/>
      <c r="U573" s="36"/>
    </row>
    <row r="574" ht="26.25" customHeight="1">
      <c r="A574" s="38"/>
      <c r="U574" s="36"/>
    </row>
    <row r="575" ht="26.25" customHeight="1">
      <c r="A575" s="38"/>
      <c r="U575" s="36"/>
    </row>
    <row r="576" ht="26.25" customHeight="1">
      <c r="A576" s="38"/>
      <c r="U576" s="36"/>
    </row>
    <row r="577" ht="26.25" customHeight="1">
      <c r="A577" s="38"/>
      <c r="U577" s="36"/>
    </row>
    <row r="578" ht="26.25" customHeight="1">
      <c r="A578" s="38"/>
      <c r="U578" s="36"/>
    </row>
    <row r="579" ht="26.25" customHeight="1">
      <c r="A579" s="38"/>
      <c r="U579" s="36"/>
    </row>
    <row r="580" ht="26.25" customHeight="1">
      <c r="A580" s="38"/>
      <c r="U580" s="36"/>
    </row>
    <row r="581" ht="26.25" customHeight="1">
      <c r="A581" s="38"/>
      <c r="U581" s="36"/>
    </row>
    <row r="582" ht="26.25" customHeight="1">
      <c r="A582" s="38"/>
      <c r="U582" s="36"/>
    </row>
    <row r="583" ht="26.25" customHeight="1">
      <c r="A583" s="38"/>
      <c r="U583" s="36"/>
    </row>
    <row r="584" ht="26.25" customHeight="1">
      <c r="A584" s="38"/>
      <c r="U584" s="36"/>
    </row>
    <row r="585" ht="26.25" customHeight="1">
      <c r="A585" s="38"/>
      <c r="U585" s="36"/>
    </row>
    <row r="586" ht="26.25" customHeight="1">
      <c r="A586" s="38"/>
      <c r="U586" s="36"/>
    </row>
    <row r="587" ht="26.25" customHeight="1">
      <c r="A587" s="38"/>
      <c r="U587" s="36"/>
    </row>
    <row r="588" ht="26.25" customHeight="1">
      <c r="A588" s="38"/>
      <c r="U588" s="36"/>
    </row>
    <row r="589" ht="26.25" customHeight="1">
      <c r="A589" s="38"/>
      <c r="U589" s="36"/>
    </row>
    <row r="590" ht="26.25" customHeight="1">
      <c r="A590" s="38"/>
      <c r="U590" s="36"/>
    </row>
    <row r="591" ht="26.25" customHeight="1">
      <c r="A591" s="38"/>
      <c r="U591" s="36"/>
    </row>
    <row r="592" ht="26.25" customHeight="1">
      <c r="A592" s="38"/>
      <c r="U592" s="36"/>
    </row>
    <row r="593" ht="26.25" customHeight="1">
      <c r="A593" s="38"/>
      <c r="U593" s="36"/>
    </row>
    <row r="594" ht="26.25" customHeight="1">
      <c r="A594" s="38"/>
      <c r="U594" s="36"/>
    </row>
    <row r="595" ht="26.25" customHeight="1">
      <c r="A595" s="38"/>
      <c r="U595" s="36"/>
    </row>
    <row r="596" ht="26.25" customHeight="1">
      <c r="A596" s="38"/>
      <c r="U596" s="36"/>
    </row>
    <row r="597" ht="26.25" customHeight="1">
      <c r="A597" s="38"/>
      <c r="U597" s="36"/>
    </row>
    <row r="598" ht="26.25" customHeight="1">
      <c r="A598" s="38"/>
      <c r="U598" s="36"/>
    </row>
    <row r="599" ht="26.25" customHeight="1">
      <c r="A599" s="38"/>
      <c r="U599" s="36"/>
    </row>
    <row r="600" ht="26.25" customHeight="1">
      <c r="A600" s="38"/>
      <c r="U600" s="36"/>
    </row>
    <row r="601" ht="26.25" customHeight="1">
      <c r="A601" s="38"/>
      <c r="U601" s="36"/>
    </row>
    <row r="602" ht="26.25" customHeight="1">
      <c r="A602" s="38"/>
      <c r="U602" s="36"/>
    </row>
    <row r="603" ht="26.25" customHeight="1">
      <c r="A603" s="38"/>
      <c r="U603" s="36"/>
    </row>
    <row r="604" ht="26.25" customHeight="1">
      <c r="A604" s="38"/>
      <c r="U604" s="36"/>
    </row>
    <row r="605" ht="26.25" customHeight="1">
      <c r="A605" s="38"/>
      <c r="U605" s="36"/>
    </row>
    <row r="606" ht="26.25" customHeight="1">
      <c r="A606" s="38"/>
      <c r="U606" s="36"/>
    </row>
    <row r="607" ht="26.25" customHeight="1">
      <c r="A607" s="38"/>
      <c r="U607" s="36"/>
    </row>
    <row r="608" ht="26.25" customHeight="1">
      <c r="A608" s="38"/>
      <c r="U608" s="36"/>
    </row>
    <row r="609" ht="26.25" customHeight="1">
      <c r="A609" s="38"/>
      <c r="U609" s="36"/>
    </row>
    <row r="610" ht="26.25" customHeight="1">
      <c r="A610" s="38"/>
      <c r="U610" s="36"/>
    </row>
    <row r="611" ht="26.25" customHeight="1">
      <c r="A611" s="38"/>
      <c r="U611" s="36"/>
    </row>
    <row r="612" ht="26.25" customHeight="1">
      <c r="A612" s="38"/>
      <c r="U612" s="36"/>
    </row>
    <row r="613" ht="26.25" customHeight="1">
      <c r="A613" s="38"/>
      <c r="U613" s="36"/>
    </row>
    <row r="614" ht="26.25" customHeight="1">
      <c r="A614" s="38"/>
      <c r="U614" s="36"/>
    </row>
    <row r="615" ht="26.25" customHeight="1">
      <c r="A615" s="38"/>
      <c r="U615" s="36"/>
    </row>
    <row r="616" ht="26.25" customHeight="1">
      <c r="A616" s="38"/>
      <c r="U616" s="36"/>
    </row>
    <row r="617" ht="26.25" customHeight="1">
      <c r="A617" s="38"/>
      <c r="U617" s="36"/>
    </row>
    <row r="618" ht="26.25" customHeight="1">
      <c r="A618" s="38"/>
      <c r="U618" s="36"/>
    </row>
    <row r="619" ht="26.25" customHeight="1">
      <c r="A619" s="38"/>
      <c r="U619" s="36"/>
    </row>
    <row r="620" ht="26.25" customHeight="1">
      <c r="A620" s="38"/>
      <c r="U620" s="36"/>
    </row>
    <row r="621" ht="26.25" customHeight="1">
      <c r="A621" s="38"/>
      <c r="U621" s="36"/>
    </row>
    <row r="622" ht="26.25" customHeight="1">
      <c r="A622" s="38"/>
      <c r="U622" s="36"/>
    </row>
    <row r="623" ht="26.25" customHeight="1">
      <c r="A623" s="38"/>
      <c r="U623" s="36"/>
    </row>
    <row r="624" ht="26.25" customHeight="1">
      <c r="A624" s="38"/>
      <c r="U624" s="36"/>
    </row>
    <row r="625" ht="26.25" customHeight="1">
      <c r="A625" s="38"/>
      <c r="U625" s="36"/>
    </row>
    <row r="626" ht="26.25" customHeight="1">
      <c r="A626" s="38"/>
      <c r="U626" s="36"/>
    </row>
    <row r="627" ht="26.25" customHeight="1">
      <c r="A627" s="38"/>
      <c r="U627" s="36"/>
    </row>
    <row r="628" ht="26.25" customHeight="1">
      <c r="A628" s="38"/>
      <c r="U628" s="36"/>
    </row>
    <row r="629" ht="26.25" customHeight="1">
      <c r="A629" s="38"/>
      <c r="U629" s="36"/>
    </row>
    <row r="630" ht="26.25" customHeight="1">
      <c r="A630" s="38"/>
      <c r="U630" s="36"/>
    </row>
    <row r="631" ht="26.25" customHeight="1">
      <c r="A631" s="38"/>
      <c r="U631" s="36"/>
    </row>
    <row r="632" ht="26.25" customHeight="1">
      <c r="A632" s="38"/>
      <c r="U632" s="36"/>
    </row>
    <row r="633" ht="26.25" customHeight="1">
      <c r="A633" s="38"/>
      <c r="U633" s="36"/>
    </row>
    <row r="634" ht="26.25" customHeight="1">
      <c r="A634" s="38"/>
      <c r="U634" s="36"/>
    </row>
    <row r="635" ht="26.25" customHeight="1">
      <c r="A635" s="38"/>
      <c r="U635" s="36"/>
    </row>
    <row r="636" ht="26.25" customHeight="1">
      <c r="A636" s="38"/>
      <c r="U636" s="36"/>
    </row>
    <row r="637" ht="26.25" customHeight="1">
      <c r="A637" s="38"/>
      <c r="U637" s="36"/>
    </row>
    <row r="638" ht="26.25" customHeight="1">
      <c r="A638" s="38"/>
      <c r="U638" s="36"/>
    </row>
    <row r="639" ht="26.25" customHeight="1">
      <c r="A639" s="38"/>
      <c r="U639" s="36"/>
    </row>
    <row r="640" ht="26.25" customHeight="1">
      <c r="A640" s="38"/>
      <c r="U640" s="36"/>
    </row>
    <row r="641" ht="26.25" customHeight="1">
      <c r="A641" s="38"/>
      <c r="U641" s="36"/>
    </row>
    <row r="642" ht="26.25" customHeight="1">
      <c r="A642" s="38"/>
      <c r="U642" s="36"/>
    </row>
    <row r="643" ht="26.25" customHeight="1">
      <c r="A643" s="38"/>
      <c r="U643" s="36"/>
    </row>
    <row r="644" ht="26.25" customHeight="1">
      <c r="A644" s="38"/>
      <c r="U644" s="36"/>
    </row>
    <row r="645" ht="26.25" customHeight="1">
      <c r="A645" s="38"/>
      <c r="U645" s="36"/>
    </row>
    <row r="646" ht="26.25" customHeight="1">
      <c r="A646" s="38"/>
      <c r="U646" s="36"/>
    </row>
    <row r="647" ht="26.25" customHeight="1">
      <c r="A647" s="38"/>
      <c r="U647" s="36"/>
    </row>
    <row r="648" ht="26.25" customHeight="1">
      <c r="A648" s="38"/>
      <c r="U648" s="36"/>
    </row>
    <row r="649" ht="26.25" customHeight="1">
      <c r="A649" s="38"/>
      <c r="U649" s="36"/>
    </row>
    <row r="650" ht="26.25" customHeight="1">
      <c r="A650" s="38"/>
      <c r="U650" s="36"/>
    </row>
    <row r="651" ht="26.25" customHeight="1">
      <c r="A651" s="38"/>
      <c r="U651" s="36"/>
    </row>
    <row r="652" ht="26.25" customHeight="1">
      <c r="A652" s="38"/>
      <c r="U652" s="36"/>
    </row>
    <row r="653" ht="26.25" customHeight="1">
      <c r="A653" s="38"/>
      <c r="U653" s="36"/>
    </row>
    <row r="654" ht="26.25" customHeight="1">
      <c r="A654" s="38"/>
      <c r="U654" s="36"/>
    </row>
    <row r="655" ht="26.25" customHeight="1">
      <c r="A655" s="38"/>
      <c r="U655" s="36"/>
    </row>
    <row r="656" ht="26.25" customHeight="1">
      <c r="A656" s="38"/>
      <c r="U656" s="36"/>
    </row>
    <row r="657" ht="26.25" customHeight="1">
      <c r="A657" s="38"/>
      <c r="U657" s="36"/>
    </row>
    <row r="658" ht="26.25" customHeight="1">
      <c r="A658" s="38"/>
      <c r="U658" s="36"/>
    </row>
    <row r="659" ht="26.25" customHeight="1">
      <c r="A659" s="38"/>
      <c r="U659" s="36"/>
    </row>
    <row r="660" ht="26.25" customHeight="1">
      <c r="A660" s="38"/>
      <c r="U660" s="36"/>
    </row>
    <row r="661" ht="26.25" customHeight="1">
      <c r="A661" s="38"/>
      <c r="U661" s="36"/>
    </row>
    <row r="662" ht="26.25" customHeight="1">
      <c r="A662" s="38"/>
      <c r="U662" s="36"/>
    </row>
    <row r="663" ht="26.25" customHeight="1">
      <c r="A663" s="38"/>
      <c r="U663" s="36"/>
    </row>
    <row r="664" ht="26.25" customHeight="1">
      <c r="A664" s="38"/>
      <c r="U664" s="36"/>
    </row>
    <row r="665" ht="26.25" customHeight="1">
      <c r="A665" s="38"/>
      <c r="U665" s="36"/>
    </row>
    <row r="666" ht="26.25" customHeight="1">
      <c r="A666" s="38"/>
      <c r="U666" s="36"/>
    </row>
    <row r="667" ht="26.25" customHeight="1">
      <c r="A667" s="38"/>
      <c r="U667" s="36"/>
    </row>
    <row r="668" ht="26.25" customHeight="1">
      <c r="A668" s="38"/>
      <c r="U668" s="36"/>
    </row>
    <row r="669" ht="26.25" customHeight="1">
      <c r="A669" s="38"/>
      <c r="U669" s="36"/>
    </row>
    <row r="670" ht="26.25" customHeight="1">
      <c r="A670" s="38"/>
      <c r="U670" s="36"/>
    </row>
    <row r="671" ht="26.25" customHeight="1">
      <c r="A671" s="38"/>
      <c r="U671" s="36"/>
    </row>
    <row r="672" ht="26.25" customHeight="1">
      <c r="A672" s="38"/>
      <c r="U672" s="36"/>
    </row>
    <row r="673" ht="26.25" customHeight="1">
      <c r="A673" s="38"/>
      <c r="U673" s="36"/>
    </row>
    <row r="674" ht="26.25" customHeight="1">
      <c r="A674" s="38"/>
      <c r="U674" s="36"/>
    </row>
    <row r="675" ht="26.25" customHeight="1">
      <c r="A675" s="38"/>
      <c r="U675" s="36"/>
    </row>
    <row r="676" ht="26.25" customHeight="1">
      <c r="A676" s="38"/>
      <c r="U676" s="36"/>
    </row>
    <row r="677" ht="26.25" customHeight="1">
      <c r="A677" s="38"/>
      <c r="U677" s="36"/>
    </row>
    <row r="678" ht="26.25" customHeight="1">
      <c r="A678" s="38"/>
      <c r="U678" s="36"/>
    </row>
    <row r="679" ht="26.25" customHeight="1">
      <c r="A679" s="38"/>
      <c r="U679" s="36"/>
    </row>
    <row r="680" ht="26.25" customHeight="1">
      <c r="A680" s="38"/>
      <c r="U680" s="36"/>
    </row>
    <row r="681" ht="26.25" customHeight="1">
      <c r="A681" s="38"/>
      <c r="U681" s="36"/>
    </row>
    <row r="682" ht="26.25" customHeight="1">
      <c r="A682" s="38"/>
      <c r="U682" s="36"/>
    </row>
    <row r="683" ht="26.25" customHeight="1">
      <c r="A683" s="38"/>
      <c r="U683" s="36"/>
    </row>
    <row r="684" ht="26.25" customHeight="1">
      <c r="A684" s="38"/>
      <c r="U684" s="36"/>
    </row>
    <row r="685" ht="26.25" customHeight="1">
      <c r="A685" s="38"/>
      <c r="U685" s="36"/>
    </row>
    <row r="686" ht="26.25" customHeight="1">
      <c r="A686" s="38"/>
      <c r="U686" s="36"/>
    </row>
    <row r="687" ht="26.25" customHeight="1">
      <c r="A687" s="38"/>
      <c r="U687" s="36"/>
    </row>
    <row r="688" ht="26.25" customHeight="1">
      <c r="A688" s="38"/>
      <c r="U688" s="36"/>
    </row>
    <row r="689" ht="26.25" customHeight="1">
      <c r="A689" s="38"/>
      <c r="U689" s="36"/>
    </row>
    <row r="690" ht="26.25" customHeight="1">
      <c r="A690" s="38"/>
      <c r="U690" s="36"/>
    </row>
    <row r="691" ht="26.25" customHeight="1">
      <c r="A691" s="38"/>
      <c r="U691" s="36"/>
    </row>
    <row r="692" ht="26.25" customHeight="1">
      <c r="A692" s="38"/>
      <c r="U692" s="36"/>
    </row>
    <row r="693" ht="26.25" customHeight="1">
      <c r="A693" s="38"/>
      <c r="U693" s="36"/>
    </row>
    <row r="694" ht="26.25" customHeight="1">
      <c r="A694" s="38"/>
      <c r="U694" s="36"/>
    </row>
    <row r="695" ht="26.25" customHeight="1">
      <c r="A695" s="38"/>
      <c r="U695" s="36"/>
    </row>
    <row r="696" ht="26.25" customHeight="1">
      <c r="A696" s="38"/>
      <c r="U696" s="36"/>
    </row>
    <row r="697" ht="26.25" customHeight="1">
      <c r="A697" s="38"/>
      <c r="U697" s="36"/>
    </row>
    <row r="698" ht="26.25" customHeight="1">
      <c r="A698" s="38"/>
      <c r="U698" s="36"/>
    </row>
    <row r="699" ht="26.25" customHeight="1">
      <c r="A699" s="38"/>
      <c r="U699" s="36"/>
    </row>
    <row r="700" ht="26.25" customHeight="1">
      <c r="A700" s="38"/>
      <c r="U700" s="36"/>
    </row>
    <row r="701" ht="26.25" customHeight="1">
      <c r="A701" s="38"/>
      <c r="U701" s="36"/>
    </row>
    <row r="702" ht="26.25" customHeight="1">
      <c r="A702" s="38"/>
      <c r="U702" s="36"/>
    </row>
    <row r="703" ht="26.25" customHeight="1">
      <c r="A703" s="38"/>
      <c r="U703" s="36"/>
    </row>
    <row r="704" ht="26.25" customHeight="1">
      <c r="A704" s="38"/>
      <c r="U704" s="36"/>
    </row>
    <row r="705" ht="26.25" customHeight="1">
      <c r="A705" s="38"/>
      <c r="U705" s="36"/>
    </row>
    <row r="706" ht="26.25" customHeight="1">
      <c r="A706" s="38"/>
      <c r="U706" s="36"/>
    </row>
    <row r="707" ht="26.25" customHeight="1">
      <c r="A707" s="38"/>
      <c r="U707" s="36"/>
    </row>
    <row r="708" ht="26.25" customHeight="1">
      <c r="A708" s="38"/>
      <c r="U708" s="36"/>
    </row>
    <row r="709" ht="26.25" customHeight="1">
      <c r="A709" s="38"/>
      <c r="U709" s="36"/>
    </row>
    <row r="710" ht="26.25" customHeight="1">
      <c r="A710" s="38"/>
      <c r="U710" s="36"/>
    </row>
    <row r="711" ht="26.25" customHeight="1">
      <c r="A711" s="38"/>
      <c r="U711" s="36"/>
    </row>
    <row r="712" ht="26.25" customHeight="1">
      <c r="A712" s="38"/>
      <c r="U712" s="36"/>
    </row>
    <row r="713" ht="26.25" customHeight="1">
      <c r="A713" s="38"/>
      <c r="U713" s="36"/>
    </row>
    <row r="714" ht="26.25" customHeight="1">
      <c r="A714" s="38"/>
      <c r="U714" s="36"/>
    </row>
    <row r="715" ht="26.25" customHeight="1">
      <c r="A715" s="38"/>
      <c r="U715" s="36"/>
    </row>
    <row r="716" ht="26.25" customHeight="1">
      <c r="A716" s="38"/>
      <c r="U716" s="36"/>
    </row>
    <row r="717" ht="26.25" customHeight="1">
      <c r="A717" s="38"/>
      <c r="U717" s="36"/>
    </row>
    <row r="718" ht="26.25" customHeight="1">
      <c r="A718" s="38"/>
      <c r="U718" s="36"/>
    </row>
    <row r="719" ht="26.25" customHeight="1">
      <c r="A719" s="38"/>
      <c r="U719" s="36"/>
    </row>
    <row r="720" ht="26.25" customHeight="1">
      <c r="A720" s="38"/>
      <c r="U720" s="36"/>
    </row>
    <row r="721" ht="26.25" customHeight="1">
      <c r="A721" s="38"/>
      <c r="U721" s="36"/>
    </row>
    <row r="722" ht="26.25" customHeight="1">
      <c r="A722" s="38"/>
      <c r="U722" s="36"/>
    </row>
    <row r="723" ht="26.25" customHeight="1">
      <c r="A723" s="38"/>
      <c r="U723" s="36"/>
    </row>
    <row r="724" ht="26.25" customHeight="1">
      <c r="A724" s="38"/>
      <c r="U724" s="36"/>
    </row>
    <row r="725" ht="26.25" customHeight="1">
      <c r="A725" s="38"/>
      <c r="U725" s="36"/>
    </row>
    <row r="726" ht="26.25" customHeight="1">
      <c r="A726" s="38"/>
      <c r="U726" s="36"/>
    </row>
    <row r="727" ht="26.25" customHeight="1">
      <c r="A727" s="38"/>
      <c r="U727" s="36"/>
    </row>
    <row r="728" ht="26.25" customHeight="1">
      <c r="A728" s="38"/>
      <c r="U728" s="36"/>
    </row>
    <row r="729" ht="26.25" customHeight="1">
      <c r="A729" s="38"/>
      <c r="U729" s="36"/>
    </row>
    <row r="730" ht="26.25" customHeight="1">
      <c r="A730" s="38"/>
      <c r="U730" s="36"/>
    </row>
    <row r="731" ht="26.25" customHeight="1">
      <c r="A731" s="38"/>
      <c r="U731" s="36"/>
    </row>
    <row r="732" ht="26.25" customHeight="1">
      <c r="A732" s="38"/>
      <c r="U732" s="36"/>
    </row>
    <row r="733" ht="26.25" customHeight="1">
      <c r="A733" s="38"/>
      <c r="U733" s="36"/>
    </row>
    <row r="734" ht="26.25" customHeight="1">
      <c r="A734" s="38"/>
      <c r="U734" s="36"/>
    </row>
    <row r="735" ht="26.25" customHeight="1">
      <c r="A735" s="38"/>
      <c r="U735" s="36"/>
    </row>
    <row r="736" ht="26.25" customHeight="1">
      <c r="A736" s="38"/>
      <c r="U736" s="36"/>
    </row>
    <row r="737" ht="26.25" customHeight="1">
      <c r="A737" s="38"/>
      <c r="U737" s="36"/>
    </row>
    <row r="738" ht="26.25" customHeight="1">
      <c r="A738" s="38"/>
      <c r="U738" s="36"/>
    </row>
    <row r="739" ht="26.25" customHeight="1">
      <c r="A739" s="38"/>
      <c r="U739" s="36"/>
    </row>
    <row r="740" ht="26.25" customHeight="1">
      <c r="A740" s="38"/>
      <c r="U740" s="36"/>
    </row>
    <row r="741" ht="26.25" customHeight="1">
      <c r="A741" s="38"/>
      <c r="U741" s="36"/>
    </row>
    <row r="742" ht="26.25" customHeight="1">
      <c r="A742" s="38"/>
      <c r="U742" s="36"/>
    </row>
    <row r="743" ht="26.25" customHeight="1">
      <c r="A743" s="38"/>
      <c r="U743" s="36"/>
    </row>
    <row r="744" ht="26.25" customHeight="1">
      <c r="A744" s="38"/>
      <c r="U744" s="36"/>
    </row>
    <row r="745" ht="26.25" customHeight="1">
      <c r="A745" s="38"/>
      <c r="U745" s="36"/>
    </row>
    <row r="746" ht="26.25" customHeight="1">
      <c r="A746" s="38"/>
      <c r="U746" s="36"/>
    </row>
    <row r="747" ht="26.25" customHeight="1">
      <c r="A747" s="38"/>
      <c r="U747" s="36"/>
    </row>
    <row r="748" ht="26.25" customHeight="1">
      <c r="A748" s="38"/>
      <c r="U748" s="36"/>
    </row>
    <row r="749" ht="26.25" customHeight="1">
      <c r="A749" s="38"/>
      <c r="U749" s="36"/>
    </row>
    <row r="750" ht="26.25" customHeight="1">
      <c r="A750" s="38"/>
      <c r="U750" s="36"/>
    </row>
    <row r="751" ht="26.25" customHeight="1">
      <c r="A751" s="38"/>
      <c r="U751" s="36"/>
    </row>
    <row r="752" ht="26.25" customHeight="1">
      <c r="A752" s="38"/>
      <c r="U752" s="36"/>
    </row>
    <row r="753" ht="26.25" customHeight="1">
      <c r="A753" s="38"/>
      <c r="U753" s="36"/>
    </row>
    <row r="754" ht="26.25" customHeight="1">
      <c r="A754" s="38"/>
      <c r="U754" s="36"/>
    </row>
    <row r="755" ht="26.25" customHeight="1">
      <c r="A755" s="38"/>
      <c r="U755" s="36"/>
    </row>
    <row r="756" ht="26.25" customHeight="1">
      <c r="A756" s="38"/>
      <c r="U756" s="36"/>
    </row>
    <row r="757" ht="26.25" customHeight="1">
      <c r="A757" s="38"/>
      <c r="U757" s="36"/>
    </row>
    <row r="758" ht="26.25" customHeight="1">
      <c r="A758" s="38"/>
      <c r="U758" s="36"/>
    </row>
    <row r="759" ht="26.25" customHeight="1">
      <c r="A759" s="38"/>
      <c r="U759" s="36"/>
    </row>
    <row r="760" ht="26.25" customHeight="1">
      <c r="A760" s="38"/>
      <c r="U760" s="36"/>
    </row>
    <row r="761" ht="26.25" customHeight="1">
      <c r="A761" s="38"/>
      <c r="U761" s="36"/>
    </row>
    <row r="762" ht="26.25" customHeight="1">
      <c r="A762" s="38"/>
      <c r="U762" s="36"/>
    </row>
    <row r="763" ht="26.25" customHeight="1">
      <c r="A763" s="38"/>
      <c r="U763" s="36"/>
    </row>
    <row r="764" ht="26.25" customHeight="1">
      <c r="A764" s="38"/>
      <c r="U764" s="36"/>
    </row>
    <row r="765" ht="26.25" customHeight="1">
      <c r="A765" s="38"/>
      <c r="U765" s="36"/>
    </row>
    <row r="766" ht="26.25" customHeight="1">
      <c r="A766" s="38"/>
      <c r="U766" s="36"/>
    </row>
    <row r="767" ht="26.25" customHeight="1">
      <c r="A767" s="38"/>
      <c r="U767" s="36"/>
    </row>
    <row r="768" ht="26.25" customHeight="1">
      <c r="A768" s="38"/>
      <c r="U768" s="36"/>
    </row>
    <row r="769" ht="26.25" customHeight="1">
      <c r="A769" s="38"/>
      <c r="U769" s="36"/>
    </row>
    <row r="770" ht="26.25" customHeight="1">
      <c r="A770" s="38"/>
      <c r="U770" s="36"/>
    </row>
    <row r="771" ht="26.25" customHeight="1">
      <c r="A771" s="38"/>
      <c r="U771" s="36"/>
    </row>
    <row r="772" ht="26.25" customHeight="1">
      <c r="A772" s="38"/>
      <c r="U772" s="36"/>
    </row>
    <row r="773" ht="26.25" customHeight="1">
      <c r="A773" s="38"/>
      <c r="U773" s="36"/>
    </row>
    <row r="774" ht="26.25" customHeight="1">
      <c r="A774" s="38"/>
      <c r="U774" s="36"/>
    </row>
    <row r="775" ht="26.25" customHeight="1">
      <c r="A775" s="38"/>
      <c r="U775" s="36"/>
    </row>
    <row r="776" ht="26.25" customHeight="1">
      <c r="A776" s="38"/>
      <c r="U776" s="36"/>
    </row>
    <row r="777" ht="26.25" customHeight="1">
      <c r="A777" s="38"/>
      <c r="U777" s="36"/>
    </row>
    <row r="778" ht="26.25" customHeight="1">
      <c r="A778" s="38"/>
      <c r="U778" s="36"/>
    </row>
    <row r="779" ht="26.25" customHeight="1">
      <c r="A779" s="38"/>
      <c r="U779" s="36"/>
    </row>
    <row r="780" ht="26.25" customHeight="1">
      <c r="A780" s="38"/>
      <c r="U780" s="36"/>
    </row>
    <row r="781" ht="26.25" customHeight="1">
      <c r="A781" s="38"/>
      <c r="U781" s="36"/>
    </row>
    <row r="782" ht="26.25" customHeight="1">
      <c r="A782" s="38"/>
      <c r="U782" s="36"/>
    </row>
    <row r="783" ht="26.25" customHeight="1">
      <c r="A783" s="38"/>
      <c r="U783" s="36"/>
    </row>
    <row r="784" ht="26.25" customHeight="1">
      <c r="A784" s="38"/>
      <c r="U784" s="36"/>
    </row>
    <row r="785" ht="26.25" customHeight="1">
      <c r="A785" s="38"/>
      <c r="U785" s="36"/>
    </row>
    <row r="786" ht="26.25" customHeight="1">
      <c r="A786" s="38"/>
      <c r="U786" s="36"/>
    </row>
    <row r="787" ht="26.25" customHeight="1">
      <c r="A787" s="38"/>
      <c r="U787" s="36"/>
    </row>
    <row r="788" ht="26.25" customHeight="1">
      <c r="A788" s="38"/>
      <c r="U788" s="36"/>
    </row>
    <row r="789" ht="26.25" customHeight="1">
      <c r="A789" s="38"/>
      <c r="U789" s="36"/>
    </row>
    <row r="790" ht="26.25" customHeight="1">
      <c r="A790" s="38"/>
      <c r="U790" s="36"/>
    </row>
    <row r="791" ht="26.25" customHeight="1">
      <c r="A791" s="38"/>
      <c r="U791" s="36"/>
    </row>
    <row r="792" ht="26.25" customHeight="1">
      <c r="A792" s="38"/>
      <c r="U792" s="36"/>
    </row>
    <row r="793" ht="26.25" customHeight="1">
      <c r="A793" s="38"/>
      <c r="U793" s="36"/>
    </row>
    <row r="794" ht="26.25" customHeight="1">
      <c r="A794" s="38"/>
      <c r="U794" s="36"/>
    </row>
    <row r="795" ht="26.25" customHeight="1">
      <c r="A795" s="38"/>
      <c r="U795" s="36"/>
    </row>
    <row r="796" ht="26.25" customHeight="1">
      <c r="A796" s="38"/>
      <c r="U796" s="36"/>
    </row>
    <row r="797" ht="26.25" customHeight="1">
      <c r="A797" s="38"/>
      <c r="U797" s="36"/>
    </row>
    <row r="798" ht="26.25" customHeight="1">
      <c r="A798" s="38"/>
      <c r="U798" s="36"/>
    </row>
    <row r="799" ht="26.25" customHeight="1">
      <c r="A799" s="38"/>
      <c r="U799" s="36"/>
    </row>
    <row r="800" ht="26.25" customHeight="1">
      <c r="A800" s="38"/>
      <c r="U800" s="36"/>
    </row>
    <row r="801" ht="26.25" customHeight="1">
      <c r="A801" s="38"/>
      <c r="U801" s="36"/>
    </row>
    <row r="802" ht="26.25" customHeight="1">
      <c r="A802" s="38"/>
      <c r="U802" s="36"/>
    </row>
    <row r="803" ht="26.25" customHeight="1">
      <c r="A803" s="38"/>
      <c r="U803" s="36"/>
    </row>
    <row r="804" ht="26.25" customHeight="1">
      <c r="A804" s="38"/>
      <c r="U804" s="36"/>
    </row>
    <row r="805" ht="26.25" customHeight="1">
      <c r="A805" s="38"/>
      <c r="U805" s="36"/>
    </row>
    <row r="806" ht="26.25" customHeight="1">
      <c r="A806" s="38"/>
      <c r="U806" s="36"/>
    </row>
    <row r="807" ht="26.25" customHeight="1">
      <c r="A807" s="38"/>
      <c r="U807" s="36"/>
    </row>
    <row r="808" ht="26.25" customHeight="1">
      <c r="A808" s="38"/>
      <c r="U808" s="36"/>
    </row>
    <row r="809" ht="26.25" customHeight="1">
      <c r="A809" s="38"/>
      <c r="U809" s="36"/>
    </row>
    <row r="810" ht="26.25" customHeight="1">
      <c r="A810" s="38"/>
      <c r="U810" s="36"/>
    </row>
    <row r="811" ht="26.25" customHeight="1">
      <c r="A811" s="38"/>
      <c r="U811" s="36"/>
    </row>
    <row r="812" ht="26.25" customHeight="1">
      <c r="A812" s="38"/>
      <c r="U812" s="36"/>
    </row>
    <row r="813" ht="26.25" customHeight="1">
      <c r="A813" s="38"/>
      <c r="U813" s="36"/>
    </row>
    <row r="814" ht="26.25" customHeight="1">
      <c r="A814" s="38"/>
      <c r="U814" s="36"/>
    </row>
    <row r="815" ht="26.25" customHeight="1">
      <c r="A815" s="38"/>
      <c r="U815" s="36"/>
    </row>
    <row r="816" ht="26.25" customHeight="1">
      <c r="A816" s="38"/>
      <c r="U816" s="36"/>
    </row>
    <row r="817" ht="26.25" customHeight="1">
      <c r="A817" s="38"/>
      <c r="U817" s="36"/>
    </row>
    <row r="818" ht="26.25" customHeight="1">
      <c r="A818" s="38"/>
      <c r="U818" s="36"/>
    </row>
    <row r="819" ht="26.25" customHeight="1">
      <c r="A819" s="38"/>
      <c r="U819" s="36"/>
    </row>
    <row r="820" ht="26.25" customHeight="1">
      <c r="A820" s="38"/>
      <c r="U820" s="36"/>
    </row>
    <row r="821" ht="26.25" customHeight="1">
      <c r="A821" s="38"/>
      <c r="U821" s="36"/>
    </row>
    <row r="822" ht="26.25" customHeight="1">
      <c r="A822" s="38"/>
      <c r="U822" s="36"/>
    </row>
    <row r="823" ht="26.25" customHeight="1">
      <c r="A823" s="38"/>
      <c r="U823" s="36"/>
    </row>
    <row r="824" ht="26.25" customHeight="1">
      <c r="A824" s="38"/>
      <c r="U824" s="36"/>
    </row>
    <row r="825" ht="26.25" customHeight="1">
      <c r="A825" s="38"/>
      <c r="U825" s="36"/>
    </row>
    <row r="826" ht="26.25" customHeight="1">
      <c r="A826" s="38"/>
      <c r="U826" s="36"/>
    </row>
    <row r="827" ht="26.25" customHeight="1">
      <c r="A827" s="38"/>
      <c r="U827" s="36"/>
    </row>
    <row r="828" ht="26.25" customHeight="1">
      <c r="A828" s="38"/>
      <c r="U828" s="36"/>
    </row>
    <row r="829" ht="26.25" customHeight="1">
      <c r="A829" s="38"/>
      <c r="U829" s="36"/>
    </row>
    <row r="830" ht="26.25" customHeight="1">
      <c r="A830" s="38"/>
      <c r="U830" s="36"/>
    </row>
    <row r="831" ht="26.25" customHeight="1">
      <c r="A831" s="38"/>
      <c r="U831" s="36"/>
    </row>
    <row r="832" ht="26.25" customHeight="1">
      <c r="A832" s="38"/>
      <c r="U832" s="36"/>
    </row>
    <row r="833" ht="26.25" customHeight="1">
      <c r="A833" s="38"/>
      <c r="U833" s="36"/>
    </row>
    <row r="834" ht="26.25" customHeight="1">
      <c r="A834" s="38"/>
      <c r="U834" s="36"/>
    </row>
    <row r="835" ht="26.25" customHeight="1">
      <c r="A835" s="38"/>
      <c r="U835" s="36"/>
    </row>
    <row r="836" ht="26.25" customHeight="1">
      <c r="A836" s="38"/>
      <c r="U836" s="36"/>
    </row>
    <row r="837" ht="26.25" customHeight="1">
      <c r="A837" s="38"/>
      <c r="U837" s="36"/>
    </row>
    <row r="838" ht="26.25" customHeight="1">
      <c r="A838" s="38"/>
      <c r="U838" s="36"/>
    </row>
    <row r="839" ht="26.25" customHeight="1">
      <c r="A839" s="38"/>
      <c r="U839" s="36"/>
    </row>
    <row r="840" ht="26.25" customHeight="1">
      <c r="A840" s="38"/>
      <c r="U840" s="36"/>
    </row>
    <row r="841" ht="26.25" customHeight="1">
      <c r="A841" s="38"/>
      <c r="U841" s="36"/>
    </row>
    <row r="842" ht="26.25" customHeight="1">
      <c r="A842" s="38"/>
      <c r="U842" s="36"/>
    </row>
    <row r="843" ht="26.25" customHeight="1">
      <c r="A843" s="38"/>
      <c r="U843" s="36"/>
    </row>
    <row r="844" ht="26.25" customHeight="1">
      <c r="A844" s="38"/>
      <c r="U844" s="36"/>
    </row>
    <row r="845" ht="26.25" customHeight="1">
      <c r="A845" s="38"/>
      <c r="U845" s="36"/>
    </row>
    <row r="846" ht="26.25" customHeight="1">
      <c r="A846" s="38"/>
      <c r="U846" s="36"/>
    </row>
    <row r="847" ht="26.25" customHeight="1">
      <c r="A847" s="38"/>
      <c r="U847" s="36"/>
    </row>
    <row r="848" ht="26.25" customHeight="1">
      <c r="A848" s="38"/>
      <c r="U848" s="36"/>
    </row>
    <row r="849" ht="26.25" customHeight="1">
      <c r="A849" s="38"/>
      <c r="U849" s="36"/>
    </row>
    <row r="850" ht="26.25" customHeight="1">
      <c r="A850" s="38"/>
      <c r="U850" s="36"/>
    </row>
    <row r="851" ht="26.25" customHeight="1">
      <c r="A851" s="38"/>
      <c r="U851" s="36"/>
    </row>
    <row r="852" ht="26.25" customHeight="1">
      <c r="A852" s="38"/>
      <c r="U852" s="36"/>
    </row>
    <row r="853" ht="26.25" customHeight="1">
      <c r="A853" s="38"/>
      <c r="U853" s="36"/>
    </row>
    <row r="854" ht="26.25" customHeight="1">
      <c r="A854" s="38"/>
      <c r="U854" s="36"/>
    </row>
    <row r="855" ht="26.25" customHeight="1">
      <c r="A855" s="38"/>
      <c r="U855" s="36"/>
    </row>
    <row r="856" ht="26.25" customHeight="1">
      <c r="A856" s="38"/>
      <c r="U856" s="36"/>
    </row>
    <row r="857" ht="26.25" customHeight="1">
      <c r="A857" s="38"/>
      <c r="U857" s="36"/>
    </row>
    <row r="858" ht="26.25" customHeight="1">
      <c r="A858" s="38"/>
      <c r="U858" s="36"/>
    </row>
    <row r="859" ht="26.25" customHeight="1">
      <c r="A859" s="38"/>
      <c r="U859" s="36"/>
    </row>
    <row r="860" ht="26.25" customHeight="1">
      <c r="A860" s="38"/>
      <c r="U860" s="36"/>
    </row>
    <row r="861" ht="26.25" customHeight="1">
      <c r="A861" s="38"/>
      <c r="U861" s="36"/>
    </row>
    <row r="862" ht="26.25" customHeight="1">
      <c r="A862" s="38"/>
      <c r="U862" s="36"/>
    </row>
    <row r="863" ht="26.25" customHeight="1">
      <c r="A863" s="38"/>
      <c r="U863" s="36"/>
    </row>
    <row r="864" ht="26.25" customHeight="1">
      <c r="A864" s="38"/>
      <c r="U864" s="36"/>
    </row>
    <row r="865" ht="26.25" customHeight="1">
      <c r="A865" s="38"/>
      <c r="U865" s="36"/>
    </row>
    <row r="866" ht="26.25" customHeight="1">
      <c r="A866" s="38"/>
      <c r="U866" s="36"/>
    </row>
    <row r="867" ht="26.25" customHeight="1">
      <c r="A867" s="38"/>
      <c r="U867" s="36"/>
    </row>
    <row r="868" ht="26.25" customHeight="1">
      <c r="A868" s="38"/>
      <c r="U868" s="36"/>
    </row>
    <row r="869" ht="26.25" customHeight="1">
      <c r="A869" s="38"/>
      <c r="U869" s="36"/>
    </row>
    <row r="870" ht="26.25" customHeight="1">
      <c r="A870" s="38"/>
      <c r="U870" s="36"/>
    </row>
    <row r="871" ht="26.25" customHeight="1">
      <c r="A871" s="38"/>
      <c r="U871" s="36"/>
    </row>
    <row r="872" ht="26.25" customHeight="1">
      <c r="A872" s="38"/>
      <c r="U872" s="36"/>
    </row>
    <row r="873" ht="26.25" customHeight="1">
      <c r="A873" s="38"/>
      <c r="U873" s="36"/>
    </row>
    <row r="874" ht="26.25" customHeight="1">
      <c r="A874" s="38"/>
      <c r="U874" s="36"/>
    </row>
    <row r="875" ht="26.25" customHeight="1">
      <c r="A875" s="38"/>
      <c r="U875" s="36"/>
    </row>
    <row r="876" ht="26.25" customHeight="1">
      <c r="A876" s="38"/>
      <c r="U876" s="36"/>
    </row>
    <row r="877" ht="26.25" customHeight="1">
      <c r="A877" s="38"/>
      <c r="U877" s="36"/>
    </row>
    <row r="878" ht="26.25" customHeight="1">
      <c r="A878" s="38"/>
      <c r="U878" s="36"/>
    </row>
    <row r="879" ht="26.25" customHeight="1">
      <c r="A879" s="38"/>
      <c r="U879" s="36"/>
    </row>
    <row r="880" ht="26.25" customHeight="1">
      <c r="A880" s="38"/>
      <c r="U880" s="36"/>
    </row>
    <row r="881" ht="26.25" customHeight="1">
      <c r="A881" s="38"/>
      <c r="U881" s="36"/>
    </row>
    <row r="882" ht="26.25" customHeight="1">
      <c r="A882" s="38"/>
      <c r="U882" s="36"/>
    </row>
    <row r="883" ht="26.25" customHeight="1">
      <c r="A883" s="38"/>
      <c r="U883" s="36"/>
    </row>
    <row r="884" ht="26.25" customHeight="1">
      <c r="A884" s="38"/>
      <c r="U884" s="36"/>
    </row>
    <row r="885" ht="26.25" customHeight="1">
      <c r="A885" s="38"/>
      <c r="U885" s="36"/>
    </row>
    <row r="886" ht="26.25" customHeight="1">
      <c r="A886" s="38"/>
      <c r="U886" s="36"/>
    </row>
    <row r="887" ht="26.25" customHeight="1">
      <c r="A887" s="38"/>
      <c r="U887" s="36"/>
    </row>
    <row r="888" ht="26.25" customHeight="1">
      <c r="A888" s="38"/>
      <c r="U888" s="36"/>
    </row>
    <row r="889" ht="26.25" customHeight="1">
      <c r="A889" s="38"/>
      <c r="U889" s="36"/>
    </row>
    <row r="890" ht="26.25" customHeight="1">
      <c r="A890" s="38"/>
      <c r="U890" s="36"/>
    </row>
    <row r="891" ht="26.25" customHeight="1">
      <c r="A891" s="38"/>
      <c r="U891" s="36"/>
    </row>
    <row r="892" ht="26.25" customHeight="1">
      <c r="A892" s="38"/>
      <c r="U892" s="36"/>
    </row>
    <row r="893" ht="26.25" customHeight="1">
      <c r="A893" s="38"/>
      <c r="U893" s="36"/>
    </row>
    <row r="894" ht="26.25" customHeight="1">
      <c r="A894" s="38"/>
      <c r="U894" s="36"/>
    </row>
    <row r="895" ht="26.25" customHeight="1">
      <c r="A895" s="38"/>
      <c r="U895" s="36"/>
    </row>
    <row r="896" ht="26.25" customHeight="1">
      <c r="A896" s="38"/>
      <c r="U896" s="36"/>
    </row>
    <row r="897" ht="26.25" customHeight="1">
      <c r="A897" s="38"/>
      <c r="U897" s="36"/>
    </row>
    <row r="898" ht="26.25" customHeight="1">
      <c r="A898" s="38"/>
      <c r="U898" s="36"/>
    </row>
    <row r="899" ht="26.25" customHeight="1">
      <c r="A899" s="38"/>
      <c r="U899" s="36"/>
    </row>
    <row r="900" ht="26.25" customHeight="1">
      <c r="A900" s="38"/>
      <c r="U900" s="36"/>
    </row>
    <row r="901" ht="26.25" customHeight="1">
      <c r="A901" s="38"/>
      <c r="U901" s="36"/>
    </row>
    <row r="902" ht="26.25" customHeight="1">
      <c r="A902" s="38"/>
      <c r="U902" s="36"/>
    </row>
    <row r="903" ht="26.25" customHeight="1">
      <c r="A903" s="38"/>
      <c r="U903" s="36"/>
    </row>
    <row r="904" ht="26.25" customHeight="1">
      <c r="A904" s="38"/>
      <c r="U904" s="36"/>
    </row>
    <row r="905" ht="26.25" customHeight="1">
      <c r="A905" s="38"/>
      <c r="U905" s="36"/>
    </row>
    <row r="906" ht="26.25" customHeight="1">
      <c r="A906" s="38"/>
      <c r="U906" s="36"/>
    </row>
    <row r="907" ht="26.25" customHeight="1">
      <c r="A907" s="38"/>
      <c r="U907" s="36"/>
    </row>
    <row r="908" ht="26.25" customHeight="1">
      <c r="A908" s="38"/>
      <c r="U908" s="36"/>
    </row>
    <row r="909" ht="26.25" customHeight="1">
      <c r="A909" s="38"/>
      <c r="U909" s="36"/>
    </row>
    <row r="910" ht="26.25" customHeight="1">
      <c r="A910" s="38"/>
      <c r="U910" s="36"/>
    </row>
    <row r="911" ht="26.25" customHeight="1">
      <c r="A911" s="38"/>
      <c r="U911" s="36"/>
    </row>
    <row r="912" ht="26.25" customHeight="1">
      <c r="A912" s="38"/>
      <c r="U912" s="36"/>
    </row>
    <row r="913" ht="26.25" customHeight="1">
      <c r="A913" s="38"/>
      <c r="U913" s="36"/>
    </row>
    <row r="914" ht="26.25" customHeight="1">
      <c r="A914" s="38"/>
      <c r="U914" s="36"/>
    </row>
    <row r="915" ht="26.25" customHeight="1">
      <c r="A915" s="38"/>
      <c r="U915" s="36"/>
    </row>
    <row r="916" ht="26.25" customHeight="1">
      <c r="A916" s="38"/>
      <c r="U916" s="36"/>
    </row>
    <row r="917" ht="26.25" customHeight="1">
      <c r="A917" s="38"/>
      <c r="U917" s="36"/>
    </row>
    <row r="918" ht="26.25" customHeight="1">
      <c r="A918" s="38"/>
      <c r="U918" s="36"/>
    </row>
    <row r="919" ht="26.25" customHeight="1">
      <c r="A919" s="38"/>
      <c r="U919" s="36"/>
    </row>
    <row r="920" ht="26.25" customHeight="1">
      <c r="A920" s="38"/>
      <c r="U920" s="36"/>
    </row>
    <row r="921" ht="26.25" customHeight="1">
      <c r="A921" s="38"/>
      <c r="U921" s="36"/>
    </row>
    <row r="922" ht="26.25" customHeight="1">
      <c r="A922" s="38"/>
      <c r="U922" s="36"/>
    </row>
    <row r="923" ht="26.25" customHeight="1">
      <c r="A923" s="38"/>
      <c r="U923" s="36"/>
    </row>
    <row r="924" ht="26.25" customHeight="1">
      <c r="A924" s="38"/>
      <c r="U924" s="36"/>
    </row>
    <row r="925" ht="26.25" customHeight="1">
      <c r="A925" s="38"/>
      <c r="U925" s="36"/>
    </row>
    <row r="926" ht="26.25" customHeight="1">
      <c r="A926" s="38"/>
      <c r="U926" s="36"/>
    </row>
    <row r="927" ht="26.25" customHeight="1">
      <c r="A927" s="38"/>
      <c r="U927" s="36"/>
    </row>
    <row r="928" ht="26.25" customHeight="1">
      <c r="A928" s="38"/>
      <c r="U928" s="36"/>
    </row>
    <row r="929" ht="26.25" customHeight="1">
      <c r="A929" s="38"/>
      <c r="U929" s="36"/>
    </row>
    <row r="930" ht="26.25" customHeight="1">
      <c r="A930" s="38"/>
      <c r="U930" s="36"/>
    </row>
    <row r="931" ht="26.25" customHeight="1">
      <c r="A931" s="38"/>
      <c r="U931" s="36"/>
    </row>
    <row r="932" ht="26.25" customHeight="1">
      <c r="A932" s="38"/>
      <c r="U932" s="36"/>
    </row>
    <row r="933" ht="26.25" customHeight="1">
      <c r="A933" s="38"/>
      <c r="U933" s="36"/>
    </row>
    <row r="934" ht="26.25" customHeight="1">
      <c r="A934" s="38"/>
      <c r="U934" s="36"/>
    </row>
    <row r="935" ht="26.25" customHeight="1">
      <c r="A935" s="38"/>
      <c r="U935" s="36"/>
    </row>
    <row r="936" ht="26.25" customHeight="1">
      <c r="A936" s="38"/>
      <c r="U936" s="36"/>
    </row>
    <row r="937" ht="26.25" customHeight="1">
      <c r="A937" s="38"/>
      <c r="U937" s="36"/>
    </row>
    <row r="938" ht="26.25" customHeight="1">
      <c r="A938" s="38"/>
      <c r="U938" s="36"/>
    </row>
    <row r="939" ht="26.25" customHeight="1">
      <c r="A939" s="38"/>
      <c r="U939" s="36"/>
    </row>
    <row r="940" ht="26.25" customHeight="1">
      <c r="A940" s="38"/>
      <c r="U940" s="36"/>
    </row>
    <row r="941" ht="26.25" customHeight="1">
      <c r="A941" s="38"/>
      <c r="U941" s="36"/>
    </row>
    <row r="942" ht="26.25" customHeight="1">
      <c r="A942" s="38"/>
      <c r="U942" s="36"/>
    </row>
    <row r="943" ht="26.25" customHeight="1">
      <c r="A943" s="38"/>
      <c r="U943" s="36"/>
    </row>
    <row r="944" ht="26.25" customHeight="1">
      <c r="A944" s="38"/>
      <c r="U944" s="36"/>
    </row>
    <row r="945" ht="26.25" customHeight="1">
      <c r="A945" s="38"/>
      <c r="U945" s="36"/>
    </row>
    <row r="946" ht="26.25" customHeight="1">
      <c r="A946" s="38"/>
      <c r="U946" s="36"/>
    </row>
    <row r="947" ht="26.25" customHeight="1">
      <c r="A947" s="38"/>
      <c r="U947" s="36"/>
    </row>
    <row r="948" ht="26.25" customHeight="1">
      <c r="A948" s="38"/>
      <c r="U948" s="36"/>
    </row>
    <row r="949" ht="26.25" customHeight="1">
      <c r="A949" s="38"/>
      <c r="U949" s="36"/>
    </row>
    <row r="950" ht="26.25" customHeight="1">
      <c r="A950" s="38"/>
      <c r="U950" s="36"/>
    </row>
    <row r="951" ht="26.25" customHeight="1">
      <c r="A951" s="38"/>
      <c r="U951" s="36"/>
    </row>
    <row r="952" ht="26.25" customHeight="1">
      <c r="A952" s="38"/>
      <c r="U952" s="36"/>
    </row>
    <row r="953" ht="26.25" customHeight="1">
      <c r="A953" s="38"/>
      <c r="U953" s="36"/>
    </row>
    <row r="954" ht="26.25" customHeight="1">
      <c r="A954" s="38"/>
      <c r="U954" s="36"/>
    </row>
    <row r="955" ht="26.25" customHeight="1">
      <c r="A955" s="38"/>
      <c r="U955" s="36"/>
    </row>
    <row r="956" ht="26.25" customHeight="1">
      <c r="A956" s="38"/>
      <c r="U956" s="36"/>
    </row>
    <row r="957" ht="26.25" customHeight="1">
      <c r="A957" s="38"/>
      <c r="U957" s="36"/>
    </row>
    <row r="958" ht="26.25" customHeight="1">
      <c r="A958" s="38"/>
      <c r="U958" s="36"/>
    </row>
    <row r="959" ht="26.25" customHeight="1">
      <c r="A959" s="38"/>
      <c r="U959" s="36"/>
    </row>
    <row r="960" ht="26.25" customHeight="1">
      <c r="A960" s="38"/>
      <c r="U960" s="36"/>
    </row>
    <row r="961" ht="26.25" customHeight="1">
      <c r="A961" s="38"/>
      <c r="U961" s="36"/>
    </row>
    <row r="962" ht="26.25" customHeight="1">
      <c r="A962" s="38"/>
      <c r="U962" s="36"/>
    </row>
    <row r="963" ht="26.25" customHeight="1">
      <c r="A963" s="38"/>
      <c r="U963" s="36"/>
    </row>
    <row r="964" ht="26.25" customHeight="1">
      <c r="A964" s="38"/>
      <c r="U964" s="36"/>
    </row>
    <row r="965" ht="26.25" customHeight="1">
      <c r="A965" s="38"/>
      <c r="U965" s="36"/>
    </row>
    <row r="966" ht="26.25" customHeight="1">
      <c r="A966" s="38"/>
      <c r="U966" s="36"/>
    </row>
    <row r="967" ht="26.25" customHeight="1">
      <c r="A967" s="38"/>
      <c r="U967" s="36"/>
    </row>
    <row r="968" ht="26.25" customHeight="1">
      <c r="A968" s="38"/>
      <c r="U968" s="36"/>
    </row>
    <row r="969" ht="26.25" customHeight="1">
      <c r="A969" s="38"/>
      <c r="U969" s="36"/>
    </row>
    <row r="970" ht="26.25" customHeight="1">
      <c r="A970" s="38"/>
      <c r="U970" s="36"/>
    </row>
    <row r="971" ht="26.25" customHeight="1">
      <c r="A971" s="38"/>
      <c r="U971" s="36"/>
    </row>
    <row r="972" ht="26.25" customHeight="1">
      <c r="A972" s="38"/>
      <c r="U972" s="36"/>
    </row>
    <row r="973" ht="26.25" customHeight="1">
      <c r="A973" s="38"/>
      <c r="U973" s="36"/>
    </row>
    <row r="974" ht="26.25" customHeight="1">
      <c r="A974" s="38"/>
      <c r="U974" s="36"/>
    </row>
    <row r="975" ht="26.25" customHeight="1">
      <c r="A975" s="38"/>
      <c r="U975" s="36"/>
    </row>
    <row r="976" ht="26.25" customHeight="1">
      <c r="A976" s="38"/>
      <c r="U976" s="36"/>
    </row>
    <row r="977" ht="26.25" customHeight="1">
      <c r="A977" s="38"/>
      <c r="U977" s="36"/>
    </row>
    <row r="978" ht="26.25" customHeight="1">
      <c r="A978" s="38"/>
      <c r="U978" s="36"/>
    </row>
    <row r="979" ht="26.25" customHeight="1">
      <c r="A979" s="38"/>
      <c r="U979" s="36"/>
    </row>
    <row r="980" ht="26.25" customHeight="1">
      <c r="A980" s="38"/>
      <c r="U980" s="36"/>
    </row>
    <row r="981" ht="26.25" customHeight="1">
      <c r="A981" s="38"/>
      <c r="U981" s="36"/>
    </row>
    <row r="982" ht="26.25" customHeight="1">
      <c r="A982" s="38"/>
      <c r="U982" s="36"/>
    </row>
    <row r="983" ht="26.25" customHeight="1">
      <c r="A983" s="38"/>
      <c r="U983" s="36"/>
    </row>
    <row r="984" ht="26.25" customHeight="1">
      <c r="A984" s="38"/>
      <c r="U984" s="36"/>
    </row>
    <row r="985" ht="26.25" customHeight="1">
      <c r="A985" s="38"/>
      <c r="U985" s="36"/>
    </row>
    <row r="986" ht="26.25" customHeight="1">
      <c r="A986" s="38"/>
      <c r="U986" s="36"/>
    </row>
    <row r="987" ht="26.25" customHeight="1">
      <c r="A987" s="38"/>
      <c r="U987" s="36"/>
    </row>
    <row r="988" ht="26.25" customHeight="1">
      <c r="A988" s="38"/>
      <c r="U988" s="36"/>
    </row>
    <row r="989" ht="26.25" customHeight="1">
      <c r="A989" s="38"/>
      <c r="U989" s="36"/>
    </row>
    <row r="990" ht="26.25" customHeight="1">
      <c r="A990" s="38"/>
      <c r="U990" s="36"/>
    </row>
    <row r="991" ht="26.25" customHeight="1">
      <c r="A991" s="38"/>
      <c r="U991" s="36"/>
    </row>
    <row r="992" ht="26.25" customHeight="1">
      <c r="A992" s="38"/>
      <c r="U992" s="36"/>
    </row>
    <row r="993" ht="26.25" customHeight="1">
      <c r="A993" s="38"/>
      <c r="U993" s="36"/>
    </row>
    <row r="994" ht="26.25" customHeight="1">
      <c r="A994" s="38"/>
      <c r="U994" s="36"/>
    </row>
    <row r="995" ht="26.25" customHeight="1">
      <c r="A995" s="38"/>
      <c r="U995" s="36"/>
    </row>
    <row r="996" ht="26.25" customHeight="1">
      <c r="A996" s="38"/>
      <c r="U996" s="36"/>
    </row>
    <row r="997" ht="26.25" customHeight="1">
      <c r="A997" s="38"/>
      <c r="U997" s="36"/>
    </row>
    <row r="998" ht="26.25" customHeight="1">
      <c r="A998" s="38"/>
      <c r="U998" s="36"/>
    </row>
    <row r="999" ht="26.25" customHeight="1">
      <c r="A999" s="38"/>
      <c r="U999" s="36"/>
    </row>
    <row r="1000" ht="26.25" customHeight="1">
      <c r="A1000" s="38"/>
      <c r="U1000" s="36"/>
    </row>
  </sheetData>
  <mergeCells count="1">
    <mergeCell ref="A1:A29"/>
  </mergeCells>
  <conditionalFormatting sqref="F2:O12">
    <cfRule type="cellIs" dxfId="4" priority="1" operator="equal">
      <formula>"P"</formula>
    </cfRule>
  </conditionalFormatting>
  <conditionalFormatting sqref="F2:O12">
    <cfRule type="cellIs" dxfId="9" priority="2" operator="equal">
      <formula>"A"</formula>
    </cfRule>
  </conditionalFormatting>
  <conditionalFormatting sqref="Q2:Q12">
    <cfRule type="notContainsBlanks" dxfId="4" priority="3">
      <formula>LEN(TRIM(Q2))&gt;0</formula>
    </cfRule>
  </conditionalFormatting>
  <conditionalFormatting sqref="U1:U1000">
    <cfRule type="colorScale" priority="4">
      <colorScale>
        <cfvo type="percent" val="0"/>
        <cfvo type="percent" val="50"/>
        <cfvo type="percent" val="100"/>
        <color rgb="FFCC0000"/>
        <color rgb="FFFFF2CC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7.38"/>
    <col customWidth="1" min="3" max="3" width="11.0"/>
    <col customWidth="1" min="4" max="4" width="24.0"/>
    <col customWidth="1" min="5" max="5" width="7.0"/>
    <col customWidth="1" min="6" max="7" width="8.38"/>
    <col customWidth="1" min="8" max="8" width="10.38"/>
    <col customWidth="1" min="9" max="9" width="8.63"/>
    <col customWidth="1" min="10" max="10" width="10.63"/>
    <col customWidth="1" min="11" max="11" width="10.38"/>
    <col customWidth="1" min="12" max="12" width="9.63"/>
    <col customWidth="1" min="13" max="13" width="8.38"/>
    <col customWidth="1" min="14" max="14" width="8.63"/>
    <col customWidth="1" min="15" max="16" width="13.75"/>
    <col customWidth="1" min="17" max="17" width="17.0"/>
    <col customWidth="1" min="18" max="18" width="14.13"/>
    <col customWidth="1" min="19" max="19" width="10.0"/>
    <col customWidth="1" min="20" max="20" width="12.38"/>
    <col customWidth="1" min="21" max="29" width="15.63"/>
  </cols>
  <sheetData>
    <row r="1" ht="103.5" customHeight="1">
      <c r="A1" s="39" t="s">
        <v>9</v>
      </c>
      <c r="B1" s="40" t="s">
        <v>0</v>
      </c>
      <c r="C1" s="40" t="s">
        <v>1</v>
      </c>
      <c r="D1" s="40" t="s">
        <v>2</v>
      </c>
      <c r="E1" s="41" t="s">
        <v>3</v>
      </c>
      <c r="F1" s="42" t="s">
        <v>72</v>
      </c>
      <c r="G1" s="43" t="s">
        <v>73</v>
      </c>
      <c r="H1" s="43" t="s">
        <v>74</v>
      </c>
      <c r="I1" s="43" t="s">
        <v>75</v>
      </c>
      <c r="J1" s="44" t="s">
        <v>76</v>
      </c>
      <c r="K1" s="42" t="s">
        <v>77</v>
      </c>
      <c r="L1" s="43" t="s">
        <v>78</v>
      </c>
      <c r="M1" s="43" t="s">
        <v>79</v>
      </c>
      <c r="N1" s="43" t="s">
        <v>80</v>
      </c>
      <c r="O1" s="44" t="s">
        <v>81</v>
      </c>
      <c r="P1" s="45" t="s">
        <v>82</v>
      </c>
      <c r="Q1" s="46" t="s">
        <v>83</v>
      </c>
      <c r="R1" s="24" t="s">
        <v>90</v>
      </c>
      <c r="S1" s="24" t="s">
        <v>85</v>
      </c>
      <c r="T1" s="24" t="s">
        <v>56</v>
      </c>
      <c r="U1" s="8" t="s">
        <v>86</v>
      </c>
    </row>
    <row r="2" ht="26.25" customHeight="1">
      <c r="A2" s="25"/>
      <c r="B2" s="2" t="str">
        <f>IFERROR(__xludf.DUMMYFUNCTION("FILTER(StudendEnroll!A2:D27,StudendEnroll!D2:D27=A1)"),"Elvis")</f>
        <v>Elvis</v>
      </c>
      <c r="C2" s="2" t="str">
        <f>IFERROR(__xludf.DUMMYFUNCTION("""COMPUTED_VALUE"""),"Bond")</f>
        <v>Bond</v>
      </c>
      <c r="D2" s="2" t="str">
        <f>IFERROR(__xludf.DUMMYFUNCTION("""COMPUTED_VALUE"""),"ElvisBond@gmail.com")</f>
        <v>ElvisBond@gmail.com</v>
      </c>
      <c r="E2" s="2" t="str">
        <f>IFERROR(__xludf.DUMMYFUNCTION("""COMPUTED_VALUE"""),"Maths1")</f>
        <v>Maths1</v>
      </c>
      <c r="F2" s="26" t="s">
        <v>87</v>
      </c>
      <c r="G2" s="2" t="s">
        <v>87</v>
      </c>
      <c r="H2" s="2" t="s">
        <v>87</v>
      </c>
      <c r="I2" s="2" t="s">
        <v>87</v>
      </c>
      <c r="J2" s="27" t="s">
        <v>87</v>
      </c>
      <c r="K2" s="26" t="s">
        <v>87</v>
      </c>
      <c r="L2" s="2" t="s">
        <v>87</v>
      </c>
      <c r="M2" s="2" t="s">
        <v>87</v>
      </c>
      <c r="N2" s="2" t="s">
        <v>87</v>
      </c>
      <c r="O2" s="47" t="s">
        <v>88</v>
      </c>
      <c r="P2" s="48">
        <f t="shared" ref="P2:P16" si="1">COUNTIF(F2:J2,"P")/COUNTA(F2:J2)</f>
        <v>1</v>
      </c>
      <c r="Q2" s="48">
        <f t="shared" ref="Q2:Q16" si="2">COUNTIF(K2:O2,"P")/COUNTA(K2:O2)</f>
        <v>0.8</v>
      </c>
      <c r="R2" s="2">
        <v>96.0</v>
      </c>
      <c r="S2" s="2">
        <v>88.0</v>
      </c>
      <c r="T2" s="2" t="s">
        <v>65</v>
      </c>
      <c r="U2" s="49">
        <f t="shared" ref="U2:U16" si="3">SUM(P2:Q2)/2</f>
        <v>0.9</v>
      </c>
    </row>
    <row r="3" ht="26.25" customHeight="1">
      <c r="A3" s="25"/>
      <c r="B3" s="2" t="str">
        <f>IFERROR(__xludf.DUMMYFUNCTION("""COMPUTED_VALUE"""),"Mary")</f>
        <v>Mary</v>
      </c>
      <c r="C3" s="2" t="str">
        <f>IFERROR(__xludf.DUMMYFUNCTION("""COMPUTED_VALUE"""),"Gas")</f>
        <v>Gas</v>
      </c>
      <c r="D3" s="2" t="str">
        <f>IFERROR(__xludf.DUMMYFUNCTION("""COMPUTED_VALUE"""),"MaryGas@gmail.com")</f>
        <v>MaryGas@gmail.com</v>
      </c>
      <c r="E3" s="2" t="str">
        <f>IFERROR(__xludf.DUMMYFUNCTION("""COMPUTED_VALUE"""),"Maths1")</f>
        <v>Maths1</v>
      </c>
      <c r="F3" s="26" t="s">
        <v>87</v>
      </c>
      <c r="G3" s="2" t="s">
        <v>87</v>
      </c>
      <c r="H3" s="2" t="s">
        <v>87</v>
      </c>
      <c r="I3" s="2" t="s">
        <v>87</v>
      </c>
      <c r="J3" s="27" t="s">
        <v>87</v>
      </c>
      <c r="K3" s="26" t="s">
        <v>87</v>
      </c>
      <c r="L3" s="2" t="s">
        <v>87</v>
      </c>
      <c r="M3" s="2" t="s">
        <v>87</v>
      </c>
      <c r="N3" s="2" t="s">
        <v>87</v>
      </c>
      <c r="O3" s="47" t="s">
        <v>88</v>
      </c>
      <c r="P3" s="48">
        <f t="shared" si="1"/>
        <v>1</v>
      </c>
      <c r="Q3" s="48">
        <f t="shared" si="2"/>
        <v>0.8</v>
      </c>
      <c r="R3" s="2">
        <v>55.0</v>
      </c>
      <c r="S3" s="2">
        <v>66.0</v>
      </c>
      <c r="T3" s="2" t="s">
        <v>89</v>
      </c>
      <c r="U3" s="49">
        <f t="shared" si="3"/>
        <v>0.9</v>
      </c>
    </row>
    <row r="4" ht="26.25" customHeight="1">
      <c r="A4" s="25"/>
      <c r="B4" s="2" t="str">
        <f>IFERROR(__xludf.DUMMYFUNCTION("""COMPUTED_VALUE"""),"Robert")</f>
        <v>Robert</v>
      </c>
      <c r="C4" s="2" t="str">
        <f>IFERROR(__xludf.DUMMYFUNCTION("""COMPUTED_VALUE"""),"Hus")</f>
        <v>Hus</v>
      </c>
      <c r="D4" s="2" t="str">
        <f>IFERROR(__xludf.DUMMYFUNCTION("""COMPUTED_VALUE"""),"RobertHus@gmail.com")</f>
        <v>RobertHus@gmail.com</v>
      </c>
      <c r="E4" s="2" t="str">
        <f>IFERROR(__xludf.DUMMYFUNCTION("""COMPUTED_VALUE"""),"Maths1")</f>
        <v>Maths1</v>
      </c>
      <c r="F4" s="26" t="s">
        <v>87</v>
      </c>
      <c r="G4" s="2" t="s">
        <v>87</v>
      </c>
      <c r="H4" s="2" t="s">
        <v>87</v>
      </c>
      <c r="I4" s="2" t="s">
        <v>87</v>
      </c>
      <c r="J4" s="27" t="s">
        <v>87</v>
      </c>
      <c r="K4" s="26" t="s">
        <v>87</v>
      </c>
      <c r="L4" s="2" t="s">
        <v>87</v>
      </c>
      <c r="M4" s="2" t="s">
        <v>87</v>
      </c>
      <c r="N4" s="2" t="s">
        <v>87</v>
      </c>
      <c r="O4" s="47" t="s">
        <v>87</v>
      </c>
      <c r="P4" s="48">
        <f t="shared" si="1"/>
        <v>1</v>
      </c>
      <c r="Q4" s="48">
        <f t="shared" si="2"/>
        <v>1</v>
      </c>
      <c r="R4" s="2">
        <v>81.0</v>
      </c>
      <c r="S4" s="2">
        <v>99.0</v>
      </c>
      <c r="T4" s="2" t="s">
        <v>65</v>
      </c>
      <c r="U4" s="49">
        <f t="shared" si="3"/>
        <v>1</v>
      </c>
    </row>
    <row r="5" ht="26.25" customHeight="1">
      <c r="A5" s="25"/>
      <c r="B5" s="2" t="str">
        <f>IFERROR(__xludf.DUMMYFUNCTION("""COMPUTED_VALUE"""),"Omar")</f>
        <v>Omar</v>
      </c>
      <c r="C5" s="2" t="str">
        <f>IFERROR(__xludf.DUMMYFUNCTION("""COMPUTED_VALUE"""),"Kasim")</f>
        <v>Kasim</v>
      </c>
      <c r="D5" s="2" t="str">
        <f>IFERROR(__xludf.DUMMYFUNCTION("""COMPUTED_VALUE"""),"OmarKasim@gmail.com")</f>
        <v>OmarKasim@gmail.com</v>
      </c>
      <c r="E5" s="2" t="str">
        <f>IFERROR(__xludf.DUMMYFUNCTION("""COMPUTED_VALUE"""),"Maths1")</f>
        <v>Maths1</v>
      </c>
      <c r="F5" s="26" t="s">
        <v>88</v>
      </c>
      <c r="G5" s="2" t="s">
        <v>88</v>
      </c>
      <c r="H5" s="2" t="s">
        <v>88</v>
      </c>
      <c r="I5" s="2" t="s">
        <v>87</v>
      </c>
      <c r="J5" s="27" t="s">
        <v>87</v>
      </c>
      <c r="K5" s="32" t="s">
        <v>87</v>
      </c>
      <c r="L5" s="8" t="s">
        <v>87</v>
      </c>
      <c r="M5" s="2" t="s">
        <v>88</v>
      </c>
      <c r="N5" s="2" t="s">
        <v>87</v>
      </c>
      <c r="O5" s="47" t="s">
        <v>87</v>
      </c>
      <c r="P5" s="48">
        <f t="shared" si="1"/>
        <v>0.4</v>
      </c>
      <c r="Q5" s="48">
        <f t="shared" si="2"/>
        <v>0.8</v>
      </c>
      <c r="R5" s="2">
        <v>77.0</v>
      </c>
      <c r="S5" s="2">
        <v>87.0</v>
      </c>
      <c r="T5" s="2" t="s">
        <v>65</v>
      </c>
      <c r="U5" s="49">
        <f t="shared" si="3"/>
        <v>0.6</v>
      </c>
    </row>
    <row r="6" ht="26.25" customHeight="1">
      <c r="A6" s="25"/>
      <c r="B6" s="2" t="str">
        <f>IFERROR(__xludf.DUMMYFUNCTION("""COMPUTED_VALUE"""),"Denis")</f>
        <v>Denis</v>
      </c>
      <c r="C6" s="2" t="str">
        <f>IFERROR(__xludf.DUMMYFUNCTION("""COMPUTED_VALUE"""),"Rodman")</f>
        <v>Rodman</v>
      </c>
      <c r="D6" s="2" t="str">
        <f>IFERROR(__xludf.DUMMYFUNCTION("""COMPUTED_VALUE"""),"DenisRodman@gmail.com")</f>
        <v>DenisRodman@gmail.com</v>
      </c>
      <c r="E6" s="2" t="str">
        <f>IFERROR(__xludf.DUMMYFUNCTION("""COMPUTED_VALUE"""),"Maths1")</f>
        <v>Maths1</v>
      </c>
      <c r="F6" s="26" t="s">
        <v>87</v>
      </c>
      <c r="G6" s="2" t="s">
        <v>87</v>
      </c>
      <c r="H6" s="2" t="s">
        <v>87</v>
      </c>
      <c r="I6" s="2" t="s">
        <v>88</v>
      </c>
      <c r="J6" s="27" t="s">
        <v>87</v>
      </c>
      <c r="K6" s="26" t="s">
        <v>87</v>
      </c>
      <c r="L6" s="2" t="s">
        <v>87</v>
      </c>
      <c r="M6" s="2" t="s">
        <v>87</v>
      </c>
      <c r="N6" s="2" t="s">
        <v>88</v>
      </c>
      <c r="O6" s="47" t="s">
        <v>88</v>
      </c>
      <c r="P6" s="48">
        <f t="shared" si="1"/>
        <v>0.8</v>
      </c>
      <c r="Q6" s="48">
        <f t="shared" si="2"/>
        <v>0.6</v>
      </c>
      <c r="R6" s="2">
        <v>80.0</v>
      </c>
      <c r="S6" s="2">
        <v>78.0</v>
      </c>
      <c r="T6" s="2" t="s">
        <v>65</v>
      </c>
      <c r="U6" s="49">
        <f t="shared" si="3"/>
        <v>0.7</v>
      </c>
    </row>
    <row r="7" ht="26.25" customHeight="1">
      <c r="A7" s="25"/>
      <c r="B7" s="2" t="str">
        <f>IFERROR(__xludf.DUMMYFUNCTION("""COMPUTED_VALUE"""),"John")</f>
        <v>John</v>
      </c>
      <c r="C7" s="2" t="str">
        <f>IFERROR(__xludf.DUMMYFUNCTION("""COMPUTED_VALUE"""),"Baderas")</f>
        <v>Baderas</v>
      </c>
      <c r="D7" s="2" t="str">
        <f>IFERROR(__xludf.DUMMYFUNCTION("""COMPUTED_VALUE"""),"JohnBaderas@gmail.com")</f>
        <v>JohnBaderas@gmail.com</v>
      </c>
      <c r="E7" s="2" t="str">
        <f>IFERROR(__xludf.DUMMYFUNCTION("""COMPUTED_VALUE"""),"Maths1")</f>
        <v>Maths1</v>
      </c>
      <c r="F7" s="26" t="s">
        <v>87</v>
      </c>
      <c r="G7" s="2" t="s">
        <v>87</v>
      </c>
      <c r="H7" s="2" t="s">
        <v>87</v>
      </c>
      <c r="I7" s="2" t="s">
        <v>87</v>
      </c>
      <c r="J7" s="27" t="s">
        <v>88</v>
      </c>
      <c r="K7" s="26" t="s">
        <v>87</v>
      </c>
      <c r="L7" s="2" t="s">
        <v>87</v>
      </c>
      <c r="M7" s="2" t="s">
        <v>87</v>
      </c>
      <c r="N7" s="2" t="s">
        <v>87</v>
      </c>
      <c r="O7" s="47" t="s">
        <v>87</v>
      </c>
      <c r="P7" s="48">
        <f t="shared" si="1"/>
        <v>0.8</v>
      </c>
      <c r="Q7" s="48">
        <f t="shared" si="2"/>
        <v>1</v>
      </c>
      <c r="R7" s="2">
        <v>60.0</v>
      </c>
      <c r="S7" s="2">
        <v>94.0</v>
      </c>
      <c r="T7" s="2" t="s">
        <v>65</v>
      </c>
      <c r="U7" s="49">
        <f t="shared" si="3"/>
        <v>0.9</v>
      </c>
    </row>
    <row r="8" ht="26.25" customHeight="1">
      <c r="A8" s="25"/>
      <c r="B8" s="2" t="str">
        <f>IFERROR(__xludf.DUMMYFUNCTION("""COMPUTED_VALUE"""),"Ronald")</f>
        <v>Ronald</v>
      </c>
      <c r="C8" s="2" t="str">
        <f>IFERROR(__xludf.DUMMYFUNCTION("""COMPUTED_VALUE"""),"Connan")</f>
        <v>Connan</v>
      </c>
      <c r="D8" s="2" t="str">
        <f>IFERROR(__xludf.DUMMYFUNCTION("""COMPUTED_VALUE"""),"RonaldConnan@gmail.com")</f>
        <v>RonaldConnan@gmail.com</v>
      </c>
      <c r="E8" s="2" t="str">
        <f>IFERROR(__xludf.DUMMYFUNCTION("""COMPUTED_VALUE"""),"Maths1")</f>
        <v>Maths1</v>
      </c>
      <c r="F8" s="26" t="s">
        <v>88</v>
      </c>
      <c r="G8" s="2" t="s">
        <v>88</v>
      </c>
      <c r="H8" s="8" t="s">
        <v>87</v>
      </c>
      <c r="I8" s="2" t="s">
        <v>88</v>
      </c>
      <c r="J8" s="27" t="s">
        <v>87</v>
      </c>
      <c r="K8" s="32" t="s">
        <v>87</v>
      </c>
      <c r="L8" s="8" t="s">
        <v>87</v>
      </c>
      <c r="M8" s="8" t="s">
        <v>87</v>
      </c>
      <c r="N8" s="8" t="s">
        <v>87</v>
      </c>
      <c r="O8" s="47" t="s">
        <v>88</v>
      </c>
      <c r="P8" s="48">
        <f t="shared" si="1"/>
        <v>0.4</v>
      </c>
      <c r="Q8" s="48">
        <f t="shared" si="2"/>
        <v>0.8</v>
      </c>
      <c r="R8" s="2">
        <v>92.0</v>
      </c>
      <c r="S8" s="2">
        <v>79.0</v>
      </c>
      <c r="T8" s="2" t="s">
        <v>65</v>
      </c>
      <c r="U8" s="49">
        <f t="shared" si="3"/>
        <v>0.6</v>
      </c>
    </row>
    <row r="9" ht="26.25" customHeight="1">
      <c r="A9" s="25"/>
      <c r="B9" s="2" t="str">
        <f>IFERROR(__xludf.DUMMYFUNCTION("""COMPUTED_VALUE"""),"Dennis")</f>
        <v>Dennis</v>
      </c>
      <c r="C9" s="2" t="str">
        <f>IFERROR(__xludf.DUMMYFUNCTION("""COMPUTED_VALUE"""),"Menace")</f>
        <v>Menace</v>
      </c>
      <c r="D9" s="2" t="str">
        <f>IFERROR(__xludf.DUMMYFUNCTION("""COMPUTED_VALUE"""),"DennisMenace@gmail.com")</f>
        <v>DennisMenace@gmail.com</v>
      </c>
      <c r="E9" s="2" t="str">
        <f>IFERROR(__xludf.DUMMYFUNCTION("""COMPUTED_VALUE"""),"Maths1")</f>
        <v>Maths1</v>
      </c>
      <c r="F9" s="26" t="s">
        <v>87</v>
      </c>
      <c r="G9" s="2" t="s">
        <v>87</v>
      </c>
      <c r="H9" s="2" t="s">
        <v>87</v>
      </c>
      <c r="I9" s="2" t="s">
        <v>87</v>
      </c>
      <c r="J9" s="27" t="s">
        <v>87</v>
      </c>
      <c r="K9" s="26" t="s">
        <v>87</v>
      </c>
      <c r="L9" s="2" t="s">
        <v>87</v>
      </c>
      <c r="M9" s="2" t="s">
        <v>87</v>
      </c>
      <c r="N9" s="2" t="s">
        <v>87</v>
      </c>
      <c r="O9" s="47" t="s">
        <v>87</v>
      </c>
      <c r="P9" s="48">
        <f t="shared" si="1"/>
        <v>1</v>
      </c>
      <c r="Q9" s="48">
        <f t="shared" si="2"/>
        <v>1</v>
      </c>
      <c r="R9" s="2">
        <v>73.0</v>
      </c>
      <c r="S9" s="2">
        <v>99.0</v>
      </c>
      <c r="T9" s="8" t="s">
        <v>65</v>
      </c>
      <c r="U9" s="49">
        <f t="shared" si="3"/>
        <v>1</v>
      </c>
    </row>
    <row r="10" ht="26.25" customHeight="1">
      <c r="A10" s="25"/>
      <c r="B10" s="2" t="str">
        <f>IFERROR(__xludf.DUMMYFUNCTION("""COMPUTED_VALUE"""),"Ronald")</f>
        <v>Ronald</v>
      </c>
      <c r="C10" s="2" t="str">
        <f>IFERROR(__xludf.DUMMYFUNCTION("""COMPUTED_VALUE"""),"Pape")</f>
        <v>Pape</v>
      </c>
      <c r="D10" s="2" t="str">
        <f>IFERROR(__xludf.DUMMYFUNCTION("""COMPUTED_VALUE"""),"RonaldPape@gmail.com")</f>
        <v>RonaldPape@gmail.com</v>
      </c>
      <c r="E10" s="2" t="str">
        <f>IFERROR(__xludf.DUMMYFUNCTION("""COMPUTED_VALUE"""),"Maths1")</f>
        <v>Maths1</v>
      </c>
      <c r="F10" s="26" t="s">
        <v>88</v>
      </c>
      <c r="G10" s="2" t="s">
        <v>87</v>
      </c>
      <c r="H10" s="2" t="s">
        <v>87</v>
      </c>
      <c r="I10" s="2" t="s">
        <v>87</v>
      </c>
      <c r="J10" s="27" t="s">
        <v>88</v>
      </c>
      <c r="K10" s="26" t="s">
        <v>88</v>
      </c>
      <c r="L10" s="2" t="s">
        <v>87</v>
      </c>
      <c r="M10" s="2" t="s">
        <v>87</v>
      </c>
      <c r="N10" s="2" t="s">
        <v>87</v>
      </c>
      <c r="O10" s="47" t="s">
        <v>87</v>
      </c>
      <c r="P10" s="48">
        <f t="shared" si="1"/>
        <v>0.6</v>
      </c>
      <c r="Q10" s="48">
        <f t="shared" si="2"/>
        <v>0.8</v>
      </c>
      <c r="R10" s="8">
        <v>73.0</v>
      </c>
      <c r="S10" s="2">
        <v>68.0</v>
      </c>
      <c r="T10" s="2" t="s">
        <v>65</v>
      </c>
      <c r="U10" s="49">
        <f t="shared" si="3"/>
        <v>0.7</v>
      </c>
    </row>
    <row r="11" ht="26.25" customHeight="1">
      <c r="A11" s="25"/>
      <c r="B11" s="2" t="str">
        <f>IFERROR(__xludf.DUMMYFUNCTION("""COMPUTED_VALUE"""),"Walid")</f>
        <v>Walid</v>
      </c>
      <c r="C11" s="2" t="str">
        <f>IFERROR(__xludf.DUMMYFUNCTION("""COMPUTED_VALUE"""),"Matip")</f>
        <v>Matip</v>
      </c>
      <c r="D11" s="2" t="str">
        <f>IFERROR(__xludf.DUMMYFUNCTION("""COMPUTED_VALUE"""),"WalidMatip@gmail.com")</f>
        <v>WalidMatip@gmail.com</v>
      </c>
      <c r="E11" s="2" t="str">
        <f>IFERROR(__xludf.DUMMYFUNCTION("""COMPUTED_VALUE"""),"Maths1")</f>
        <v>Maths1</v>
      </c>
      <c r="F11" s="26" t="s">
        <v>87</v>
      </c>
      <c r="G11" s="2" t="s">
        <v>87</v>
      </c>
      <c r="H11" s="2" t="s">
        <v>87</v>
      </c>
      <c r="I11" s="2" t="s">
        <v>87</v>
      </c>
      <c r="J11" s="27" t="s">
        <v>87</v>
      </c>
      <c r="K11" s="26" t="s">
        <v>87</v>
      </c>
      <c r="L11" s="2" t="s">
        <v>87</v>
      </c>
      <c r="M11" s="2" t="s">
        <v>87</v>
      </c>
      <c r="N11" s="2" t="s">
        <v>87</v>
      </c>
      <c r="O11" s="47" t="s">
        <v>88</v>
      </c>
      <c r="P11" s="48">
        <f t="shared" si="1"/>
        <v>1</v>
      </c>
      <c r="Q11" s="48">
        <f t="shared" si="2"/>
        <v>0.8</v>
      </c>
      <c r="R11" s="2">
        <v>88.0</v>
      </c>
      <c r="S11" s="2">
        <v>80.0</v>
      </c>
      <c r="T11" s="2" t="s">
        <v>65</v>
      </c>
      <c r="U11" s="49">
        <f t="shared" si="3"/>
        <v>0.9</v>
      </c>
    </row>
    <row r="12" ht="26.25" customHeight="1">
      <c r="A12" s="25"/>
      <c r="B12" s="2" t="str">
        <f>IFERROR(__xludf.DUMMYFUNCTION("""COMPUTED_VALUE"""),"Donna")</f>
        <v>Donna</v>
      </c>
      <c r="C12" s="2" t="str">
        <f>IFERROR(__xludf.DUMMYFUNCTION("""COMPUTED_VALUE"""),"Corleone")</f>
        <v>Corleone</v>
      </c>
      <c r="D12" s="2" t="str">
        <f>IFERROR(__xludf.DUMMYFUNCTION("""COMPUTED_VALUE"""),"DonnaCorleone@gmail.com")</f>
        <v>DonnaCorleone@gmail.com</v>
      </c>
      <c r="E12" s="2" t="str">
        <f>IFERROR(__xludf.DUMMYFUNCTION("""COMPUTED_VALUE"""),"Maths1")</f>
        <v>Maths1</v>
      </c>
      <c r="F12" s="26" t="s">
        <v>87</v>
      </c>
      <c r="G12" s="2" t="s">
        <v>87</v>
      </c>
      <c r="H12" s="2" t="s">
        <v>87</v>
      </c>
      <c r="I12" s="2" t="s">
        <v>87</v>
      </c>
      <c r="J12" s="27" t="s">
        <v>88</v>
      </c>
      <c r="K12" s="26" t="s">
        <v>87</v>
      </c>
      <c r="L12" s="2" t="s">
        <v>87</v>
      </c>
      <c r="M12" s="2" t="s">
        <v>87</v>
      </c>
      <c r="N12" s="2" t="s">
        <v>87</v>
      </c>
      <c r="O12" s="47" t="s">
        <v>87</v>
      </c>
      <c r="P12" s="48">
        <f t="shared" si="1"/>
        <v>0.8</v>
      </c>
      <c r="Q12" s="48">
        <f t="shared" si="2"/>
        <v>1</v>
      </c>
      <c r="R12" s="2">
        <v>96.0</v>
      </c>
      <c r="S12" s="2">
        <v>90.0</v>
      </c>
      <c r="T12" s="2" t="s">
        <v>65</v>
      </c>
      <c r="U12" s="49">
        <f t="shared" si="3"/>
        <v>0.9</v>
      </c>
    </row>
    <row r="13" ht="26.25" customHeight="1">
      <c r="A13" s="25"/>
      <c r="B13" s="2" t="str">
        <f>IFERROR(__xludf.DUMMYFUNCTION("""COMPUTED_VALUE"""),"Mary")</f>
        <v>Mary</v>
      </c>
      <c r="C13" s="2" t="str">
        <f>IFERROR(__xludf.DUMMYFUNCTION("""COMPUTED_VALUE"""),"Connan")</f>
        <v>Connan</v>
      </c>
      <c r="D13" s="2" t="str">
        <f>IFERROR(__xludf.DUMMYFUNCTION("""COMPUTED_VALUE"""),"MaryConnan@gmail.com")</f>
        <v>MaryConnan@gmail.com</v>
      </c>
      <c r="E13" s="2" t="str">
        <f>IFERROR(__xludf.DUMMYFUNCTION("""COMPUTED_VALUE"""),"Maths1")</f>
        <v>Maths1</v>
      </c>
      <c r="F13" s="26" t="s">
        <v>87</v>
      </c>
      <c r="G13" s="2" t="s">
        <v>88</v>
      </c>
      <c r="H13" s="2" t="s">
        <v>87</v>
      </c>
      <c r="I13" s="2" t="s">
        <v>88</v>
      </c>
      <c r="J13" s="27" t="s">
        <v>87</v>
      </c>
      <c r="K13" s="26" t="s">
        <v>87</v>
      </c>
      <c r="L13" s="2" t="s">
        <v>88</v>
      </c>
      <c r="M13" s="2" t="s">
        <v>87</v>
      </c>
      <c r="N13" s="2" t="s">
        <v>88</v>
      </c>
      <c r="O13" s="47" t="s">
        <v>88</v>
      </c>
      <c r="P13" s="48">
        <f t="shared" si="1"/>
        <v>0.6</v>
      </c>
      <c r="Q13" s="48">
        <f t="shared" si="2"/>
        <v>0.4</v>
      </c>
      <c r="R13" s="2">
        <v>100.0</v>
      </c>
      <c r="S13" s="2">
        <v>91.0</v>
      </c>
      <c r="T13" s="2" t="s">
        <v>65</v>
      </c>
      <c r="U13" s="49">
        <f t="shared" si="3"/>
        <v>0.5</v>
      </c>
    </row>
    <row r="14" ht="26.25" customHeight="1">
      <c r="A14" s="25"/>
      <c r="B14" s="2" t="str">
        <f>IFERROR(__xludf.DUMMYFUNCTION("""COMPUTED_VALUE"""),"Dustin")</f>
        <v>Dustin</v>
      </c>
      <c r="C14" s="2" t="str">
        <f>IFERROR(__xludf.DUMMYFUNCTION("""COMPUTED_VALUE"""),"Boier")</f>
        <v>Boier</v>
      </c>
      <c r="D14" s="2" t="str">
        <f>IFERROR(__xludf.DUMMYFUNCTION("""COMPUTED_VALUE"""),"DustinBoier@gmail.com")</f>
        <v>DustinBoier@gmail.com</v>
      </c>
      <c r="E14" s="2" t="str">
        <f>IFERROR(__xludf.DUMMYFUNCTION("""COMPUTED_VALUE"""),"Maths1")</f>
        <v>Maths1</v>
      </c>
      <c r="F14" s="26" t="s">
        <v>88</v>
      </c>
      <c r="G14" s="2" t="s">
        <v>88</v>
      </c>
      <c r="H14" s="2" t="s">
        <v>88</v>
      </c>
      <c r="I14" s="2" t="s">
        <v>88</v>
      </c>
      <c r="J14" s="27" t="s">
        <v>88</v>
      </c>
      <c r="K14" s="26" t="s">
        <v>88</v>
      </c>
      <c r="L14" s="2" t="s">
        <v>88</v>
      </c>
      <c r="M14" s="2" t="s">
        <v>88</v>
      </c>
      <c r="N14" s="8" t="s">
        <v>87</v>
      </c>
      <c r="O14" s="47" t="s">
        <v>87</v>
      </c>
      <c r="P14" s="48">
        <f t="shared" si="1"/>
        <v>0</v>
      </c>
      <c r="Q14" s="48">
        <f t="shared" si="2"/>
        <v>0.4</v>
      </c>
      <c r="R14" s="8">
        <v>0.0</v>
      </c>
      <c r="S14" s="8">
        <v>37.0</v>
      </c>
      <c r="T14" s="8" t="s">
        <v>89</v>
      </c>
      <c r="U14" s="49">
        <f t="shared" si="3"/>
        <v>0.2</v>
      </c>
    </row>
    <row r="15" ht="26.25" customHeight="1">
      <c r="A15" s="25"/>
      <c r="B15" s="2" t="str">
        <f>IFERROR(__xludf.DUMMYFUNCTION("""COMPUTED_VALUE"""),"Lana")</f>
        <v>Lana</v>
      </c>
      <c r="C15" s="2" t="str">
        <f>IFERROR(__xludf.DUMMYFUNCTION("""COMPUTED_VALUE"""),"Andie")</f>
        <v>Andie</v>
      </c>
      <c r="D15" s="2" t="str">
        <f>IFERROR(__xludf.DUMMYFUNCTION("""COMPUTED_VALUE"""),"LanaAndie@gmail.com")</f>
        <v>LanaAndie@gmail.com</v>
      </c>
      <c r="E15" s="2" t="str">
        <f>IFERROR(__xludf.DUMMYFUNCTION("""COMPUTED_VALUE"""),"Maths1")</f>
        <v>Maths1</v>
      </c>
      <c r="F15" s="26" t="s">
        <v>87</v>
      </c>
      <c r="G15" s="2" t="s">
        <v>87</v>
      </c>
      <c r="H15" s="2" t="s">
        <v>88</v>
      </c>
      <c r="I15" s="2" t="s">
        <v>87</v>
      </c>
      <c r="J15" s="27" t="s">
        <v>87</v>
      </c>
      <c r="K15" s="26" t="s">
        <v>87</v>
      </c>
      <c r="L15" s="2" t="s">
        <v>87</v>
      </c>
      <c r="M15" s="2" t="s">
        <v>88</v>
      </c>
      <c r="N15" s="2" t="s">
        <v>87</v>
      </c>
      <c r="O15" s="47" t="s">
        <v>88</v>
      </c>
      <c r="P15" s="48">
        <f t="shared" si="1"/>
        <v>0.8</v>
      </c>
      <c r="Q15" s="48">
        <f t="shared" si="2"/>
        <v>0.6</v>
      </c>
      <c r="R15" s="2">
        <v>97.0</v>
      </c>
      <c r="S15" s="2">
        <v>100.0</v>
      </c>
      <c r="T15" s="2" t="s">
        <v>65</v>
      </c>
      <c r="U15" s="49">
        <f t="shared" si="3"/>
        <v>0.7</v>
      </c>
    </row>
    <row r="16" ht="26.25" customHeight="1">
      <c r="A16" s="37"/>
      <c r="B16" s="2" t="str">
        <f>IFERROR(__xludf.DUMMYFUNCTION("""COMPUTED_VALUE"""),"Andres")</f>
        <v>Andres</v>
      </c>
      <c r="C16" s="2" t="str">
        <f>IFERROR(__xludf.DUMMYFUNCTION("""COMPUTED_VALUE"""),"Iniesti")</f>
        <v>Iniesti</v>
      </c>
      <c r="D16" s="2" t="str">
        <f>IFERROR(__xludf.DUMMYFUNCTION("""COMPUTED_VALUE"""),"AndresIniesti@gmail.com")</f>
        <v>AndresIniesti@gmail.com</v>
      </c>
      <c r="E16" s="2" t="str">
        <f>IFERROR(__xludf.DUMMYFUNCTION("""COMPUTED_VALUE"""),"Maths1")</f>
        <v>Maths1</v>
      </c>
      <c r="F16" s="33" t="s">
        <v>87</v>
      </c>
      <c r="G16" s="34" t="s">
        <v>88</v>
      </c>
      <c r="H16" s="50" t="s">
        <v>87</v>
      </c>
      <c r="I16" s="34" t="s">
        <v>87</v>
      </c>
      <c r="J16" s="35" t="s">
        <v>87</v>
      </c>
      <c r="K16" s="33" t="s">
        <v>87</v>
      </c>
      <c r="L16" s="34" t="s">
        <v>88</v>
      </c>
      <c r="M16" s="34" t="s">
        <v>88</v>
      </c>
      <c r="N16" s="34" t="s">
        <v>87</v>
      </c>
      <c r="O16" s="51" t="s">
        <v>91</v>
      </c>
      <c r="P16" s="48">
        <f t="shared" si="1"/>
        <v>0.8</v>
      </c>
      <c r="Q16" s="48">
        <f t="shared" si="2"/>
        <v>0.6</v>
      </c>
      <c r="R16" s="2">
        <v>90.0</v>
      </c>
      <c r="S16" s="2">
        <v>87.0</v>
      </c>
      <c r="T16" s="2" t="s">
        <v>65</v>
      </c>
      <c r="U16" s="49">
        <f t="shared" si="3"/>
        <v>0.7</v>
      </c>
    </row>
    <row r="17">
      <c r="A17" s="52"/>
      <c r="O17" s="53"/>
    </row>
    <row r="18">
      <c r="A18" s="52"/>
      <c r="O18" s="53"/>
    </row>
    <row r="19">
      <c r="A19" s="52"/>
      <c r="O19" s="53"/>
    </row>
    <row r="20">
      <c r="A20" s="52"/>
      <c r="O20" s="53"/>
    </row>
    <row r="21" ht="15.75" customHeight="1">
      <c r="A21" s="52"/>
      <c r="O21" s="53"/>
    </row>
    <row r="22" ht="15.75" customHeight="1">
      <c r="A22" s="52"/>
      <c r="O22" s="53"/>
    </row>
    <row r="23" ht="15.75" customHeight="1">
      <c r="A23" s="52"/>
      <c r="O23" s="53"/>
    </row>
    <row r="24" ht="15.75" customHeight="1">
      <c r="A24" s="52"/>
      <c r="O24" s="53"/>
    </row>
    <row r="25" ht="15.75" customHeight="1">
      <c r="A25" s="52"/>
      <c r="O25" s="53"/>
    </row>
    <row r="26" ht="15.75" customHeight="1">
      <c r="A26" s="52"/>
      <c r="O26" s="53"/>
    </row>
    <row r="27" ht="15.75" customHeight="1">
      <c r="A27" s="52"/>
      <c r="O27" s="53"/>
    </row>
    <row r="28" ht="15.75" customHeight="1">
      <c r="A28" s="52"/>
      <c r="O28" s="53"/>
    </row>
    <row r="29" ht="15.75" customHeight="1">
      <c r="A29" s="52"/>
      <c r="O29" s="53"/>
    </row>
    <row r="30" ht="15.75" customHeight="1">
      <c r="A30" s="52"/>
      <c r="O30" s="53"/>
    </row>
    <row r="31" ht="15.75" customHeight="1">
      <c r="A31" s="52"/>
      <c r="O31" s="53"/>
    </row>
    <row r="32" ht="15.75" customHeight="1">
      <c r="A32" s="52"/>
      <c r="O32" s="53"/>
    </row>
    <row r="33" ht="15.75" customHeight="1">
      <c r="A33" s="52"/>
      <c r="O33" s="53"/>
    </row>
    <row r="34" ht="15.75" customHeight="1">
      <c r="A34" s="52"/>
      <c r="O34" s="53"/>
    </row>
    <row r="35" ht="15.75" customHeight="1">
      <c r="A35" s="52"/>
      <c r="O35" s="53"/>
    </row>
    <row r="36" ht="15.75" customHeight="1">
      <c r="A36" s="52"/>
      <c r="O36" s="53"/>
    </row>
    <row r="37" ht="15.75" customHeight="1">
      <c r="A37" s="52"/>
      <c r="O37" s="53"/>
    </row>
    <row r="38" ht="15.75" customHeight="1">
      <c r="A38" s="52"/>
      <c r="O38" s="53"/>
    </row>
    <row r="39" ht="15.75" customHeight="1">
      <c r="A39" s="52"/>
      <c r="O39" s="53"/>
    </row>
    <row r="40" ht="15.75" customHeight="1">
      <c r="A40" s="52"/>
      <c r="O40" s="53"/>
    </row>
    <row r="41" ht="15.75" customHeight="1">
      <c r="A41" s="52"/>
      <c r="O41" s="53"/>
    </row>
    <row r="42" ht="15.75" customHeight="1">
      <c r="A42" s="52"/>
      <c r="O42" s="53"/>
    </row>
    <row r="43" ht="15.75" customHeight="1">
      <c r="A43" s="52"/>
      <c r="O43" s="53"/>
    </row>
    <row r="44" ht="15.75" customHeight="1">
      <c r="A44" s="52"/>
      <c r="O44" s="53"/>
    </row>
    <row r="45" ht="15.75" customHeight="1">
      <c r="A45" s="52"/>
      <c r="O45" s="53"/>
    </row>
    <row r="46" ht="15.75" customHeight="1">
      <c r="A46" s="52"/>
      <c r="O46" s="53"/>
    </row>
    <row r="47" ht="15.75" customHeight="1">
      <c r="A47" s="52"/>
      <c r="O47" s="53"/>
    </row>
    <row r="48" ht="15.75" customHeight="1">
      <c r="A48" s="52"/>
      <c r="O48" s="53"/>
    </row>
    <row r="49" ht="15.75" customHeight="1">
      <c r="A49" s="52"/>
      <c r="O49" s="53"/>
    </row>
    <row r="50" ht="15.75" customHeight="1">
      <c r="A50" s="52"/>
      <c r="O50" s="53"/>
    </row>
    <row r="51" ht="15.75" customHeight="1">
      <c r="A51" s="52"/>
      <c r="O51" s="53"/>
    </row>
    <row r="52" ht="15.75" customHeight="1">
      <c r="A52" s="52"/>
      <c r="O52" s="53"/>
    </row>
    <row r="53" ht="15.75" customHeight="1">
      <c r="A53" s="52"/>
      <c r="O53" s="53"/>
    </row>
    <row r="54" ht="15.75" customHeight="1">
      <c r="A54" s="52"/>
      <c r="O54" s="53"/>
    </row>
    <row r="55" ht="15.75" customHeight="1">
      <c r="A55" s="52"/>
      <c r="O55" s="53"/>
    </row>
    <row r="56" ht="15.75" customHeight="1">
      <c r="A56" s="52"/>
      <c r="O56" s="53"/>
    </row>
    <row r="57" ht="15.75" customHeight="1">
      <c r="A57" s="52"/>
      <c r="O57" s="53"/>
    </row>
    <row r="58" ht="15.75" customHeight="1">
      <c r="A58" s="52"/>
      <c r="O58" s="53"/>
    </row>
    <row r="59" ht="15.75" customHeight="1">
      <c r="A59" s="52"/>
      <c r="O59" s="53"/>
    </row>
    <row r="60" ht="15.75" customHeight="1">
      <c r="A60" s="52"/>
      <c r="O60" s="53"/>
    </row>
    <row r="61" ht="15.75" customHeight="1">
      <c r="A61" s="52"/>
      <c r="O61" s="53"/>
    </row>
    <row r="62" ht="15.75" customHeight="1">
      <c r="A62" s="52"/>
      <c r="O62" s="53"/>
    </row>
    <row r="63" ht="15.75" customHeight="1">
      <c r="A63" s="52"/>
      <c r="O63" s="53"/>
    </row>
    <row r="64" ht="15.75" customHeight="1">
      <c r="A64" s="52"/>
      <c r="O64" s="53"/>
    </row>
    <row r="65" ht="15.75" customHeight="1">
      <c r="A65" s="52"/>
      <c r="O65" s="53"/>
    </row>
    <row r="66" ht="15.75" customHeight="1">
      <c r="A66" s="52"/>
      <c r="O66" s="53"/>
    </row>
    <row r="67" ht="15.75" customHeight="1">
      <c r="A67" s="52"/>
      <c r="O67" s="53"/>
    </row>
    <row r="68" ht="15.75" customHeight="1">
      <c r="A68" s="52"/>
      <c r="O68" s="53"/>
    </row>
    <row r="69" ht="15.75" customHeight="1">
      <c r="A69" s="52"/>
      <c r="O69" s="53"/>
    </row>
    <row r="70" ht="15.75" customHeight="1">
      <c r="A70" s="52"/>
      <c r="O70" s="53"/>
    </row>
    <row r="71" ht="15.75" customHeight="1">
      <c r="A71" s="52"/>
      <c r="O71" s="53"/>
    </row>
    <row r="72" ht="15.75" customHeight="1">
      <c r="A72" s="52"/>
      <c r="O72" s="53"/>
    </row>
    <row r="73" ht="15.75" customHeight="1">
      <c r="A73" s="52"/>
      <c r="O73" s="53"/>
    </row>
    <row r="74" ht="15.75" customHeight="1">
      <c r="A74" s="52"/>
      <c r="O74" s="53"/>
    </row>
    <row r="75" ht="15.75" customHeight="1">
      <c r="A75" s="52"/>
      <c r="O75" s="53"/>
    </row>
    <row r="76" ht="15.75" customHeight="1">
      <c r="A76" s="52"/>
      <c r="O76" s="53"/>
    </row>
    <row r="77" ht="15.75" customHeight="1">
      <c r="A77" s="52"/>
      <c r="O77" s="53"/>
    </row>
    <row r="78" ht="15.75" customHeight="1">
      <c r="A78" s="52"/>
      <c r="O78" s="53"/>
    </row>
    <row r="79" ht="15.75" customHeight="1">
      <c r="A79" s="52"/>
      <c r="O79" s="53"/>
    </row>
    <row r="80" ht="15.75" customHeight="1">
      <c r="A80" s="52"/>
      <c r="O80" s="53"/>
    </row>
    <row r="81" ht="15.75" customHeight="1">
      <c r="A81" s="52"/>
      <c r="O81" s="53"/>
    </row>
    <row r="82" ht="15.75" customHeight="1">
      <c r="A82" s="52"/>
      <c r="O82" s="53"/>
    </row>
    <row r="83" ht="15.75" customHeight="1">
      <c r="A83" s="52"/>
      <c r="O83" s="53"/>
    </row>
    <row r="84" ht="15.75" customHeight="1">
      <c r="A84" s="52"/>
      <c r="O84" s="53"/>
    </row>
    <row r="85" ht="15.75" customHeight="1">
      <c r="A85" s="52"/>
      <c r="O85" s="53"/>
    </row>
    <row r="86" ht="15.75" customHeight="1">
      <c r="A86" s="52"/>
      <c r="O86" s="53"/>
    </row>
    <row r="87" ht="15.75" customHeight="1">
      <c r="A87" s="52"/>
      <c r="O87" s="53"/>
    </row>
    <row r="88" ht="15.75" customHeight="1">
      <c r="A88" s="52"/>
      <c r="O88" s="53"/>
    </row>
    <row r="89" ht="15.75" customHeight="1">
      <c r="A89" s="52"/>
      <c r="O89" s="53"/>
    </row>
    <row r="90" ht="15.75" customHeight="1">
      <c r="A90" s="52"/>
      <c r="O90" s="53"/>
    </row>
    <row r="91" ht="15.75" customHeight="1">
      <c r="A91" s="52"/>
      <c r="O91" s="53"/>
    </row>
    <row r="92" ht="15.75" customHeight="1">
      <c r="A92" s="52"/>
      <c r="O92" s="53"/>
    </row>
    <row r="93" ht="15.75" customHeight="1">
      <c r="A93" s="52"/>
      <c r="O93" s="53"/>
    </row>
    <row r="94" ht="15.75" customHeight="1">
      <c r="A94" s="52"/>
      <c r="O94" s="53"/>
    </row>
    <row r="95" ht="15.75" customHeight="1">
      <c r="A95" s="52"/>
      <c r="O95" s="53"/>
    </row>
    <row r="96" ht="15.75" customHeight="1">
      <c r="A96" s="52"/>
      <c r="O96" s="53"/>
    </row>
    <row r="97" ht="15.75" customHeight="1">
      <c r="A97" s="52"/>
      <c r="O97" s="53"/>
    </row>
    <row r="98" ht="15.75" customHeight="1">
      <c r="A98" s="52"/>
      <c r="O98" s="53"/>
    </row>
    <row r="99" ht="15.75" customHeight="1">
      <c r="A99" s="52"/>
      <c r="O99" s="53"/>
    </row>
    <row r="100" ht="15.75" customHeight="1">
      <c r="A100" s="52"/>
      <c r="O100" s="53"/>
    </row>
    <row r="101" ht="15.75" customHeight="1">
      <c r="A101" s="52"/>
      <c r="O101" s="53"/>
    </row>
    <row r="102" ht="15.75" customHeight="1">
      <c r="A102" s="52"/>
      <c r="O102" s="53"/>
    </row>
    <row r="103" ht="15.75" customHeight="1">
      <c r="A103" s="52"/>
      <c r="O103" s="53"/>
    </row>
    <row r="104" ht="15.75" customHeight="1">
      <c r="A104" s="52"/>
      <c r="O104" s="53"/>
    </row>
    <row r="105" ht="15.75" customHeight="1">
      <c r="A105" s="52"/>
      <c r="O105" s="53"/>
    </row>
    <row r="106" ht="15.75" customHeight="1">
      <c r="A106" s="52"/>
      <c r="O106" s="53"/>
    </row>
    <row r="107" ht="15.75" customHeight="1">
      <c r="A107" s="52"/>
      <c r="O107" s="53"/>
    </row>
    <row r="108" ht="15.75" customHeight="1">
      <c r="A108" s="52"/>
      <c r="O108" s="53"/>
    </row>
    <row r="109" ht="15.75" customHeight="1">
      <c r="A109" s="52"/>
      <c r="O109" s="53"/>
    </row>
    <row r="110" ht="15.75" customHeight="1">
      <c r="A110" s="52"/>
      <c r="O110" s="53"/>
    </row>
    <row r="111" ht="15.75" customHeight="1">
      <c r="A111" s="52"/>
      <c r="O111" s="53"/>
    </row>
    <row r="112" ht="15.75" customHeight="1">
      <c r="A112" s="52"/>
      <c r="O112" s="53"/>
    </row>
    <row r="113" ht="15.75" customHeight="1">
      <c r="A113" s="52"/>
      <c r="O113" s="53"/>
    </row>
    <row r="114" ht="15.75" customHeight="1">
      <c r="A114" s="52"/>
      <c r="O114" s="53"/>
    </row>
    <row r="115" ht="15.75" customHeight="1">
      <c r="A115" s="52"/>
      <c r="O115" s="53"/>
    </row>
    <row r="116" ht="15.75" customHeight="1">
      <c r="A116" s="52"/>
      <c r="O116" s="53"/>
    </row>
    <row r="117" ht="15.75" customHeight="1">
      <c r="A117" s="52"/>
      <c r="O117" s="53"/>
    </row>
    <row r="118" ht="15.75" customHeight="1">
      <c r="A118" s="52"/>
      <c r="O118" s="53"/>
    </row>
    <row r="119" ht="15.75" customHeight="1">
      <c r="A119" s="52"/>
      <c r="O119" s="53"/>
    </row>
    <row r="120" ht="15.75" customHeight="1">
      <c r="A120" s="52"/>
      <c r="O120" s="53"/>
    </row>
    <row r="121" ht="15.75" customHeight="1">
      <c r="A121" s="52"/>
      <c r="O121" s="53"/>
    </row>
    <row r="122" ht="15.75" customHeight="1">
      <c r="A122" s="52"/>
      <c r="O122" s="53"/>
    </row>
    <row r="123" ht="15.75" customHeight="1">
      <c r="A123" s="52"/>
      <c r="O123" s="53"/>
    </row>
    <row r="124" ht="15.75" customHeight="1">
      <c r="A124" s="52"/>
      <c r="O124" s="53"/>
    </row>
    <row r="125" ht="15.75" customHeight="1">
      <c r="A125" s="52"/>
      <c r="O125" s="53"/>
    </row>
    <row r="126" ht="15.75" customHeight="1">
      <c r="A126" s="52"/>
      <c r="O126" s="53"/>
    </row>
    <row r="127" ht="15.75" customHeight="1">
      <c r="A127" s="52"/>
      <c r="O127" s="53"/>
    </row>
    <row r="128" ht="15.75" customHeight="1">
      <c r="A128" s="52"/>
      <c r="O128" s="53"/>
    </row>
    <row r="129" ht="15.75" customHeight="1">
      <c r="A129" s="52"/>
      <c r="O129" s="53"/>
    </row>
    <row r="130" ht="15.75" customHeight="1">
      <c r="A130" s="52"/>
      <c r="O130" s="53"/>
    </row>
    <row r="131" ht="15.75" customHeight="1">
      <c r="A131" s="52"/>
      <c r="O131" s="53"/>
    </row>
    <row r="132" ht="15.75" customHeight="1">
      <c r="A132" s="52"/>
      <c r="O132" s="53"/>
    </row>
    <row r="133" ht="15.75" customHeight="1">
      <c r="A133" s="52"/>
      <c r="O133" s="53"/>
    </row>
    <row r="134" ht="15.75" customHeight="1">
      <c r="A134" s="52"/>
      <c r="O134" s="53"/>
    </row>
    <row r="135" ht="15.75" customHeight="1">
      <c r="A135" s="52"/>
      <c r="O135" s="53"/>
    </row>
    <row r="136" ht="15.75" customHeight="1">
      <c r="A136" s="52"/>
      <c r="O136" s="53"/>
    </row>
    <row r="137" ht="15.75" customHeight="1">
      <c r="A137" s="52"/>
      <c r="O137" s="53"/>
    </row>
    <row r="138" ht="15.75" customHeight="1">
      <c r="A138" s="52"/>
      <c r="O138" s="53"/>
    </row>
    <row r="139" ht="15.75" customHeight="1">
      <c r="A139" s="52"/>
      <c r="O139" s="53"/>
    </row>
    <row r="140" ht="15.75" customHeight="1">
      <c r="A140" s="52"/>
      <c r="O140" s="53"/>
    </row>
    <row r="141" ht="15.75" customHeight="1">
      <c r="A141" s="52"/>
      <c r="O141" s="53"/>
    </row>
    <row r="142" ht="15.75" customHeight="1">
      <c r="A142" s="52"/>
      <c r="O142" s="53"/>
    </row>
    <row r="143" ht="15.75" customHeight="1">
      <c r="A143" s="52"/>
      <c r="O143" s="53"/>
    </row>
    <row r="144" ht="15.75" customHeight="1">
      <c r="A144" s="52"/>
      <c r="O144" s="53"/>
    </row>
    <row r="145" ht="15.75" customHeight="1">
      <c r="A145" s="52"/>
      <c r="O145" s="53"/>
    </row>
    <row r="146" ht="15.75" customHeight="1">
      <c r="A146" s="52"/>
      <c r="O146" s="53"/>
    </row>
    <row r="147" ht="15.75" customHeight="1">
      <c r="A147" s="52"/>
      <c r="O147" s="53"/>
    </row>
    <row r="148" ht="15.75" customHeight="1">
      <c r="A148" s="52"/>
      <c r="O148" s="53"/>
    </row>
    <row r="149" ht="15.75" customHeight="1">
      <c r="A149" s="52"/>
      <c r="O149" s="53"/>
    </row>
    <row r="150" ht="15.75" customHeight="1">
      <c r="A150" s="52"/>
      <c r="O150" s="53"/>
    </row>
    <row r="151" ht="15.75" customHeight="1">
      <c r="A151" s="52"/>
      <c r="O151" s="53"/>
    </row>
    <row r="152" ht="15.75" customHeight="1">
      <c r="A152" s="52"/>
      <c r="O152" s="53"/>
    </row>
    <row r="153" ht="15.75" customHeight="1">
      <c r="A153" s="52"/>
      <c r="O153" s="53"/>
    </row>
    <row r="154" ht="15.75" customHeight="1">
      <c r="A154" s="52"/>
      <c r="O154" s="53"/>
    </row>
    <row r="155" ht="15.75" customHeight="1">
      <c r="A155" s="52"/>
      <c r="O155" s="53"/>
    </row>
    <row r="156" ht="15.75" customHeight="1">
      <c r="A156" s="52"/>
      <c r="O156" s="53"/>
    </row>
    <row r="157" ht="15.75" customHeight="1">
      <c r="A157" s="52"/>
      <c r="O157" s="53"/>
    </row>
    <row r="158" ht="15.75" customHeight="1">
      <c r="A158" s="52"/>
      <c r="O158" s="53"/>
    </row>
    <row r="159" ht="15.75" customHeight="1">
      <c r="A159" s="52"/>
      <c r="O159" s="53"/>
    </row>
    <row r="160" ht="15.75" customHeight="1">
      <c r="A160" s="52"/>
      <c r="O160" s="53"/>
    </row>
    <row r="161" ht="15.75" customHeight="1">
      <c r="A161" s="52"/>
      <c r="O161" s="53"/>
    </row>
    <row r="162" ht="15.75" customHeight="1">
      <c r="A162" s="52"/>
      <c r="O162" s="53"/>
    </row>
    <row r="163" ht="15.75" customHeight="1">
      <c r="A163" s="52"/>
      <c r="O163" s="53"/>
    </row>
    <row r="164" ht="15.75" customHeight="1">
      <c r="A164" s="52"/>
      <c r="O164" s="53"/>
    </row>
    <row r="165" ht="15.75" customHeight="1">
      <c r="A165" s="52"/>
      <c r="O165" s="53"/>
    </row>
    <row r="166" ht="15.75" customHeight="1">
      <c r="A166" s="52"/>
      <c r="O166" s="53"/>
    </row>
    <row r="167" ht="15.75" customHeight="1">
      <c r="A167" s="52"/>
      <c r="O167" s="53"/>
    </row>
    <row r="168" ht="15.75" customHeight="1">
      <c r="A168" s="52"/>
      <c r="O168" s="53"/>
    </row>
    <row r="169" ht="15.75" customHeight="1">
      <c r="A169" s="52"/>
      <c r="O169" s="53"/>
    </row>
    <row r="170" ht="15.75" customHeight="1">
      <c r="A170" s="52"/>
      <c r="O170" s="53"/>
    </row>
    <row r="171" ht="15.75" customHeight="1">
      <c r="A171" s="52"/>
      <c r="O171" s="53"/>
    </row>
    <row r="172" ht="15.75" customHeight="1">
      <c r="A172" s="52"/>
      <c r="O172" s="53"/>
    </row>
    <row r="173" ht="15.75" customHeight="1">
      <c r="A173" s="52"/>
      <c r="O173" s="53"/>
    </row>
    <row r="174" ht="15.75" customHeight="1">
      <c r="A174" s="52"/>
      <c r="O174" s="53"/>
    </row>
    <row r="175" ht="15.75" customHeight="1">
      <c r="A175" s="52"/>
      <c r="O175" s="53"/>
    </row>
    <row r="176" ht="15.75" customHeight="1">
      <c r="A176" s="52"/>
      <c r="O176" s="53"/>
    </row>
    <row r="177" ht="15.75" customHeight="1">
      <c r="A177" s="52"/>
      <c r="O177" s="53"/>
    </row>
    <row r="178" ht="15.75" customHeight="1">
      <c r="A178" s="52"/>
      <c r="O178" s="53"/>
    </row>
    <row r="179" ht="15.75" customHeight="1">
      <c r="A179" s="52"/>
      <c r="O179" s="53"/>
    </row>
    <row r="180" ht="15.75" customHeight="1">
      <c r="A180" s="52"/>
      <c r="O180" s="53"/>
    </row>
    <row r="181" ht="15.75" customHeight="1">
      <c r="A181" s="52"/>
      <c r="O181" s="53"/>
    </row>
    <row r="182" ht="15.75" customHeight="1">
      <c r="A182" s="52"/>
      <c r="O182" s="53"/>
    </row>
    <row r="183" ht="15.75" customHeight="1">
      <c r="A183" s="52"/>
      <c r="O183" s="53"/>
    </row>
    <row r="184" ht="15.75" customHeight="1">
      <c r="A184" s="52"/>
      <c r="O184" s="53"/>
    </row>
    <row r="185" ht="15.75" customHeight="1">
      <c r="A185" s="52"/>
      <c r="O185" s="53"/>
    </row>
    <row r="186" ht="15.75" customHeight="1">
      <c r="A186" s="52"/>
      <c r="O186" s="53"/>
    </row>
    <row r="187" ht="15.75" customHeight="1">
      <c r="A187" s="52"/>
      <c r="O187" s="53"/>
    </row>
    <row r="188" ht="15.75" customHeight="1">
      <c r="A188" s="52"/>
      <c r="O188" s="53"/>
    </row>
    <row r="189" ht="15.75" customHeight="1">
      <c r="A189" s="52"/>
      <c r="O189" s="53"/>
    </row>
    <row r="190" ht="15.75" customHeight="1">
      <c r="A190" s="52"/>
      <c r="O190" s="53"/>
    </row>
    <row r="191" ht="15.75" customHeight="1">
      <c r="A191" s="52"/>
      <c r="O191" s="53"/>
    </row>
    <row r="192" ht="15.75" customHeight="1">
      <c r="A192" s="52"/>
      <c r="O192" s="53"/>
    </row>
    <row r="193" ht="15.75" customHeight="1">
      <c r="A193" s="52"/>
      <c r="O193" s="53"/>
    </row>
    <row r="194" ht="15.75" customHeight="1">
      <c r="A194" s="52"/>
      <c r="O194" s="53"/>
    </row>
    <row r="195" ht="15.75" customHeight="1">
      <c r="A195" s="52"/>
      <c r="O195" s="53"/>
    </row>
    <row r="196" ht="15.75" customHeight="1">
      <c r="A196" s="52"/>
      <c r="O196" s="53"/>
    </row>
    <row r="197" ht="15.75" customHeight="1">
      <c r="A197" s="52"/>
      <c r="O197" s="53"/>
    </row>
    <row r="198" ht="15.75" customHeight="1">
      <c r="A198" s="52"/>
      <c r="O198" s="53"/>
    </row>
    <row r="199" ht="15.75" customHeight="1">
      <c r="A199" s="52"/>
      <c r="O199" s="53"/>
    </row>
    <row r="200" ht="15.75" customHeight="1">
      <c r="A200" s="52"/>
      <c r="O200" s="53"/>
    </row>
    <row r="201" ht="15.75" customHeight="1">
      <c r="A201" s="52"/>
      <c r="O201" s="53"/>
    </row>
    <row r="202" ht="15.75" customHeight="1">
      <c r="A202" s="52"/>
      <c r="O202" s="53"/>
    </row>
    <row r="203" ht="15.75" customHeight="1">
      <c r="A203" s="52"/>
      <c r="O203" s="53"/>
    </row>
    <row r="204" ht="15.75" customHeight="1">
      <c r="A204" s="52"/>
      <c r="O204" s="53"/>
    </row>
    <row r="205" ht="15.75" customHeight="1">
      <c r="A205" s="52"/>
      <c r="O205" s="53"/>
    </row>
    <row r="206" ht="15.75" customHeight="1">
      <c r="A206" s="52"/>
      <c r="O206" s="53"/>
    </row>
    <row r="207" ht="15.75" customHeight="1">
      <c r="A207" s="52"/>
      <c r="O207" s="53"/>
    </row>
    <row r="208" ht="15.75" customHeight="1">
      <c r="A208" s="52"/>
      <c r="O208" s="53"/>
    </row>
    <row r="209" ht="15.75" customHeight="1">
      <c r="A209" s="52"/>
      <c r="O209" s="53"/>
    </row>
    <row r="210" ht="15.75" customHeight="1">
      <c r="A210" s="52"/>
      <c r="O210" s="53"/>
    </row>
    <row r="211" ht="15.75" customHeight="1">
      <c r="A211" s="52"/>
      <c r="O211" s="53"/>
    </row>
    <row r="212" ht="15.75" customHeight="1">
      <c r="A212" s="52"/>
      <c r="O212" s="53"/>
    </row>
    <row r="213" ht="15.75" customHeight="1">
      <c r="A213" s="52"/>
      <c r="O213" s="53"/>
    </row>
    <row r="214" ht="15.75" customHeight="1">
      <c r="A214" s="52"/>
      <c r="O214" s="53"/>
    </row>
    <row r="215" ht="15.75" customHeight="1">
      <c r="A215" s="52"/>
      <c r="O215" s="53"/>
    </row>
    <row r="216" ht="15.75" customHeight="1">
      <c r="A216" s="52"/>
      <c r="O216" s="53"/>
    </row>
    <row r="217" ht="15.75" customHeight="1">
      <c r="A217" s="52"/>
      <c r="O217" s="53"/>
    </row>
    <row r="218" ht="15.75" customHeight="1">
      <c r="A218" s="52"/>
      <c r="O218" s="53"/>
    </row>
    <row r="219" ht="15.75" customHeight="1">
      <c r="A219" s="52"/>
      <c r="O219" s="53"/>
    </row>
    <row r="220" ht="15.75" customHeight="1">
      <c r="A220" s="52"/>
      <c r="O220" s="53"/>
    </row>
    <row r="221" ht="15.75" customHeight="1">
      <c r="A221" s="52"/>
      <c r="O221" s="53"/>
    </row>
    <row r="222" ht="15.75" customHeight="1">
      <c r="A222" s="52"/>
      <c r="O222" s="53"/>
    </row>
    <row r="223" ht="15.75" customHeight="1">
      <c r="A223" s="52"/>
      <c r="O223" s="53"/>
    </row>
    <row r="224" ht="15.75" customHeight="1">
      <c r="A224" s="52"/>
      <c r="O224" s="53"/>
    </row>
    <row r="225" ht="15.75" customHeight="1">
      <c r="A225" s="52"/>
      <c r="O225" s="53"/>
    </row>
    <row r="226" ht="15.75" customHeight="1">
      <c r="A226" s="52"/>
      <c r="O226" s="53"/>
    </row>
    <row r="227" ht="15.75" customHeight="1">
      <c r="A227" s="52"/>
      <c r="O227" s="53"/>
    </row>
    <row r="228" ht="15.75" customHeight="1">
      <c r="A228" s="52"/>
      <c r="O228" s="53"/>
    </row>
    <row r="229" ht="15.75" customHeight="1">
      <c r="A229" s="52"/>
      <c r="O229" s="53"/>
    </row>
    <row r="230" ht="15.75" customHeight="1">
      <c r="A230" s="52"/>
      <c r="O230" s="53"/>
    </row>
    <row r="231" ht="15.75" customHeight="1">
      <c r="A231" s="52"/>
      <c r="O231" s="53"/>
    </row>
    <row r="232" ht="15.75" customHeight="1">
      <c r="A232" s="52"/>
      <c r="O232" s="53"/>
    </row>
    <row r="233" ht="15.75" customHeight="1">
      <c r="A233" s="52"/>
      <c r="O233" s="53"/>
    </row>
    <row r="234" ht="15.75" customHeight="1">
      <c r="A234" s="52"/>
      <c r="O234" s="53"/>
    </row>
    <row r="235" ht="15.75" customHeight="1">
      <c r="A235" s="52"/>
      <c r="O235" s="53"/>
    </row>
    <row r="236" ht="15.75" customHeight="1">
      <c r="A236" s="52"/>
      <c r="O236" s="53"/>
    </row>
    <row r="237" ht="15.75" customHeight="1">
      <c r="A237" s="52"/>
      <c r="O237" s="53"/>
    </row>
    <row r="238" ht="15.75" customHeight="1">
      <c r="A238" s="52"/>
      <c r="O238" s="53"/>
    </row>
    <row r="239" ht="15.75" customHeight="1">
      <c r="A239" s="52"/>
      <c r="O239" s="53"/>
    </row>
    <row r="240" ht="15.75" customHeight="1">
      <c r="A240" s="52"/>
      <c r="O240" s="53"/>
    </row>
    <row r="241" ht="15.75" customHeight="1">
      <c r="A241" s="52"/>
      <c r="O241" s="53"/>
    </row>
    <row r="242" ht="15.75" customHeight="1">
      <c r="A242" s="52"/>
      <c r="O242" s="53"/>
    </row>
    <row r="243" ht="15.75" customHeight="1">
      <c r="A243" s="52"/>
      <c r="O243" s="53"/>
    </row>
    <row r="244" ht="15.75" customHeight="1">
      <c r="A244" s="52"/>
      <c r="O244" s="53"/>
    </row>
    <row r="245" ht="15.75" customHeight="1">
      <c r="A245" s="52"/>
      <c r="O245" s="53"/>
    </row>
    <row r="246" ht="15.75" customHeight="1">
      <c r="A246" s="52"/>
      <c r="O246" s="53"/>
    </row>
    <row r="247" ht="15.75" customHeight="1">
      <c r="A247" s="52"/>
      <c r="O247" s="53"/>
    </row>
    <row r="248" ht="15.75" customHeight="1">
      <c r="A248" s="52"/>
      <c r="O248" s="53"/>
    </row>
    <row r="249" ht="15.75" customHeight="1">
      <c r="A249" s="52"/>
      <c r="O249" s="53"/>
    </row>
    <row r="250" ht="15.75" customHeight="1">
      <c r="A250" s="52"/>
      <c r="O250" s="53"/>
    </row>
    <row r="251" ht="15.75" customHeight="1">
      <c r="A251" s="52"/>
      <c r="O251" s="53"/>
    </row>
    <row r="252" ht="15.75" customHeight="1">
      <c r="A252" s="52"/>
      <c r="O252" s="53"/>
    </row>
    <row r="253" ht="15.75" customHeight="1">
      <c r="A253" s="52"/>
      <c r="O253" s="53"/>
    </row>
    <row r="254" ht="15.75" customHeight="1">
      <c r="A254" s="52"/>
      <c r="O254" s="53"/>
    </row>
    <row r="255" ht="15.75" customHeight="1">
      <c r="A255" s="52"/>
      <c r="O255" s="53"/>
    </row>
    <row r="256" ht="15.75" customHeight="1">
      <c r="A256" s="52"/>
      <c r="O256" s="53"/>
    </row>
    <row r="257" ht="15.75" customHeight="1">
      <c r="A257" s="52"/>
      <c r="O257" s="53"/>
    </row>
    <row r="258" ht="15.75" customHeight="1">
      <c r="A258" s="52"/>
      <c r="O258" s="53"/>
    </row>
    <row r="259" ht="15.75" customHeight="1">
      <c r="A259" s="52"/>
      <c r="O259" s="53"/>
    </row>
    <row r="260" ht="15.75" customHeight="1">
      <c r="A260" s="52"/>
      <c r="O260" s="53"/>
    </row>
    <row r="261" ht="15.75" customHeight="1">
      <c r="A261" s="52"/>
      <c r="O261" s="53"/>
    </row>
    <row r="262" ht="15.75" customHeight="1">
      <c r="A262" s="52"/>
      <c r="O262" s="53"/>
    </row>
    <row r="263" ht="15.75" customHeight="1">
      <c r="A263" s="52"/>
      <c r="O263" s="53"/>
    </row>
    <row r="264" ht="15.75" customHeight="1">
      <c r="A264" s="52"/>
      <c r="O264" s="53"/>
    </row>
    <row r="265" ht="15.75" customHeight="1">
      <c r="A265" s="52"/>
      <c r="O265" s="53"/>
    </row>
    <row r="266" ht="15.75" customHeight="1">
      <c r="A266" s="52"/>
      <c r="O266" s="53"/>
    </row>
    <row r="267" ht="15.75" customHeight="1">
      <c r="A267" s="52"/>
      <c r="O267" s="53"/>
    </row>
    <row r="268" ht="15.75" customHeight="1">
      <c r="A268" s="52"/>
      <c r="O268" s="53"/>
    </row>
    <row r="269" ht="15.75" customHeight="1">
      <c r="A269" s="52"/>
      <c r="O269" s="53"/>
    </row>
    <row r="270" ht="15.75" customHeight="1">
      <c r="A270" s="52"/>
      <c r="O270" s="53"/>
    </row>
    <row r="271" ht="15.75" customHeight="1">
      <c r="A271" s="52"/>
      <c r="O271" s="53"/>
    </row>
    <row r="272" ht="15.75" customHeight="1">
      <c r="A272" s="52"/>
      <c r="O272" s="53"/>
    </row>
    <row r="273" ht="15.75" customHeight="1">
      <c r="A273" s="52"/>
      <c r="O273" s="53"/>
    </row>
    <row r="274" ht="15.75" customHeight="1">
      <c r="A274" s="52"/>
      <c r="O274" s="53"/>
    </row>
    <row r="275" ht="15.75" customHeight="1">
      <c r="A275" s="52"/>
      <c r="O275" s="53"/>
    </row>
    <row r="276" ht="15.75" customHeight="1">
      <c r="A276" s="52"/>
      <c r="O276" s="53"/>
    </row>
    <row r="277" ht="15.75" customHeight="1">
      <c r="A277" s="52"/>
      <c r="O277" s="53"/>
    </row>
    <row r="278" ht="15.75" customHeight="1">
      <c r="A278" s="52"/>
      <c r="O278" s="53"/>
    </row>
    <row r="279" ht="15.75" customHeight="1">
      <c r="A279" s="52"/>
      <c r="O279" s="53"/>
    </row>
    <row r="280" ht="15.75" customHeight="1">
      <c r="A280" s="52"/>
      <c r="O280" s="53"/>
    </row>
    <row r="281" ht="15.75" customHeight="1">
      <c r="A281" s="52"/>
      <c r="O281" s="53"/>
    </row>
    <row r="282" ht="15.75" customHeight="1">
      <c r="A282" s="52"/>
      <c r="O282" s="53"/>
    </row>
    <row r="283" ht="15.75" customHeight="1">
      <c r="A283" s="52"/>
      <c r="O283" s="53"/>
    </row>
    <row r="284" ht="15.75" customHeight="1">
      <c r="A284" s="52"/>
      <c r="O284" s="53"/>
    </row>
    <row r="285" ht="15.75" customHeight="1">
      <c r="A285" s="52"/>
      <c r="O285" s="53"/>
    </row>
    <row r="286" ht="15.75" customHeight="1">
      <c r="A286" s="52"/>
      <c r="O286" s="53"/>
    </row>
    <row r="287" ht="15.75" customHeight="1">
      <c r="A287" s="52"/>
      <c r="O287" s="53"/>
    </row>
    <row r="288" ht="15.75" customHeight="1">
      <c r="A288" s="52"/>
      <c r="O288" s="53"/>
    </row>
    <row r="289" ht="15.75" customHeight="1">
      <c r="A289" s="52"/>
      <c r="O289" s="53"/>
    </row>
    <row r="290" ht="15.75" customHeight="1">
      <c r="A290" s="52"/>
      <c r="O290" s="53"/>
    </row>
    <row r="291" ht="15.75" customHeight="1">
      <c r="A291" s="52"/>
      <c r="O291" s="53"/>
    </row>
    <row r="292" ht="15.75" customHeight="1">
      <c r="A292" s="52"/>
      <c r="O292" s="53"/>
    </row>
    <row r="293" ht="15.75" customHeight="1">
      <c r="A293" s="52"/>
      <c r="O293" s="53"/>
    </row>
    <row r="294" ht="15.75" customHeight="1">
      <c r="A294" s="52"/>
      <c r="O294" s="53"/>
    </row>
    <row r="295" ht="15.75" customHeight="1">
      <c r="A295" s="52"/>
      <c r="O295" s="53"/>
    </row>
    <row r="296" ht="15.75" customHeight="1">
      <c r="A296" s="52"/>
      <c r="O296" s="53"/>
    </row>
    <row r="297" ht="15.75" customHeight="1">
      <c r="A297" s="52"/>
      <c r="O297" s="53"/>
    </row>
    <row r="298" ht="15.75" customHeight="1">
      <c r="A298" s="52"/>
      <c r="O298" s="53"/>
    </row>
    <row r="299" ht="15.75" customHeight="1">
      <c r="A299" s="52"/>
      <c r="O299" s="53"/>
    </row>
    <row r="300" ht="15.75" customHeight="1">
      <c r="A300" s="52"/>
      <c r="O300" s="53"/>
    </row>
    <row r="301" ht="15.75" customHeight="1">
      <c r="A301" s="52"/>
      <c r="O301" s="53"/>
    </row>
    <row r="302" ht="15.75" customHeight="1">
      <c r="A302" s="52"/>
      <c r="O302" s="53"/>
    </row>
    <row r="303" ht="15.75" customHeight="1">
      <c r="A303" s="52"/>
      <c r="O303" s="53"/>
    </row>
    <row r="304" ht="15.75" customHeight="1">
      <c r="A304" s="52"/>
      <c r="O304" s="53"/>
    </row>
    <row r="305" ht="15.75" customHeight="1">
      <c r="A305" s="52"/>
      <c r="O305" s="53"/>
    </row>
    <row r="306" ht="15.75" customHeight="1">
      <c r="A306" s="52"/>
      <c r="O306" s="53"/>
    </row>
    <row r="307" ht="15.75" customHeight="1">
      <c r="A307" s="52"/>
      <c r="O307" s="53"/>
    </row>
    <row r="308" ht="15.75" customHeight="1">
      <c r="A308" s="52"/>
      <c r="O308" s="53"/>
    </row>
    <row r="309" ht="15.75" customHeight="1">
      <c r="A309" s="52"/>
      <c r="O309" s="53"/>
    </row>
    <row r="310" ht="15.75" customHeight="1">
      <c r="A310" s="52"/>
      <c r="O310" s="53"/>
    </row>
    <row r="311" ht="15.75" customHeight="1">
      <c r="A311" s="52"/>
      <c r="O311" s="53"/>
    </row>
    <row r="312" ht="15.75" customHeight="1">
      <c r="A312" s="52"/>
      <c r="O312" s="53"/>
    </row>
    <row r="313" ht="15.75" customHeight="1">
      <c r="A313" s="52"/>
      <c r="O313" s="53"/>
    </row>
    <row r="314" ht="15.75" customHeight="1">
      <c r="A314" s="52"/>
      <c r="O314" s="53"/>
    </row>
    <row r="315" ht="15.75" customHeight="1">
      <c r="A315" s="52"/>
      <c r="O315" s="53"/>
    </row>
    <row r="316" ht="15.75" customHeight="1">
      <c r="A316" s="52"/>
      <c r="O316" s="53"/>
    </row>
    <row r="317" ht="15.75" customHeight="1">
      <c r="A317" s="52"/>
      <c r="O317" s="53"/>
    </row>
    <row r="318" ht="15.75" customHeight="1">
      <c r="A318" s="52"/>
      <c r="O318" s="53"/>
    </row>
    <row r="319" ht="15.75" customHeight="1">
      <c r="A319" s="52"/>
      <c r="O319" s="53"/>
    </row>
    <row r="320" ht="15.75" customHeight="1">
      <c r="A320" s="52"/>
      <c r="O320" s="53"/>
    </row>
    <row r="321" ht="15.75" customHeight="1">
      <c r="A321" s="52"/>
      <c r="O321" s="53"/>
    </row>
    <row r="322" ht="15.75" customHeight="1">
      <c r="A322" s="52"/>
      <c r="O322" s="53"/>
    </row>
    <row r="323" ht="15.75" customHeight="1">
      <c r="A323" s="52"/>
      <c r="O323" s="53"/>
    </row>
    <row r="324" ht="15.75" customHeight="1">
      <c r="A324" s="52"/>
      <c r="O324" s="53"/>
    </row>
    <row r="325" ht="15.75" customHeight="1">
      <c r="A325" s="52"/>
      <c r="O325" s="53"/>
    </row>
    <row r="326" ht="15.75" customHeight="1">
      <c r="A326" s="52"/>
      <c r="O326" s="53"/>
    </row>
    <row r="327" ht="15.75" customHeight="1">
      <c r="A327" s="52"/>
      <c r="O327" s="53"/>
    </row>
    <row r="328" ht="15.75" customHeight="1">
      <c r="A328" s="52"/>
      <c r="O328" s="53"/>
    </row>
    <row r="329" ht="15.75" customHeight="1">
      <c r="A329" s="52"/>
      <c r="O329" s="53"/>
    </row>
    <row r="330" ht="15.75" customHeight="1">
      <c r="A330" s="52"/>
      <c r="O330" s="53"/>
    </row>
    <row r="331" ht="15.75" customHeight="1">
      <c r="A331" s="52"/>
      <c r="O331" s="53"/>
    </row>
    <row r="332" ht="15.75" customHeight="1">
      <c r="A332" s="52"/>
      <c r="O332" s="53"/>
    </row>
    <row r="333" ht="15.75" customHeight="1">
      <c r="A333" s="52"/>
      <c r="O333" s="53"/>
    </row>
    <row r="334" ht="15.75" customHeight="1">
      <c r="A334" s="52"/>
      <c r="O334" s="53"/>
    </row>
    <row r="335" ht="15.75" customHeight="1">
      <c r="A335" s="52"/>
      <c r="O335" s="53"/>
    </row>
    <row r="336" ht="15.75" customHeight="1">
      <c r="A336" s="52"/>
      <c r="O336" s="53"/>
    </row>
    <row r="337" ht="15.75" customHeight="1">
      <c r="A337" s="52"/>
      <c r="O337" s="53"/>
    </row>
    <row r="338" ht="15.75" customHeight="1">
      <c r="A338" s="52"/>
      <c r="O338" s="53"/>
    </row>
    <row r="339" ht="15.75" customHeight="1">
      <c r="A339" s="52"/>
      <c r="O339" s="53"/>
    </row>
    <row r="340" ht="15.75" customHeight="1">
      <c r="A340" s="52"/>
      <c r="O340" s="53"/>
    </row>
    <row r="341" ht="15.75" customHeight="1">
      <c r="A341" s="52"/>
      <c r="O341" s="53"/>
    </row>
    <row r="342" ht="15.75" customHeight="1">
      <c r="A342" s="52"/>
      <c r="O342" s="53"/>
    </row>
    <row r="343" ht="15.75" customHeight="1">
      <c r="A343" s="52"/>
      <c r="O343" s="53"/>
    </row>
    <row r="344" ht="15.75" customHeight="1">
      <c r="A344" s="52"/>
      <c r="O344" s="53"/>
    </row>
    <row r="345" ht="15.75" customHeight="1">
      <c r="A345" s="52"/>
      <c r="O345" s="53"/>
    </row>
    <row r="346" ht="15.75" customHeight="1">
      <c r="A346" s="52"/>
      <c r="O346" s="53"/>
    </row>
    <row r="347" ht="15.75" customHeight="1">
      <c r="A347" s="52"/>
      <c r="O347" s="53"/>
    </row>
    <row r="348" ht="15.75" customHeight="1">
      <c r="A348" s="52"/>
      <c r="O348" s="53"/>
    </row>
    <row r="349" ht="15.75" customHeight="1">
      <c r="A349" s="52"/>
      <c r="O349" s="53"/>
    </row>
    <row r="350" ht="15.75" customHeight="1">
      <c r="A350" s="52"/>
      <c r="O350" s="53"/>
    </row>
    <row r="351" ht="15.75" customHeight="1">
      <c r="A351" s="52"/>
      <c r="O351" s="53"/>
    </row>
    <row r="352" ht="15.75" customHeight="1">
      <c r="A352" s="52"/>
      <c r="O352" s="53"/>
    </row>
    <row r="353" ht="15.75" customHeight="1">
      <c r="A353" s="52"/>
      <c r="O353" s="53"/>
    </row>
    <row r="354" ht="15.75" customHeight="1">
      <c r="A354" s="52"/>
      <c r="O354" s="53"/>
    </row>
    <row r="355" ht="15.75" customHeight="1">
      <c r="A355" s="52"/>
      <c r="O355" s="53"/>
    </row>
    <row r="356" ht="15.75" customHeight="1">
      <c r="A356" s="52"/>
      <c r="O356" s="53"/>
    </row>
    <row r="357" ht="15.75" customHeight="1">
      <c r="A357" s="52"/>
      <c r="O357" s="53"/>
    </row>
    <row r="358" ht="15.75" customHeight="1">
      <c r="A358" s="52"/>
      <c r="O358" s="53"/>
    </row>
    <row r="359" ht="15.75" customHeight="1">
      <c r="A359" s="52"/>
      <c r="O359" s="53"/>
    </row>
    <row r="360" ht="15.75" customHeight="1">
      <c r="A360" s="52"/>
      <c r="O360" s="53"/>
    </row>
    <row r="361" ht="15.75" customHeight="1">
      <c r="A361" s="52"/>
      <c r="O361" s="53"/>
    </row>
    <row r="362" ht="15.75" customHeight="1">
      <c r="A362" s="52"/>
      <c r="O362" s="53"/>
    </row>
    <row r="363" ht="15.75" customHeight="1">
      <c r="A363" s="52"/>
      <c r="O363" s="53"/>
    </row>
    <row r="364" ht="15.75" customHeight="1">
      <c r="A364" s="52"/>
      <c r="O364" s="53"/>
    </row>
    <row r="365" ht="15.75" customHeight="1">
      <c r="A365" s="52"/>
      <c r="O365" s="53"/>
    </row>
    <row r="366" ht="15.75" customHeight="1">
      <c r="A366" s="52"/>
      <c r="O366" s="53"/>
    </row>
    <row r="367" ht="15.75" customHeight="1">
      <c r="A367" s="52"/>
      <c r="O367" s="53"/>
    </row>
    <row r="368" ht="15.75" customHeight="1">
      <c r="A368" s="52"/>
      <c r="O368" s="53"/>
    </row>
    <row r="369" ht="15.75" customHeight="1">
      <c r="A369" s="52"/>
      <c r="O369" s="53"/>
    </row>
    <row r="370" ht="15.75" customHeight="1">
      <c r="A370" s="52"/>
      <c r="O370" s="53"/>
    </row>
    <row r="371" ht="15.75" customHeight="1">
      <c r="A371" s="52"/>
      <c r="O371" s="53"/>
    </row>
    <row r="372" ht="15.75" customHeight="1">
      <c r="A372" s="52"/>
      <c r="O372" s="53"/>
    </row>
    <row r="373" ht="15.75" customHeight="1">
      <c r="A373" s="52"/>
      <c r="O373" s="53"/>
    </row>
    <row r="374" ht="15.75" customHeight="1">
      <c r="A374" s="52"/>
      <c r="O374" s="53"/>
    </row>
    <row r="375" ht="15.75" customHeight="1">
      <c r="A375" s="52"/>
      <c r="O375" s="53"/>
    </row>
    <row r="376" ht="15.75" customHeight="1">
      <c r="A376" s="52"/>
      <c r="O376" s="53"/>
    </row>
    <row r="377" ht="15.75" customHeight="1">
      <c r="A377" s="52"/>
      <c r="O377" s="53"/>
    </row>
    <row r="378" ht="15.75" customHeight="1">
      <c r="A378" s="52"/>
      <c r="O378" s="53"/>
    </row>
    <row r="379" ht="15.75" customHeight="1">
      <c r="A379" s="52"/>
      <c r="O379" s="53"/>
    </row>
    <row r="380" ht="15.75" customHeight="1">
      <c r="A380" s="52"/>
      <c r="O380" s="53"/>
    </row>
    <row r="381" ht="15.75" customHeight="1">
      <c r="A381" s="52"/>
      <c r="O381" s="53"/>
    </row>
    <row r="382" ht="15.75" customHeight="1">
      <c r="A382" s="52"/>
      <c r="O382" s="53"/>
    </row>
    <row r="383" ht="15.75" customHeight="1">
      <c r="A383" s="52"/>
      <c r="O383" s="53"/>
    </row>
    <row r="384" ht="15.75" customHeight="1">
      <c r="A384" s="52"/>
      <c r="O384" s="53"/>
    </row>
    <row r="385" ht="15.75" customHeight="1">
      <c r="A385" s="52"/>
      <c r="O385" s="53"/>
    </row>
    <row r="386" ht="15.75" customHeight="1">
      <c r="A386" s="52"/>
      <c r="O386" s="53"/>
    </row>
    <row r="387" ht="15.75" customHeight="1">
      <c r="A387" s="52"/>
      <c r="O387" s="53"/>
    </row>
    <row r="388" ht="15.75" customHeight="1">
      <c r="A388" s="52"/>
      <c r="O388" s="53"/>
    </row>
    <row r="389" ht="15.75" customHeight="1">
      <c r="A389" s="52"/>
      <c r="O389" s="53"/>
    </row>
    <row r="390" ht="15.75" customHeight="1">
      <c r="A390" s="52"/>
      <c r="O390" s="53"/>
    </row>
    <row r="391" ht="15.75" customHeight="1">
      <c r="A391" s="52"/>
      <c r="O391" s="53"/>
    </row>
    <row r="392" ht="15.75" customHeight="1">
      <c r="A392" s="52"/>
      <c r="O392" s="53"/>
    </row>
    <row r="393" ht="15.75" customHeight="1">
      <c r="A393" s="52"/>
      <c r="O393" s="53"/>
    </row>
    <row r="394" ht="15.75" customHeight="1">
      <c r="A394" s="52"/>
      <c r="O394" s="53"/>
    </row>
    <row r="395" ht="15.75" customHeight="1">
      <c r="A395" s="52"/>
      <c r="O395" s="53"/>
    </row>
    <row r="396" ht="15.75" customHeight="1">
      <c r="A396" s="52"/>
      <c r="O396" s="53"/>
    </row>
    <row r="397" ht="15.75" customHeight="1">
      <c r="A397" s="52"/>
      <c r="O397" s="53"/>
    </row>
    <row r="398" ht="15.75" customHeight="1">
      <c r="A398" s="52"/>
      <c r="O398" s="53"/>
    </row>
    <row r="399" ht="15.75" customHeight="1">
      <c r="A399" s="52"/>
      <c r="O399" s="53"/>
    </row>
    <row r="400" ht="15.75" customHeight="1">
      <c r="A400" s="52"/>
      <c r="O400" s="53"/>
    </row>
    <row r="401" ht="15.75" customHeight="1">
      <c r="A401" s="52"/>
      <c r="O401" s="53"/>
    </row>
    <row r="402" ht="15.75" customHeight="1">
      <c r="A402" s="52"/>
      <c r="O402" s="53"/>
    </row>
    <row r="403" ht="15.75" customHeight="1">
      <c r="A403" s="52"/>
      <c r="O403" s="53"/>
    </row>
    <row r="404" ht="15.75" customHeight="1">
      <c r="A404" s="52"/>
      <c r="O404" s="53"/>
    </row>
    <row r="405" ht="15.75" customHeight="1">
      <c r="A405" s="52"/>
      <c r="O405" s="53"/>
    </row>
    <row r="406" ht="15.75" customHeight="1">
      <c r="A406" s="52"/>
      <c r="O406" s="53"/>
    </row>
    <row r="407" ht="15.75" customHeight="1">
      <c r="A407" s="52"/>
      <c r="O407" s="53"/>
    </row>
    <row r="408" ht="15.75" customHeight="1">
      <c r="A408" s="52"/>
      <c r="O408" s="53"/>
    </row>
    <row r="409" ht="15.75" customHeight="1">
      <c r="A409" s="52"/>
      <c r="O409" s="53"/>
    </row>
    <row r="410" ht="15.75" customHeight="1">
      <c r="A410" s="52"/>
      <c r="O410" s="53"/>
    </row>
    <row r="411" ht="15.75" customHeight="1">
      <c r="A411" s="52"/>
      <c r="O411" s="53"/>
    </row>
    <row r="412" ht="15.75" customHeight="1">
      <c r="A412" s="52"/>
      <c r="O412" s="53"/>
    </row>
    <row r="413" ht="15.75" customHeight="1">
      <c r="A413" s="52"/>
      <c r="O413" s="53"/>
    </row>
    <row r="414" ht="15.75" customHeight="1">
      <c r="A414" s="52"/>
      <c r="O414" s="53"/>
    </row>
    <row r="415" ht="15.75" customHeight="1">
      <c r="A415" s="52"/>
      <c r="O415" s="53"/>
    </row>
    <row r="416" ht="15.75" customHeight="1">
      <c r="A416" s="52"/>
      <c r="O416" s="53"/>
    </row>
    <row r="417" ht="15.75" customHeight="1">
      <c r="A417" s="52"/>
      <c r="O417" s="53"/>
    </row>
    <row r="418" ht="15.75" customHeight="1">
      <c r="A418" s="52"/>
      <c r="O418" s="53"/>
    </row>
    <row r="419" ht="15.75" customHeight="1">
      <c r="A419" s="52"/>
      <c r="O419" s="53"/>
    </row>
    <row r="420" ht="15.75" customHeight="1">
      <c r="A420" s="52"/>
      <c r="O420" s="53"/>
    </row>
    <row r="421" ht="15.75" customHeight="1">
      <c r="A421" s="52"/>
      <c r="O421" s="53"/>
    </row>
    <row r="422" ht="15.75" customHeight="1">
      <c r="A422" s="52"/>
      <c r="O422" s="53"/>
    </row>
    <row r="423" ht="15.75" customHeight="1">
      <c r="A423" s="52"/>
      <c r="O423" s="53"/>
    </row>
    <row r="424" ht="15.75" customHeight="1">
      <c r="A424" s="52"/>
      <c r="O424" s="53"/>
    </row>
    <row r="425" ht="15.75" customHeight="1">
      <c r="A425" s="52"/>
      <c r="O425" s="53"/>
    </row>
    <row r="426" ht="15.75" customHeight="1">
      <c r="A426" s="52"/>
      <c r="O426" s="53"/>
    </row>
    <row r="427" ht="15.75" customHeight="1">
      <c r="A427" s="52"/>
      <c r="O427" s="53"/>
    </row>
    <row r="428" ht="15.75" customHeight="1">
      <c r="A428" s="52"/>
      <c r="O428" s="53"/>
    </row>
    <row r="429" ht="15.75" customHeight="1">
      <c r="A429" s="52"/>
      <c r="O429" s="53"/>
    </row>
    <row r="430" ht="15.75" customHeight="1">
      <c r="A430" s="52"/>
      <c r="O430" s="53"/>
    </row>
    <row r="431" ht="15.75" customHeight="1">
      <c r="A431" s="52"/>
      <c r="O431" s="53"/>
    </row>
    <row r="432" ht="15.75" customHeight="1">
      <c r="A432" s="52"/>
      <c r="O432" s="53"/>
    </row>
    <row r="433" ht="15.75" customHeight="1">
      <c r="A433" s="52"/>
      <c r="O433" s="53"/>
    </row>
    <row r="434" ht="15.75" customHeight="1">
      <c r="A434" s="52"/>
      <c r="O434" s="53"/>
    </row>
    <row r="435" ht="15.75" customHeight="1">
      <c r="A435" s="52"/>
      <c r="O435" s="53"/>
    </row>
    <row r="436" ht="15.75" customHeight="1">
      <c r="A436" s="52"/>
      <c r="O436" s="53"/>
    </row>
    <row r="437" ht="15.75" customHeight="1">
      <c r="A437" s="52"/>
      <c r="O437" s="53"/>
    </row>
    <row r="438" ht="15.75" customHeight="1">
      <c r="A438" s="52"/>
      <c r="O438" s="53"/>
    </row>
    <row r="439" ht="15.75" customHeight="1">
      <c r="A439" s="52"/>
      <c r="O439" s="53"/>
    </row>
    <row r="440" ht="15.75" customHeight="1">
      <c r="A440" s="52"/>
      <c r="O440" s="53"/>
    </row>
    <row r="441" ht="15.75" customHeight="1">
      <c r="A441" s="52"/>
      <c r="O441" s="53"/>
    </row>
    <row r="442" ht="15.75" customHeight="1">
      <c r="A442" s="52"/>
      <c r="O442" s="53"/>
    </row>
    <row r="443" ht="15.75" customHeight="1">
      <c r="A443" s="52"/>
      <c r="O443" s="53"/>
    </row>
    <row r="444" ht="15.75" customHeight="1">
      <c r="A444" s="52"/>
      <c r="O444" s="53"/>
    </row>
    <row r="445" ht="15.75" customHeight="1">
      <c r="A445" s="52"/>
      <c r="O445" s="53"/>
    </row>
    <row r="446" ht="15.75" customHeight="1">
      <c r="A446" s="52"/>
      <c r="O446" s="53"/>
    </row>
    <row r="447" ht="15.75" customHeight="1">
      <c r="A447" s="52"/>
      <c r="O447" s="53"/>
    </row>
    <row r="448" ht="15.75" customHeight="1">
      <c r="A448" s="52"/>
      <c r="O448" s="53"/>
    </row>
    <row r="449" ht="15.75" customHeight="1">
      <c r="A449" s="52"/>
      <c r="O449" s="53"/>
    </row>
    <row r="450" ht="15.75" customHeight="1">
      <c r="A450" s="52"/>
      <c r="O450" s="53"/>
    </row>
    <row r="451" ht="15.75" customHeight="1">
      <c r="A451" s="52"/>
      <c r="O451" s="53"/>
    </row>
    <row r="452" ht="15.75" customHeight="1">
      <c r="A452" s="52"/>
      <c r="O452" s="53"/>
    </row>
    <row r="453" ht="15.75" customHeight="1">
      <c r="A453" s="52"/>
      <c r="O453" s="53"/>
    </row>
    <row r="454" ht="15.75" customHeight="1">
      <c r="A454" s="52"/>
      <c r="O454" s="53"/>
    </row>
    <row r="455" ht="15.75" customHeight="1">
      <c r="A455" s="52"/>
      <c r="O455" s="53"/>
    </row>
    <row r="456" ht="15.75" customHeight="1">
      <c r="A456" s="52"/>
      <c r="O456" s="53"/>
    </row>
    <row r="457" ht="15.75" customHeight="1">
      <c r="A457" s="52"/>
      <c r="O457" s="53"/>
    </row>
    <row r="458" ht="15.75" customHeight="1">
      <c r="A458" s="52"/>
      <c r="O458" s="53"/>
    </row>
    <row r="459" ht="15.75" customHeight="1">
      <c r="A459" s="52"/>
      <c r="O459" s="53"/>
    </row>
    <row r="460" ht="15.75" customHeight="1">
      <c r="A460" s="52"/>
      <c r="O460" s="53"/>
    </row>
    <row r="461" ht="15.75" customHeight="1">
      <c r="A461" s="52"/>
      <c r="O461" s="53"/>
    </row>
    <row r="462" ht="15.75" customHeight="1">
      <c r="A462" s="52"/>
      <c r="O462" s="53"/>
    </row>
    <row r="463" ht="15.75" customHeight="1">
      <c r="A463" s="52"/>
      <c r="O463" s="53"/>
    </row>
    <row r="464" ht="15.75" customHeight="1">
      <c r="A464" s="52"/>
      <c r="O464" s="53"/>
    </row>
    <row r="465" ht="15.75" customHeight="1">
      <c r="A465" s="52"/>
      <c r="O465" s="53"/>
    </row>
    <row r="466" ht="15.75" customHeight="1">
      <c r="A466" s="52"/>
      <c r="O466" s="53"/>
    </row>
    <row r="467" ht="15.75" customHeight="1">
      <c r="A467" s="52"/>
      <c r="O467" s="53"/>
    </row>
    <row r="468" ht="15.75" customHeight="1">
      <c r="A468" s="52"/>
      <c r="O468" s="53"/>
    </row>
    <row r="469" ht="15.75" customHeight="1">
      <c r="A469" s="52"/>
      <c r="O469" s="53"/>
    </row>
    <row r="470" ht="15.75" customHeight="1">
      <c r="A470" s="52"/>
      <c r="O470" s="53"/>
    </row>
    <row r="471" ht="15.75" customHeight="1">
      <c r="A471" s="52"/>
      <c r="O471" s="53"/>
    </row>
    <row r="472" ht="15.75" customHeight="1">
      <c r="A472" s="52"/>
      <c r="O472" s="53"/>
    </row>
    <row r="473" ht="15.75" customHeight="1">
      <c r="A473" s="52"/>
      <c r="O473" s="53"/>
    </row>
    <row r="474" ht="15.75" customHeight="1">
      <c r="A474" s="52"/>
      <c r="O474" s="53"/>
    </row>
    <row r="475" ht="15.75" customHeight="1">
      <c r="A475" s="52"/>
      <c r="O475" s="53"/>
    </row>
    <row r="476" ht="15.75" customHeight="1">
      <c r="A476" s="52"/>
      <c r="O476" s="53"/>
    </row>
    <row r="477" ht="15.75" customHeight="1">
      <c r="A477" s="52"/>
      <c r="O477" s="53"/>
    </row>
    <row r="478" ht="15.75" customHeight="1">
      <c r="A478" s="52"/>
      <c r="O478" s="53"/>
    </row>
    <row r="479" ht="15.75" customHeight="1">
      <c r="A479" s="52"/>
      <c r="O479" s="53"/>
    </row>
    <row r="480" ht="15.75" customHeight="1">
      <c r="A480" s="52"/>
      <c r="O480" s="53"/>
    </row>
    <row r="481" ht="15.75" customHeight="1">
      <c r="A481" s="52"/>
      <c r="O481" s="53"/>
    </row>
    <row r="482" ht="15.75" customHeight="1">
      <c r="A482" s="52"/>
      <c r="O482" s="53"/>
    </row>
    <row r="483" ht="15.75" customHeight="1">
      <c r="A483" s="52"/>
      <c r="O483" s="53"/>
    </row>
    <row r="484" ht="15.75" customHeight="1">
      <c r="A484" s="52"/>
      <c r="O484" s="53"/>
    </row>
    <row r="485" ht="15.75" customHeight="1">
      <c r="A485" s="52"/>
      <c r="O485" s="53"/>
    </row>
    <row r="486" ht="15.75" customHeight="1">
      <c r="A486" s="52"/>
      <c r="O486" s="53"/>
    </row>
    <row r="487" ht="15.75" customHeight="1">
      <c r="A487" s="52"/>
      <c r="O487" s="53"/>
    </row>
    <row r="488" ht="15.75" customHeight="1">
      <c r="A488" s="52"/>
      <c r="O488" s="53"/>
    </row>
    <row r="489" ht="15.75" customHeight="1">
      <c r="A489" s="52"/>
      <c r="O489" s="53"/>
    </row>
    <row r="490" ht="15.75" customHeight="1">
      <c r="A490" s="52"/>
      <c r="O490" s="53"/>
    </row>
    <row r="491" ht="15.75" customHeight="1">
      <c r="A491" s="52"/>
      <c r="O491" s="53"/>
    </row>
    <row r="492" ht="15.75" customHeight="1">
      <c r="A492" s="52"/>
      <c r="O492" s="53"/>
    </row>
    <row r="493" ht="15.75" customHeight="1">
      <c r="A493" s="52"/>
      <c r="O493" s="53"/>
    </row>
    <row r="494" ht="15.75" customHeight="1">
      <c r="A494" s="52"/>
      <c r="O494" s="53"/>
    </row>
    <row r="495" ht="15.75" customHeight="1">
      <c r="A495" s="52"/>
      <c r="O495" s="53"/>
    </row>
    <row r="496" ht="15.75" customHeight="1">
      <c r="A496" s="52"/>
      <c r="O496" s="53"/>
    </row>
    <row r="497" ht="15.75" customHeight="1">
      <c r="A497" s="52"/>
      <c r="O497" s="53"/>
    </row>
    <row r="498" ht="15.75" customHeight="1">
      <c r="A498" s="52"/>
      <c r="O498" s="53"/>
    </row>
    <row r="499" ht="15.75" customHeight="1">
      <c r="A499" s="52"/>
      <c r="O499" s="53"/>
    </row>
    <row r="500" ht="15.75" customHeight="1">
      <c r="A500" s="52"/>
      <c r="O500" s="53"/>
    </row>
    <row r="501" ht="15.75" customHeight="1">
      <c r="A501" s="52"/>
      <c r="O501" s="53"/>
    </row>
    <row r="502" ht="15.75" customHeight="1">
      <c r="A502" s="52"/>
      <c r="O502" s="53"/>
    </row>
    <row r="503" ht="15.75" customHeight="1">
      <c r="A503" s="52"/>
      <c r="O503" s="53"/>
    </row>
    <row r="504" ht="15.75" customHeight="1">
      <c r="A504" s="52"/>
      <c r="O504" s="53"/>
    </row>
    <row r="505" ht="15.75" customHeight="1">
      <c r="A505" s="52"/>
      <c r="O505" s="53"/>
    </row>
    <row r="506" ht="15.75" customHeight="1">
      <c r="A506" s="52"/>
      <c r="O506" s="53"/>
    </row>
    <row r="507" ht="15.75" customHeight="1">
      <c r="A507" s="52"/>
      <c r="O507" s="53"/>
    </row>
    <row r="508" ht="15.75" customHeight="1">
      <c r="A508" s="52"/>
      <c r="O508" s="53"/>
    </row>
    <row r="509" ht="15.75" customHeight="1">
      <c r="A509" s="52"/>
      <c r="O509" s="53"/>
    </row>
    <row r="510" ht="15.75" customHeight="1">
      <c r="A510" s="52"/>
      <c r="O510" s="53"/>
    </row>
    <row r="511" ht="15.75" customHeight="1">
      <c r="A511" s="52"/>
      <c r="O511" s="53"/>
    </row>
    <row r="512" ht="15.75" customHeight="1">
      <c r="A512" s="52"/>
      <c r="O512" s="53"/>
    </row>
    <row r="513" ht="15.75" customHeight="1">
      <c r="A513" s="52"/>
      <c r="O513" s="53"/>
    </row>
    <row r="514" ht="15.75" customHeight="1">
      <c r="A514" s="52"/>
      <c r="O514" s="53"/>
    </row>
    <row r="515" ht="15.75" customHeight="1">
      <c r="A515" s="52"/>
      <c r="O515" s="53"/>
    </row>
    <row r="516" ht="15.75" customHeight="1">
      <c r="A516" s="52"/>
      <c r="O516" s="53"/>
    </row>
    <row r="517" ht="15.75" customHeight="1">
      <c r="A517" s="52"/>
      <c r="O517" s="53"/>
    </row>
    <row r="518" ht="15.75" customHeight="1">
      <c r="A518" s="52"/>
      <c r="O518" s="53"/>
    </row>
    <row r="519" ht="15.75" customHeight="1">
      <c r="A519" s="52"/>
      <c r="O519" s="53"/>
    </row>
    <row r="520" ht="15.75" customHeight="1">
      <c r="A520" s="52"/>
      <c r="O520" s="53"/>
    </row>
    <row r="521" ht="15.75" customHeight="1">
      <c r="A521" s="52"/>
      <c r="O521" s="53"/>
    </row>
    <row r="522" ht="15.75" customHeight="1">
      <c r="A522" s="52"/>
      <c r="O522" s="53"/>
    </row>
    <row r="523" ht="15.75" customHeight="1">
      <c r="A523" s="52"/>
      <c r="O523" s="53"/>
    </row>
    <row r="524" ht="15.75" customHeight="1">
      <c r="A524" s="52"/>
      <c r="O524" s="53"/>
    </row>
    <row r="525" ht="15.75" customHeight="1">
      <c r="A525" s="52"/>
      <c r="O525" s="53"/>
    </row>
    <row r="526" ht="15.75" customHeight="1">
      <c r="A526" s="52"/>
      <c r="O526" s="53"/>
    </row>
    <row r="527" ht="15.75" customHeight="1">
      <c r="A527" s="52"/>
      <c r="O527" s="53"/>
    </row>
    <row r="528" ht="15.75" customHeight="1">
      <c r="A528" s="52"/>
      <c r="O528" s="53"/>
    </row>
    <row r="529" ht="15.75" customHeight="1">
      <c r="A529" s="52"/>
      <c r="O529" s="53"/>
    </row>
    <row r="530" ht="15.75" customHeight="1">
      <c r="A530" s="52"/>
      <c r="O530" s="53"/>
    </row>
    <row r="531" ht="15.75" customHeight="1">
      <c r="A531" s="52"/>
      <c r="O531" s="53"/>
    </row>
    <row r="532" ht="15.75" customHeight="1">
      <c r="A532" s="52"/>
      <c r="O532" s="53"/>
    </row>
    <row r="533" ht="15.75" customHeight="1">
      <c r="A533" s="52"/>
      <c r="O533" s="53"/>
    </row>
    <row r="534" ht="15.75" customHeight="1">
      <c r="A534" s="52"/>
      <c r="O534" s="53"/>
    </row>
    <row r="535" ht="15.75" customHeight="1">
      <c r="A535" s="52"/>
      <c r="O535" s="53"/>
    </row>
    <row r="536" ht="15.75" customHeight="1">
      <c r="A536" s="52"/>
      <c r="O536" s="53"/>
    </row>
    <row r="537" ht="15.75" customHeight="1">
      <c r="A537" s="52"/>
      <c r="O537" s="53"/>
    </row>
    <row r="538" ht="15.75" customHeight="1">
      <c r="A538" s="52"/>
      <c r="O538" s="53"/>
    </row>
    <row r="539" ht="15.75" customHeight="1">
      <c r="A539" s="52"/>
      <c r="O539" s="53"/>
    </row>
    <row r="540" ht="15.75" customHeight="1">
      <c r="A540" s="52"/>
      <c r="O540" s="53"/>
    </row>
    <row r="541" ht="15.75" customHeight="1">
      <c r="A541" s="52"/>
      <c r="O541" s="53"/>
    </row>
    <row r="542" ht="15.75" customHeight="1">
      <c r="A542" s="52"/>
      <c r="O542" s="53"/>
    </row>
    <row r="543" ht="15.75" customHeight="1">
      <c r="A543" s="52"/>
      <c r="O543" s="53"/>
    </row>
    <row r="544" ht="15.75" customHeight="1">
      <c r="A544" s="52"/>
      <c r="O544" s="53"/>
    </row>
    <row r="545" ht="15.75" customHeight="1">
      <c r="A545" s="52"/>
      <c r="O545" s="53"/>
    </row>
    <row r="546" ht="15.75" customHeight="1">
      <c r="A546" s="52"/>
      <c r="O546" s="53"/>
    </row>
    <row r="547" ht="15.75" customHeight="1">
      <c r="A547" s="52"/>
      <c r="O547" s="53"/>
    </row>
    <row r="548" ht="15.75" customHeight="1">
      <c r="A548" s="52"/>
      <c r="O548" s="53"/>
    </row>
    <row r="549" ht="15.75" customHeight="1">
      <c r="A549" s="52"/>
      <c r="O549" s="53"/>
    </row>
    <row r="550" ht="15.75" customHeight="1">
      <c r="A550" s="52"/>
      <c r="O550" s="53"/>
    </row>
    <row r="551" ht="15.75" customHeight="1">
      <c r="A551" s="52"/>
      <c r="O551" s="53"/>
    </row>
    <row r="552" ht="15.75" customHeight="1">
      <c r="A552" s="52"/>
      <c r="O552" s="53"/>
    </row>
    <row r="553" ht="15.75" customHeight="1">
      <c r="A553" s="52"/>
      <c r="O553" s="53"/>
    </row>
    <row r="554" ht="15.75" customHeight="1">
      <c r="A554" s="52"/>
      <c r="O554" s="53"/>
    </row>
    <row r="555" ht="15.75" customHeight="1">
      <c r="A555" s="52"/>
      <c r="O555" s="53"/>
    </row>
    <row r="556" ht="15.75" customHeight="1">
      <c r="A556" s="52"/>
      <c r="O556" s="53"/>
    </row>
    <row r="557" ht="15.75" customHeight="1">
      <c r="A557" s="52"/>
      <c r="O557" s="53"/>
    </row>
    <row r="558" ht="15.75" customHeight="1">
      <c r="A558" s="52"/>
      <c r="O558" s="53"/>
    </row>
    <row r="559" ht="15.75" customHeight="1">
      <c r="A559" s="52"/>
      <c r="O559" s="53"/>
    </row>
    <row r="560" ht="15.75" customHeight="1">
      <c r="A560" s="52"/>
      <c r="O560" s="53"/>
    </row>
    <row r="561" ht="15.75" customHeight="1">
      <c r="A561" s="52"/>
      <c r="O561" s="53"/>
    </row>
    <row r="562" ht="15.75" customHeight="1">
      <c r="A562" s="52"/>
      <c r="O562" s="53"/>
    </row>
    <row r="563" ht="15.75" customHeight="1">
      <c r="A563" s="52"/>
      <c r="O563" s="53"/>
    </row>
    <row r="564" ht="15.75" customHeight="1">
      <c r="A564" s="52"/>
      <c r="O564" s="53"/>
    </row>
    <row r="565" ht="15.75" customHeight="1">
      <c r="A565" s="52"/>
      <c r="O565" s="53"/>
    </row>
    <row r="566" ht="15.75" customHeight="1">
      <c r="A566" s="52"/>
      <c r="O566" s="53"/>
    </row>
    <row r="567" ht="15.75" customHeight="1">
      <c r="A567" s="52"/>
      <c r="O567" s="53"/>
    </row>
    <row r="568" ht="15.75" customHeight="1">
      <c r="A568" s="52"/>
      <c r="O568" s="53"/>
    </row>
    <row r="569" ht="15.75" customHeight="1">
      <c r="A569" s="52"/>
      <c r="O569" s="53"/>
    </row>
    <row r="570" ht="15.75" customHeight="1">
      <c r="A570" s="52"/>
      <c r="O570" s="53"/>
    </row>
    <row r="571" ht="15.75" customHeight="1">
      <c r="A571" s="52"/>
      <c r="O571" s="53"/>
    </row>
    <row r="572" ht="15.75" customHeight="1">
      <c r="A572" s="52"/>
      <c r="O572" s="53"/>
    </row>
    <row r="573" ht="15.75" customHeight="1">
      <c r="A573" s="52"/>
      <c r="O573" s="53"/>
    </row>
    <row r="574" ht="15.75" customHeight="1">
      <c r="A574" s="52"/>
      <c r="O574" s="53"/>
    </row>
    <row r="575" ht="15.75" customHeight="1">
      <c r="A575" s="52"/>
      <c r="O575" s="53"/>
    </row>
    <row r="576" ht="15.75" customHeight="1">
      <c r="A576" s="52"/>
      <c r="O576" s="53"/>
    </row>
    <row r="577" ht="15.75" customHeight="1">
      <c r="A577" s="52"/>
      <c r="O577" s="53"/>
    </row>
    <row r="578" ht="15.75" customHeight="1">
      <c r="A578" s="52"/>
      <c r="O578" s="53"/>
    </row>
    <row r="579" ht="15.75" customHeight="1">
      <c r="A579" s="52"/>
      <c r="O579" s="53"/>
    </row>
    <row r="580" ht="15.75" customHeight="1">
      <c r="A580" s="52"/>
      <c r="O580" s="53"/>
    </row>
    <row r="581" ht="15.75" customHeight="1">
      <c r="A581" s="52"/>
      <c r="O581" s="53"/>
    </row>
    <row r="582" ht="15.75" customHeight="1">
      <c r="A582" s="52"/>
      <c r="O582" s="53"/>
    </row>
    <row r="583" ht="15.75" customHeight="1">
      <c r="A583" s="52"/>
      <c r="O583" s="53"/>
    </row>
    <row r="584" ht="15.75" customHeight="1">
      <c r="A584" s="52"/>
      <c r="O584" s="53"/>
    </row>
    <row r="585" ht="15.75" customHeight="1">
      <c r="A585" s="52"/>
      <c r="O585" s="53"/>
    </row>
    <row r="586" ht="15.75" customHeight="1">
      <c r="A586" s="52"/>
      <c r="O586" s="53"/>
    </row>
    <row r="587" ht="15.75" customHeight="1">
      <c r="A587" s="52"/>
      <c r="O587" s="53"/>
    </row>
    <row r="588" ht="15.75" customHeight="1">
      <c r="A588" s="52"/>
      <c r="O588" s="53"/>
    </row>
    <row r="589" ht="15.75" customHeight="1">
      <c r="A589" s="52"/>
      <c r="O589" s="53"/>
    </row>
    <row r="590" ht="15.75" customHeight="1">
      <c r="A590" s="52"/>
      <c r="O590" s="53"/>
    </row>
    <row r="591" ht="15.75" customHeight="1">
      <c r="A591" s="52"/>
      <c r="O591" s="53"/>
    </row>
    <row r="592" ht="15.75" customHeight="1">
      <c r="A592" s="52"/>
      <c r="O592" s="53"/>
    </row>
    <row r="593" ht="15.75" customHeight="1">
      <c r="A593" s="52"/>
      <c r="O593" s="53"/>
    </row>
    <row r="594" ht="15.75" customHeight="1">
      <c r="A594" s="52"/>
      <c r="O594" s="53"/>
    </row>
    <row r="595" ht="15.75" customHeight="1">
      <c r="A595" s="52"/>
      <c r="O595" s="53"/>
    </row>
    <row r="596" ht="15.75" customHeight="1">
      <c r="A596" s="52"/>
      <c r="O596" s="53"/>
    </row>
    <row r="597" ht="15.75" customHeight="1">
      <c r="A597" s="52"/>
      <c r="O597" s="53"/>
    </row>
    <row r="598" ht="15.75" customHeight="1">
      <c r="A598" s="52"/>
      <c r="O598" s="53"/>
    </row>
    <row r="599" ht="15.75" customHeight="1">
      <c r="A599" s="52"/>
      <c r="O599" s="53"/>
    </row>
    <row r="600" ht="15.75" customHeight="1">
      <c r="A600" s="52"/>
      <c r="O600" s="53"/>
    </row>
    <row r="601" ht="15.75" customHeight="1">
      <c r="A601" s="52"/>
      <c r="O601" s="53"/>
    </row>
    <row r="602" ht="15.75" customHeight="1">
      <c r="A602" s="52"/>
      <c r="O602" s="53"/>
    </row>
    <row r="603" ht="15.75" customHeight="1">
      <c r="A603" s="52"/>
      <c r="O603" s="53"/>
    </row>
    <row r="604" ht="15.75" customHeight="1">
      <c r="A604" s="52"/>
      <c r="O604" s="53"/>
    </row>
    <row r="605" ht="15.75" customHeight="1">
      <c r="A605" s="52"/>
      <c r="O605" s="53"/>
    </row>
    <row r="606" ht="15.75" customHeight="1">
      <c r="A606" s="52"/>
      <c r="O606" s="53"/>
    </row>
    <row r="607" ht="15.75" customHeight="1">
      <c r="A607" s="52"/>
      <c r="O607" s="53"/>
    </row>
    <row r="608" ht="15.75" customHeight="1">
      <c r="A608" s="52"/>
      <c r="O608" s="53"/>
    </row>
    <row r="609" ht="15.75" customHeight="1">
      <c r="A609" s="52"/>
      <c r="O609" s="53"/>
    </row>
    <row r="610" ht="15.75" customHeight="1">
      <c r="A610" s="52"/>
      <c r="O610" s="53"/>
    </row>
    <row r="611" ht="15.75" customHeight="1">
      <c r="A611" s="52"/>
      <c r="O611" s="53"/>
    </row>
    <row r="612" ht="15.75" customHeight="1">
      <c r="A612" s="52"/>
      <c r="O612" s="53"/>
    </row>
    <row r="613" ht="15.75" customHeight="1">
      <c r="A613" s="52"/>
      <c r="O613" s="53"/>
    </row>
    <row r="614" ht="15.75" customHeight="1">
      <c r="A614" s="52"/>
      <c r="O614" s="53"/>
    </row>
    <row r="615" ht="15.75" customHeight="1">
      <c r="A615" s="52"/>
      <c r="O615" s="53"/>
    </row>
    <row r="616" ht="15.75" customHeight="1">
      <c r="A616" s="52"/>
      <c r="O616" s="53"/>
    </row>
    <row r="617" ht="15.75" customHeight="1">
      <c r="A617" s="52"/>
      <c r="O617" s="53"/>
    </row>
    <row r="618" ht="15.75" customHeight="1">
      <c r="A618" s="52"/>
      <c r="O618" s="53"/>
    </row>
    <row r="619" ht="15.75" customHeight="1">
      <c r="A619" s="52"/>
      <c r="O619" s="53"/>
    </row>
    <row r="620" ht="15.75" customHeight="1">
      <c r="A620" s="52"/>
      <c r="O620" s="53"/>
    </row>
    <row r="621" ht="15.75" customHeight="1">
      <c r="A621" s="52"/>
      <c r="O621" s="53"/>
    </row>
    <row r="622" ht="15.75" customHeight="1">
      <c r="A622" s="52"/>
      <c r="O622" s="53"/>
    </row>
    <row r="623" ht="15.75" customHeight="1">
      <c r="A623" s="52"/>
      <c r="O623" s="53"/>
    </row>
    <row r="624" ht="15.75" customHeight="1">
      <c r="A624" s="52"/>
      <c r="O624" s="53"/>
    </row>
    <row r="625" ht="15.75" customHeight="1">
      <c r="A625" s="52"/>
      <c r="O625" s="53"/>
    </row>
    <row r="626" ht="15.75" customHeight="1">
      <c r="A626" s="52"/>
      <c r="O626" s="53"/>
    </row>
    <row r="627" ht="15.75" customHeight="1">
      <c r="A627" s="52"/>
      <c r="O627" s="53"/>
    </row>
    <row r="628" ht="15.75" customHeight="1">
      <c r="A628" s="52"/>
      <c r="O628" s="53"/>
    </row>
    <row r="629" ht="15.75" customHeight="1">
      <c r="A629" s="52"/>
      <c r="O629" s="53"/>
    </row>
    <row r="630" ht="15.75" customHeight="1">
      <c r="A630" s="52"/>
      <c r="O630" s="53"/>
    </row>
    <row r="631" ht="15.75" customHeight="1">
      <c r="A631" s="52"/>
      <c r="O631" s="53"/>
    </row>
    <row r="632" ht="15.75" customHeight="1">
      <c r="A632" s="52"/>
      <c r="O632" s="53"/>
    </row>
    <row r="633" ht="15.75" customHeight="1">
      <c r="A633" s="52"/>
      <c r="O633" s="53"/>
    </row>
    <row r="634" ht="15.75" customHeight="1">
      <c r="A634" s="52"/>
      <c r="O634" s="53"/>
    </row>
    <row r="635" ht="15.75" customHeight="1">
      <c r="A635" s="52"/>
      <c r="O635" s="53"/>
    </row>
    <row r="636" ht="15.75" customHeight="1">
      <c r="A636" s="52"/>
      <c r="O636" s="53"/>
    </row>
    <row r="637" ht="15.75" customHeight="1">
      <c r="A637" s="52"/>
      <c r="O637" s="53"/>
    </row>
    <row r="638" ht="15.75" customHeight="1">
      <c r="A638" s="52"/>
      <c r="O638" s="53"/>
    </row>
    <row r="639" ht="15.75" customHeight="1">
      <c r="A639" s="52"/>
      <c r="O639" s="53"/>
    </row>
    <row r="640" ht="15.75" customHeight="1">
      <c r="A640" s="52"/>
      <c r="O640" s="53"/>
    </row>
    <row r="641" ht="15.75" customHeight="1">
      <c r="A641" s="52"/>
      <c r="O641" s="53"/>
    </row>
    <row r="642" ht="15.75" customHeight="1">
      <c r="A642" s="52"/>
      <c r="O642" s="53"/>
    </row>
    <row r="643" ht="15.75" customHeight="1">
      <c r="A643" s="52"/>
      <c r="O643" s="53"/>
    </row>
    <row r="644" ht="15.75" customHeight="1">
      <c r="A644" s="52"/>
      <c r="O644" s="53"/>
    </row>
    <row r="645" ht="15.75" customHeight="1">
      <c r="A645" s="52"/>
      <c r="O645" s="53"/>
    </row>
    <row r="646" ht="15.75" customHeight="1">
      <c r="A646" s="52"/>
      <c r="O646" s="53"/>
    </row>
    <row r="647" ht="15.75" customHeight="1">
      <c r="A647" s="52"/>
      <c r="O647" s="53"/>
    </row>
    <row r="648" ht="15.75" customHeight="1">
      <c r="A648" s="52"/>
      <c r="O648" s="53"/>
    </row>
    <row r="649" ht="15.75" customHeight="1">
      <c r="A649" s="52"/>
      <c r="O649" s="53"/>
    </row>
    <row r="650" ht="15.75" customHeight="1">
      <c r="A650" s="52"/>
      <c r="O650" s="53"/>
    </row>
    <row r="651" ht="15.75" customHeight="1">
      <c r="A651" s="52"/>
      <c r="O651" s="53"/>
    </row>
    <row r="652" ht="15.75" customHeight="1">
      <c r="A652" s="52"/>
      <c r="O652" s="53"/>
    </row>
    <row r="653" ht="15.75" customHeight="1">
      <c r="A653" s="52"/>
      <c r="O653" s="53"/>
    </row>
    <row r="654" ht="15.75" customHeight="1">
      <c r="A654" s="52"/>
      <c r="O654" s="53"/>
    </row>
    <row r="655" ht="15.75" customHeight="1">
      <c r="A655" s="52"/>
      <c r="O655" s="53"/>
    </row>
    <row r="656" ht="15.75" customHeight="1">
      <c r="A656" s="52"/>
      <c r="O656" s="53"/>
    </row>
    <row r="657" ht="15.75" customHeight="1">
      <c r="A657" s="52"/>
      <c r="O657" s="53"/>
    </row>
    <row r="658" ht="15.75" customHeight="1">
      <c r="A658" s="52"/>
      <c r="O658" s="53"/>
    </row>
    <row r="659" ht="15.75" customHeight="1">
      <c r="A659" s="52"/>
      <c r="O659" s="53"/>
    </row>
    <row r="660" ht="15.75" customHeight="1">
      <c r="A660" s="52"/>
      <c r="O660" s="53"/>
    </row>
    <row r="661" ht="15.75" customHeight="1">
      <c r="A661" s="52"/>
      <c r="O661" s="53"/>
    </row>
    <row r="662" ht="15.75" customHeight="1">
      <c r="A662" s="52"/>
      <c r="O662" s="53"/>
    </row>
    <row r="663" ht="15.75" customHeight="1">
      <c r="A663" s="52"/>
      <c r="O663" s="53"/>
    </row>
    <row r="664" ht="15.75" customHeight="1">
      <c r="A664" s="52"/>
      <c r="O664" s="53"/>
    </row>
    <row r="665" ht="15.75" customHeight="1">
      <c r="A665" s="52"/>
      <c r="O665" s="53"/>
    </row>
    <row r="666" ht="15.75" customHeight="1">
      <c r="A666" s="52"/>
      <c r="O666" s="53"/>
    </row>
    <row r="667" ht="15.75" customHeight="1">
      <c r="A667" s="52"/>
      <c r="O667" s="53"/>
    </row>
    <row r="668" ht="15.75" customHeight="1">
      <c r="A668" s="52"/>
      <c r="O668" s="53"/>
    </row>
    <row r="669" ht="15.75" customHeight="1">
      <c r="A669" s="52"/>
      <c r="O669" s="53"/>
    </row>
    <row r="670" ht="15.75" customHeight="1">
      <c r="A670" s="52"/>
      <c r="O670" s="53"/>
    </row>
    <row r="671" ht="15.75" customHeight="1">
      <c r="A671" s="52"/>
      <c r="O671" s="53"/>
    </row>
    <row r="672" ht="15.75" customHeight="1">
      <c r="A672" s="52"/>
      <c r="O672" s="53"/>
    </row>
    <row r="673" ht="15.75" customHeight="1">
      <c r="A673" s="52"/>
      <c r="O673" s="53"/>
    </row>
    <row r="674" ht="15.75" customHeight="1">
      <c r="A674" s="52"/>
      <c r="O674" s="53"/>
    </row>
    <row r="675" ht="15.75" customHeight="1">
      <c r="A675" s="52"/>
      <c r="O675" s="53"/>
    </row>
    <row r="676" ht="15.75" customHeight="1">
      <c r="A676" s="52"/>
      <c r="O676" s="53"/>
    </row>
    <row r="677" ht="15.75" customHeight="1">
      <c r="A677" s="52"/>
      <c r="O677" s="53"/>
    </row>
    <row r="678" ht="15.75" customHeight="1">
      <c r="A678" s="52"/>
      <c r="O678" s="53"/>
    </row>
    <row r="679" ht="15.75" customHeight="1">
      <c r="A679" s="52"/>
      <c r="O679" s="53"/>
    </row>
    <row r="680" ht="15.75" customHeight="1">
      <c r="A680" s="52"/>
      <c r="O680" s="53"/>
    </row>
    <row r="681" ht="15.75" customHeight="1">
      <c r="A681" s="52"/>
      <c r="O681" s="53"/>
    </row>
    <row r="682" ht="15.75" customHeight="1">
      <c r="A682" s="52"/>
      <c r="O682" s="53"/>
    </row>
    <row r="683" ht="15.75" customHeight="1">
      <c r="A683" s="52"/>
      <c r="O683" s="53"/>
    </row>
    <row r="684" ht="15.75" customHeight="1">
      <c r="A684" s="52"/>
      <c r="O684" s="53"/>
    </row>
    <row r="685" ht="15.75" customHeight="1">
      <c r="A685" s="52"/>
      <c r="O685" s="53"/>
    </row>
    <row r="686" ht="15.75" customHeight="1">
      <c r="A686" s="52"/>
      <c r="O686" s="53"/>
    </row>
    <row r="687" ht="15.75" customHeight="1">
      <c r="A687" s="52"/>
      <c r="O687" s="53"/>
    </row>
    <row r="688" ht="15.75" customHeight="1">
      <c r="A688" s="52"/>
      <c r="O688" s="53"/>
    </row>
    <row r="689" ht="15.75" customHeight="1">
      <c r="A689" s="52"/>
      <c r="O689" s="53"/>
    </row>
    <row r="690" ht="15.75" customHeight="1">
      <c r="A690" s="52"/>
      <c r="O690" s="53"/>
    </row>
    <row r="691" ht="15.75" customHeight="1">
      <c r="A691" s="52"/>
      <c r="O691" s="53"/>
    </row>
    <row r="692" ht="15.75" customHeight="1">
      <c r="A692" s="52"/>
      <c r="O692" s="53"/>
    </row>
    <row r="693" ht="15.75" customHeight="1">
      <c r="A693" s="52"/>
      <c r="O693" s="53"/>
    </row>
    <row r="694" ht="15.75" customHeight="1">
      <c r="A694" s="52"/>
      <c r="O694" s="53"/>
    </row>
    <row r="695" ht="15.75" customHeight="1">
      <c r="A695" s="52"/>
      <c r="O695" s="53"/>
    </row>
    <row r="696" ht="15.75" customHeight="1">
      <c r="A696" s="52"/>
      <c r="O696" s="53"/>
    </row>
    <row r="697" ht="15.75" customHeight="1">
      <c r="A697" s="52"/>
      <c r="O697" s="53"/>
    </row>
    <row r="698" ht="15.75" customHeight="1">
      <c r="A698" s="52"/>
      <c r="O698" s="53"/>
    </row>
    <row r="699" ht="15.75" customHeight="1">
      <c r="A699" s="52"/>
      <c r="O699" s="53"/>
    </row>
    <row r="700" ht="15.75" customHeight="1">
      <c r="A700" s="52"/>
      <c r="O700" s="53"/>
    </row>
    <row r="701" ht="15.75" customHeight="1">
      <c r="A701" s="52"/>
      <c r="O701" s="53"/>
    </row>
    <row r="702" ht="15.75" customHeight="1">
      <c r="A702" s="52"/>
      <c r="O702" s="53"/>
    </row>
    <row r="703" ht="15.75" customHeight="1">
      <c r="A703" s="52"/>
      <c r="O703" s="53"/>
    </row>
    <row r="704" ht="15.75" customHeight="1">
      <c r="A704" s="52"/>
      <c r="O704" s="53"/>
    </row>
    <row r="705" ht="15.75" customHeight="1">
      <c r="A705" s="52"/>
      <c r="O705" s="53"/>
    </row>
    <row r="706" ht="15.75" customHeight="1">
      <c r="A706" s="52"/>
      <c r="O706" s="53"/>
    </row>
    <row r="707" ht="15.75" customHeight="1">
      <c r="A707" s="52"/>
      <c r="O707" s="53"/>
    </row>
    <row r="708" ht="15.75" customHeight="1">
      <c r="A708" s="52"/>
      <c r="O708" s="53"/>
    </row>
    <row r="709" ht="15.75" customHeight="1">
      <c r="A709" s="52"/>
      <c r="O709" s="53"/>
    </row>
    <row r="710" ht="15.75" customHeight="1">
      <c r="A710" s="52"/>
      <c r="O710" s="53"/>
    </row>
    <row r="711" ht="15.75" customHeight="1">
      <c r="A711" s="52"/>
      <c r="O711" s="53"/>
    </row>
    <row r="712" ht="15.75" customHeight="1">
      <c r="A712" s="52"/>
      <c r="O712" s="53"/>
    </row>
    <row r="713" ht="15.75" customHeight="1">
      <c r="A713" s="52"/>
      <c r="O713" s="53"/>
    </row>
    <row r="714" ht="15.75" customHeight="1">
      <c r="A714" s="52"/>
      <c r="O714" s="53"/>
    </row>
    <row r="715" ht="15.75" customHeight="1">
      <c r="A715" s="52"/>
      <c r="O715" s="53"/>
    </row>
    <row r="716" ht="15.75" customHeight="1">
      <c r="A716" s="52"/>
      <c r="O716" s="53"/>
    </row>
    <row r="717" ht="15.75" customHeight="1">
      <c r="A717" s="52"/>
      <c r="O717" s="53"/>
    </row>
    <row r="718" ht="15.75" customHeight="1">
      <c r="A718" s="52"/>
      <c r="O718" s="53"/>
    </row>
    <row r="719" ht="15.75" customHeight="1">
      <c r="A719" s="52"/>
      <c r="O719" s="53"/>
    </row>
    <row r="720" ht="15.75" customHeight="1">
      <c r="A720" s="52"/>
      <c r="O720" s="53"/>
    </row>
    <row r="721" ht="15.75" customHeight="1">
      <c r="A721" s="52"/>
      <c r="O721" s="53"/>
    </row>
    <row r="722" ht="15.75" customHeight="1">
      <c r="A722" s="52"/>
      <c r="O722" s="53"/>
    </row>
    <row r="723" ht="15.75" customHeight="1">
      <c r="A723" s="52"/>
      <c r="O723" s="53"/>
    </row>
    <row r="724" ht="15.75" customHeight="1">
      <c r="A724" s="52"/>
      <c r="O724" s="53"/>
    </row>
    <row r="725" ht="15.75" customHeight="1">
      <c r="A725" s="52"/>
      <c r="O725" s="53"/>
    </row>
    <row r="726" ht="15.75" customHeight="1">
      <c r="A726" s="52"/>
      <c r="O726" s="53"/>
    </row>
    <row r="727" ht="15.75" customHeight="1">
      <c r="A727" s="52"/>
      <c r="O727" s="53"/>
    </row>
    <row r="728" ht="15.75" customHeight="1">
      <c r="A728" s="52"/>
      <c r="O728" s="53"/>
    </row>
    <row r="729" ht="15.75" customHeight="1">
      <c r="A729" s="52"/>
      <c r="O729" s="53"/>
    </row>
    <row r="730" ht="15.75" customHeight="1">
      <c r="A730" s="52"/>
      <c r="O730" s="53"/>
    </row>
    <row r="731" ht="15.75" customHeight="1">
      <c r="A731" s="52"/>
      <c r="O731" s="53"/>
    </row>
    <row r="732" ht="15.75" customHeight="1">
      <c r="A732" s="52"/>
      <c r="O732" s="53"/>
    </row>
    <row r="733" ht="15.75" customHeight="1">
      <c r="A733" s="52"/>
      <c r="O733" s="53"/>
    </row>
    <row r="734" ht="15.75" customHeight="1">
      <c r="A734" s="52"/>
      <c r="O734" s="53"/>
    </row>
    <row r="735" ht="15.75" customHeight="1">
      <c r="A735" s="52"/>
      <c r="O735" s="53"/>
    </row>
    <row r="736" ht="15.75" customHeight="1">
      <c r="A736" s="52"/>
      <c r="O736" s="53"/>
    </row>
    <row r="737" ht="15.75" customHeight="1">
      <c r="A737" s="52"/>
      <c r="O737" s="53"/>
    </row>
    <row r="738" ht="15.75" customHeight="1">
      <c r="A738" s="52"/>
      <c r="O738" s="53"/>
    </row>
    <row r="739" ht="15.75" customHeight="1">
      <c r="A739" s="52"/>
      <c r="O739" s="53"/>
    </row>
    <row r="740" ht="15.75" customHeight="1">
      <c r="A740" s="52"/>
      <c r="O740" s="53"/>
    </row>
    <row r="741" ht="15.75" customHeight="1">
      <c r="A741" s="52"/>
      <c r="O741" s="53"/>
    </row>
    <row r="742" ht="15.75" customHeight="1">
      <c r="A742" s="52"/>
      <c r="O742" s="53"/>
    </row>
    <row r="743" ht="15.75" customHeight="1">
      <c r="A743" s="52"/>
      <c r="O743" s="53"/>
    </row>
    <row r="744" ht="15.75" customHeight="1">
      <c r="A744" s="52"/>
      <c r="O744" s="53"/>
    </row>
    <row r="745" ht="15.75" customHeight="1">
      <c r="A745" s="52"/>
      <c r="O745" s="53"/>
    </row>
    <row r="746" ht="15.75" customHeight="1">
      <c r="A746" s="52"/>
      <c r="O746" s="53"/>
    </row>
    <row r="747" ht="15.75" customHeight="1">
      <c r="A747" s="52"/>
      <c r="O747" s="53"/>
    </row>
    <row r="748" ht="15.75" customHeight="1">
      <c r="A748" s="52"/>
      <c r="O748" s="53"/>
    </row>
    <row r="749" ht="15.75" customHeight="1">
      <c r="A749" s="52"/>
      <c r="O749" s="53"/>
    </row>
    <row r="750" ht="15.75" customHeight="1">
      <c r="A750" s="52"/>
      <c r="O750" s="53"/>
    </row>
    <row r="751" ht="15.75" customHeight="1">
      <c r="A751" s="52"/>
      <c r="O751" s="53"/>
    </row>
    <row r="752" ht="15.75" customHeight="1">
      <c r="A752" s="52"/>
      <c r="O752" s="53"/>
    </row>
    <row r="753" ht="15.75" customHeight="1">
      <c r="A753" s="52"/>
      <c r="O753" s="53"/>
    </row>
    <row r="754" ht="15.75" customHeight="1">
      <c r="A754" s="52"/>
      <c r="O754" s="53"/>
    </row>
    <row r="755" ht="15.75" customHeight="1">
      <c r="A755" s="52"/>
      <c r="O755" s="53"/>
    </row>
    <row r="756" ht="15.75" customHeight="1">
      <c r="A756" s="52"/>
      <c r="O756" s="53"/>
    </row>
    <row r="757" ht="15.75" customHeight="1">
      <c r="A757" s="52"/>
      <c r="O757" s="53"/>
    </row>
    <row r="758" ht="15.75" customHeight="1">
      <c r="A758" s="52"/>
      <c r="O758" s="53"/>
    </row>
    <row r="759" ht="15.75" customHeight="1">
      <c r="A759" s="52"/>
      <c r="O759" s="53"/>
    </row>
    <row r="760" ht="15.75" customHeight="1">
      <c r="A760" s="52"/>
      <c r="O760" s="53"/>
    </row>
    <row r="761" ht="15.75" customHeight="1">
      <c r="A761" s="52"/>
      <c r="O761" s="53"/>
    </row>
    <row r="762" ht="15.75" customHeight="1">
      <c r="A762" s="52"/>
      <c r="O762" s="53"/>
    </row>
    <row r="763" ht="15.75" customHeight="1">
      <c r="A763" s="52"/>
      <c r="O763" s="53"/>
    </row>
    <row r="764" ht="15.75" customHeight="1">
      <c r="A764" s="52"/>
      <c r="O764" s="53"/>
    </row>
    <row r="765" ht="15.75" customHeight="1">
      <c r="A765" s="52"/>
      <c r="O765" s="53"/>
    </row>
    <row r="766" ht="15.75" customHeight="1">
      <c r="A766" s="52"/>
      <c r="O766" s="53"/>
    </row>
    <row r="767" ht="15.75" customHeight="1">
      <c r="A767" s="52"/>
      <c r="O767" s="53"/>
    </row>
    <row r="768" ht="15.75" customHeight="1">
      <c r="A768" s="52"/>
      <c r="O768" s="53"/>
    </row>
    <row r="769" ht="15.75" customHeight="1">
      <c r="A769" s="52"/>
      <c r="O769" s="53"/>
    </row>
    <row r="770" ht="15.75" customHeight="1">
      <c r="A770" s="52"/>
      <c r="O770" s="53"/>
    </row>
    <row r="771" ht="15.75" customHeight="1">
      <c r="A771" s="52"/>
      <c r="O771" s="53"/>
    </row>
    <row r="772" ht="15.75" customHeight="1">
      <c r="A772" s="52"/>
      <c r="O772" s="53"/>
    </row>
    <row r="773" ht="15.75" customHeight="1">
      <c r="A773" s="52"/>
      <c r="O773" s="53"/>
    </row>
    <row r="774" ht="15.75" customHeight="1">
      <c r="A774" s="52"/>
      <c r="O774" s="53"/>
    </row>
    <row r="775" ht="15.75" customHeight="1">
      <c r="A775" s="52"/>
      <c r="O775" s="53"/>
    </row>
    <row r="776" ht="15.75" customHeight="1">
      <c r="A776" s="52"/>
      <c r="O776" s="53"/>
    </row>
    <row r="777" ht="15.75" customHeight="1">
      <c r="A777" s="52"/>
      <c r="O777" s="53"/>
    </row>
    <row r="778" ht="15.75" customHeight="1">
      <c r="A778" s="52"/>
      <c r="O778" s="53"/>
    </row>
    <row r="779" ht="15.75" customHeight="1">
      <c r="A779" s="52"/>
      <c r="O779" s="53"/>
    </row>
    <row r="780" ht="15.75" customHeight="1">
      <c r="A780" s="52"/>
      <c r="O780" s="53"/>
    </row>
    <row r="781" ht="15.75" customHeight="1">
      <c r="A781" s="52"/>
      <c r="O781" s="53"/>
    </row>
    <row r="782" ht="15.75" customHeight="1">
      <c r="A782" s="52"/>
      <c r="O782" s="53"/>
    </row>
    <row r="783" ht="15.75" customHeight="1">
      <c r="A783" s="52"/>
      <c r="O783" s="53"/>
    </row>
    <row r="784" ht="15.75" customHeight="1">
      <c r="A784" s="52"/>
      <c r="O784" s="53"/>
    </row>
    <row r="785" ht="15.75" customHeight="1">
      <c r="A785" s="52"/>
      <c r="O785" s="53"/>
    </row>
    <row r="786" ht="15.75" customHeight="1">
      <c r="A786" s="52"/>
      <c r="O786" s="53"/>
    </row>
    <row r="787" ht="15.75" customHeight="1">
      <c r="A787" s="52"/>
      <c r="O787" s="53"/>
    </row>
    <row r="788" ht="15.75" customHeight="1">
      <c r="A788" s="52"/>
      <c r="O788" s="53"/>
    </row>
    <row r="789" ht="15.75" customHeight="1">
      <c r="A789" s="52"/>
      <c r="O789" s="53"/>
    </row>
    <row r="790" ht="15.75" customHeight="1">
      <c r="A790" s="52"/>
      <c r="O790" s="53"/>
    </row>
    <row r="791" ht="15.75" customHeight="1">
      <c r="A791" s="52"/>
      <c r="O791" s="53"/>
    </row>
    <row r="792" ht="15.75" customHeight="1">
      <c r="A792" s="52"/>
      <c r="O792" s="53"/>
    </row>
    <row r="793" ht="15.75" customHeight="1">
      <c r="A793" s="52"/>
      <c r="O793" s="53"/>
    </row>
    <row r="794" ht="15.75" customHeight="1">
      <c r="A794" s="52"/>
      <c r="O794" s="53"/>
    </row>
    <row r="795" ht="15.75" customHeight="1">
      <c r="A795" s="52"/>
      <c r="O795" s="53"/>
    </row>
    <row r="796" ht="15.75" customHeight="1">
      <c r="A796" s="52"/>
      <c r="O796" s="53"/>
    </row>
    <row r="797" ht="15.75" customHeight="1">
      <c r="A797" s="52"/>
      <c r="O797" s="53"/>
    </row>
    <row r="798" ht="15.75" customHeight="1">
      <c r="A798" s="52"/>
      <c r="O798" s="53"/>
    </row>
    <row r="799" ht="15.75" customHeight="1">
      <c r="A799" s="52"/>
      <c r="O799" s="53"/>
    </row>
    <row r="800" ht="15.75" customHeight="1">
      <c r="A800" s="52"/>
      <c r="O800" s="53"/>
    </row>
    <row r="801" ht="15.75" customHeight="1">
      <c r="A801" s="52"/>
      <c r="O801" s="53"/>
    </row>
    <row r="802" ht="15.75" customHeight="1">
      <c r="A802" s="52"/>
      <c r="O802" s="53"/>
    </row>
    <row r="803" ht="15.75" customHeight="1">
      <c r="A803" s="52"/>
      <c r="O803" s="53"/>
    </row>
    <row r="804" ht="15.75" customHeight="1">
      <c r="A804" s="52"/>
      <c r="O804" s="53"/>
    </row>
    <row r="805" ht="15.75" customHeight="1">
      <c r="A805" s="52"/>
      <c r="O805" s="53"/>
    </row>
    <row r="806" ht="15.75" customHeight="1">
      <c r="A806" s="52"/>
      <c r="O806" s="53"/>
    </row>
    <row r="807" ht="15.75" customHeight="1">
      <c r="A807" s="52"/>
      <c r="O807" s="53"/>
    </row>
    <row r="808" ht="15.75" customHeight="1">
      <c r="A808" s="52"/>
      <c r="O808" s="53"/>
    </row>
    <row r="809" ht="15.75" customHeight="1">
      <c r="A809" s="52"/>
      <c r="O809" s="53"/>
    </row>
    <row r="810" ht="15.75" customHeight="1">
      <c r="A810" s="52"/>
      <c r="O810" s="53"/>
    </row>
    <row r="811" ht="15.75" customHeight="1">
      <c r="A811" s="52"/>
      <c r="O811" s="53"/>
    </row>
    <row r="812" ht="15.75" customHeight="1">
      <c r="A812" s="52"/>
      <c r="O812" s="53"/>
    </row>
    <row r="813" ht="15.75" customHeight="1">
      <c r="A813" s="52"/>
      <c r="O813" s="53"/>
    </row>
    <row r="814" ht="15.75" customHeight="1">
      <c r="A814" s="52"/>
      <c r="O814" s="53"/>
    </row>
    <row r="815" ht="15.75" customHeight="1">
      <c r="A815" s="52"/>
      <c r="O815" s="53"/>
    </row>
    <row r="816" ht="15.75" customHeight="1">
      <c r="A816" s="52"/>
      <c r="O816" s="53"/>
    </row>
    <row r="817" ht="15.75" customHeight="1">
      <c r="A817" s="52"/>
      <c r="O817" s="53"/>
    </row>
    <row r="818" ht="15.75" customHeight="1">
      <c r="A818" s="52"/>
      <c r="O818" s="53"/>
    </row>
    <row r="819" ht="15.75" customHeight="1">
      <c r="A819" s="52"/>
      <c r="O819" s="53"/>
    </row>
    <row r="820" ht="15.75" customHeight="1">
      <c r="A820" s="52"/>
      <c r="O820" s="53"/>
    </row>
    <row r="821" ht="15.75" customHeight="1">
      <c r="A821" s="52"/>
      <c r="O821" s="53"/>
    </row>
    <row r="822" ht="15.75" customHeight="1">
      <c r="A822" s="52"/>
      <c r="O822" s="53"/>
    </row>
    <row r="823" ht="15.75" customHeight="1">
      <c r="A823" s="52"/>
      <c r="O823" s="53"/>
    </row>
    <row r="824" ht="15.75" customHeight="1">
      <c r="A824" s="52"/>
      <c r="O824" s="53"/>
    </row>
    <row r="825" ht="15.75" customHeight="1">
      <c r="A825" s="52"/>
      <c r="O825" s="53"/>
    </row>
    <row r="826" ht="15.75" customHeight="1">
      <c r="A826" s="52"/>
      <c r="O826" s="53"/>
    </row>
    <row r="827" ht="15.75" customHeight="1">
      <c r="A827" s="52"/>
      <c r="O827" s="53"/>
    </row>
    <row r="828" ht="15.75" customHeight="1">
      <c r="A828" s="52"/>
      <c r="O828" s="53"/>
    </row>
    <row r="829" ht="15.75" customHeight="1">
      <c r="A829" s="52"/>
      <c r="O829" s="53"/>
    </row>
    <row r="830" ht="15.75" customHeight="1">
      <c r="A830" s="52"/>
      <c r="O830" s="53"/>
    </row>
    <row r="831" ht="15.75" customHeight="1">
      <c r="A831" s="52"/>
      <c r="O831" s="53"/>
    </row>
    <row r="832" ht="15.75" customHeight="1">
      <c r="A832" s="52"/>
      <c r="O832" s="53"/>
    </row>
    <row r="833" ht="15.75" customHeight="1">
      <c r="A833" s="52"/>
      <c r="O833" s="53"/>
    </row>
    <row r="834" ht="15.75" customHeight="1">
      <c r="A834" s="52"/>
      <c r="O834" s="53"/>
    </row>
    <row r="835" ht="15.75" customHeight="1">
      <c r="A835" s="52"/>
      <c r="O835" s="53"/>
    </row>
    <row r="836" ht="15.75" customHeight="1">
      <c r="A836" s="52"/>
      <c r="O836" s="53"/>
    </row>
    <row r="837" ht="15.75" customHeight="1">
      <c r="A837" s="52"/>
      <c r="O837" s="53"/>
    </row>
    <row r="838" ht="15.75" customHeight="1">
      <c r="A838" s="52"/>
      <c r="O838" s="53"/>
    </row>
    <row r="839" ht="15.75" customHeight="1">
      <c r="A839" s="52"/>
      <c r="O839" s="53"/>
    </row>
    <row r="840" ht="15.75" customHeight="1">
      <c r="A840" s="52"/>
      <c r="O840" s="53"/>
    </row>
    <row r="841" ht="15.75" customHeight="1">
      <c r="A841" s="52"/>
      <c r="O841" s="53"/>
    </row>
    <row r="842" ht="15.75" customHeight="1">
      <c r="A842" s="52"/>
      <c r="O842" s="53"/>
    </row>
    <row r="843" ht="15.75" customHeight="1">
      <c r="A843" s="52"/>
      <c r="O843" s="53"/>
    </row>
    <row r="844" ht="15.75" customHeight="1">
      <c r="A844" s="52"/>
      <c r="O844" s="53"/>
    </row>
    <row r="845" ht="15.75" customHeight="1">
      <c r="A845" s="52"/>
      <c r="O845" s="53"/>
    </row>
    <row r="846" ht="15.75" customHeight="1">
      <c r="A846" s="52"/>
      <c r="O846" s="53"/>
    </row>
    <row r="847" ht="15.75" customHeight="1">
      <c r="A847" s="52"/>
      <c r="O847" s="53"/>
    </row>
    <row r="848" ht="15.75" customHeight="1">
      <c r="A848" s="52"/>
      <c r="O848" s="53"/>
    </row>
    <row r="849" ht="15.75" customHeight="1">
      <c r="A849" s="52"/>
      <c r="O849" s="53"/>
    </row>
    <row r="850" ht="15.75" customHeight="1">
      <c r="A850" s="52"/>
      <c r="O850" s="53"/>
    </row>
    <row r="851" ht="15.75" customHeight="1">
      <c r="A851" s="52"/>
      <c r="O851" s="53"/>
    </row>
    <row r="852" ht="15.75" customHeight="1">
      <c r="A852" s="52"/>
      <c r="O852" s="53"/>
    </row>
    <row r="853" ht="15.75" customHeight="1">
      <c r="A853" s="52"/>
      <c r="O853" s="53"/>
    </row>
    <row r="854" ht="15.75" customHeight="1">
      <c r="A854" s="52"/>
      <c r="O854" s="53"/>
    </row>
    <row r="855" ht="15.75" customHeight="1">
      <c r="A855" s="52"/>
      <c r="O855" s="53"/>
    </row>
    <row r="856" ht="15.75" customHeight="1">
      <c r="A856" s="52"/>
      <c r="O856" s="53"/>
    </row>
    <row r="857" ht="15.75" customHeight="1">
      <c r="A857" s="52"/>
      <c r="O857" s="53"/>
    </row>
    <row r="858" ht="15.75" customHeight="1">
      <c r="A858" s="52"/>
      <c r="O858" s="53"/>
    </row>
    <row r="859" ht="15.75" customHeight="1">
      <c r="A859" s="52"/>
      <c r="O859" s="53"/>
    </row>
    <row r="860" ht="15.75" customHeight="1">
      <c r="A860" s="52"/>
      <c r="O860" s="53"/>
    </row>
    <row r="861" ht="15.75" customHeight="1">
      <c r="A861" s="52"/>
      <c r="O861" s="53"/>
    </row>
    <row r="862" ht="15.75" customHeight="1">
      <c r="A862" s="52"/>
      <c r="O862" s="53"/>
    </row>
    <row r="863" ht="15.75" customHeight="1">
      <c r="A863" s="52"/>
      <c r="O863" s="53"/>
    </row>
    <row r="864" ht="15.75" customHeight="1">
      <c r="A864" s="52"/>
      <c r="O864" s="53"/>
    </row>
    <row r="865" ht="15.75" customHeight="1">
      <c r="A865" s="52"/>
      <c r="O865" s="53"/>
    </row>
    <row r="866" ht="15.75" customHeight="1">
      <c r="A866" s="52"/>
      <c r="O866" s="53"/>
    </row>
    <row r="867" ht="15.75" customHeight="1">
      <c r="A867" s="52"/>
      <c r="O867" s="53"/>
    </row>
    <row r="868" ht="15.75" customHeight="1">
      <c r="A868" s="52"/>
      <c r="O868" s="53"/>
    </row>
    <row r="869" ht="15.75" customHeight="1">
      <c r="A869" s="52"/>
      <c r="O869" s="53"/>
    </row>
    <row r="870" ht="15.75" customHeight="1">
      <c r="A870" s="52"/>
      <c r="O870" s="53"/>
    </row>
    <row r="871" ht="15.75" customHeight="1">
      <c r="A871" s="52"/>
      <c r="O871" s="53"/>
    </row>
    <row r="872" ht="15.75" customHeight="1">
      <c r="A872" s="52"/>
      <c r="O872" s="53"/>
    </row>
    <row r="873" ht="15.75" customHeight="1">
      <c r="A873" s="52"/>
      <c r="O873" s="53"/>
    </row>
    <row r="874" ht="15.75" customHeight="1">
      <c r="A874" s="52"/>
      <c r="O874" s="53"/>
    </row>
    <row r="875" ht="15.75" customHeight="1">
      <c r="A875" s="52"/>
      <c r="O875" s="53"/>
    </row>
    <row r="876" ht="15.75" customHeight="1">
      <c r="A876" s="52"/>
      <c r="O876" s="53"/>
    </row>
    <row r="877" ht="15.75" customHeight="1">
      <c r="A877" s="52"/>
      <c r="O877" s="53"/>
    </row>
    <row r="878" ht="15.75" customHeight="1">
      <c r="A878" s="52"/>
      <c r="O878" s="53"/>
    </row>
    <row r="879" ht="15.75" customHeight="1">
      <c r="A879" s="52"/>
      <c r="O879" s="53"/>
    </row>
    <row r="880" ht="15.75" customHeight="1">
      <c r="A880" s="52"/>
      <c r="O880" s="53"/>
    </row>
    <row r="881" ht="15.75" customHeight="1">
      <c r="A881" s="52"/>
      <c r="O881" s="53"/>
    </row>
    <row r="882" ht="15.75" customHeight="1">
      <c r="A882" s="52"/>
      <c r="O882" s="53"/>
    </row>
    <row r="883" ht="15.75" customHeight="1">
      <c r="A883" s="52"/>
      <c r="O883" s="53"/>
    </row>
    <row r="884" ht="15.75" customHeight="1">
      <c r="A884" s="52"/>
      <c r="O884" s="53"/>
    </row>
    <row r="885" ht="15.75" customHeight="1">
      <c r="A885" s="52"/>
      <c r="O885" s="53"/>
    </row>
    <row r="886" ht="15.75" customHeight="1">
      <c r="A886" s="52"/>
      <c r="O886" s="53"/>
    </row>
    <row r="887" ht="15.75" customHeight="1">
      <c r="A887" s="52"/>
      <c r="O887" s="53"/>
    </row>
    <row r="888" ht="15.75" customHeight="1">
      <c r="A888" s="52"/>
      <c r="O888" s="53"/>
    </row>
    <row r="889" ht="15.75" customHeight="1">
      <c r="A889" s="52"/>
      <c r="O889" s="53"/>
    </row>
    <row r="890" ht="15.75" customHeight="1">
      <c r="A890" s="52"/>
      <c r="O890" s="53"/>
    </row>
    <row r="891" ht="15.75" customHeight="1">
      <c r="A891" s="52"/>
      <c r="O891" s="53"/>
    </row>
    <row r="892" ht="15.75" customHeight="1">
      <c r="A892" s="52"/>
      <c r="O892" s="53"/>
    </row>
    <row r="893" ht="15.75" customHeight="1">
      <c r="A893" s="52"/>
      <c r="O893" s="53"/>
    </row>
    <row r="894" ht="15.75" customHeight="1">
      <c r="A894" s="52"/>
      <c r="O894" s="53"/>
    </row>
    <row r="895" ht="15.75" customHeight="1">
      <c r="A895" s="52"/>
      <c r="O895" s="53"/>
    </row>
    <row r="896" ht="15.75" customHeight="1">
      <c r="A896" s="52"/>
      <c r="O896" s="53"/>
    </row>
    <row r="897" ht="15.75" customHeight="1">
      <c r="A897" s="52"/>
      <c r="O897" s="53"/>
    </row>
    <row r="898" ht="15.75" customHeight="1">
      <c r="A898" s="52"/>
      <c r="O898" s="53"/>
    </row>
    <row r="899" ht="15.75" customHeight="1">
      <c r="A899" s="52"/>
      <c r="O899" s="53"/>
    </row>
    <row r="900" ht="15.75" customHeight="1">
      <c r="A900" s="52"/>
      <c r="O900" s="53"/>
    </row>
    <row r="901" ht="15.75" customHeight="1">
      <c r="A901" s="52"/>
      <c r="O901" s="53"/>
    </row>
    <row r="902" ht="15.75" customHeight="1">
      <c r="A902" s="52"/>
      <c r="O902" s="53"/>
    </row>
    <row r="903" ht="15.75" customHeight="1">
      <c r="A903" s="52"/>
      <c r="O903" s="53"/>
    </row>
    <row r="904" ht="15.75" customHeight="1">
      <c r="A904" s="52"/>
      <c r="O904" s="53"/>
    </row>
    <row r="905" ht="15.75" customHeight="1">
      <c r="A905" s="52"/>
      <c r="O905" s="53"/>
    </row>
    <row r="906" ht="15.75" customHeight="1">
      <c r="A906" s="52"/>
      <c r="O906" s="53"/>
    </row>
    <row r="907" ht="15.75" customHeight="1">
      <c r="A907" s="52"/>
      <c r="O907" s="53"/>
    </row>
    <row r="908" ht="15.75" customHeight="1">
      <c r="A908" s="52"/>
      <c r="O908" s="53"/>
    </row>
    <row r="909" ht="15.75" customHeight="1">
      <c r="A909" s="52"/>
      <c r="O909" s="53"/>
    </row>
    <row r="910" ht="15.75" customHeight="1">
      <c r="A910" s="52"/>
      <c r="O910" s="53"/>
    </row>
    <row r="911" ht="15.75" customHeight="1">
      <c r="A911" s="52"/>
      <c r="O911" s="53"/>
    </row>
    <row r="912" ht="15.75" customHeight="1">
      <c r="A912" s="52"/>
      <c r="O912" s="53"/>
    </row>
    <row r="913" ht="15.75" customHeight="1">
      <c r="A913" s="52"/>
      <c r="O913" s="53"/>
    </row>
    <row r="914" ht="15.75" customHeight="1">
      <c r="A914" s="52"/>
      <c r="O914" s="53"/>
    </row>
    <row r="915" ht="15.75" customHeight="1">
      <c r="A915" s="52"/>
      <c r="O915" s="53"/>
    </row>
    <row r="916" ht="15.75" customHeight="1">
      <c r="A916" s="52"/>
      <c r="O916" s="53"/>
    </row>
    <row r="917" ht="15.75" customHeight="1">
      <c r="A917" s="52"/>
      <c r="O917" s="53"/>
    </row>
    <row r="918" ht="15.75" customHeight="1">
      <c r="A918" s="52"/>
      <c r="O918" s="53"/>
    </row>
    <row r="919" ht="15.75" customHeight="1">
      <c r="A919" s="52"/>
      <c r="O919" s="53"/>
    </row>
    <row r="920" ht="15.75" customHeight="1">
      <c r="A920" s="52"/>
      <c r="O920" s="53"/>
    </row>
    <row r="921" ht="15.75" customHeight="1">
      <c r="A921" s="52"/>
      <c r="O921" s="53"/>
    </row>
    <row r="922" ht="15.75" customHeight="1">
      <c r="A922" s="52"/>
      <c r="O922" s="53"/>
    </row>
    <row r="923" ht="15.75" customHeight="1">
      <c r="A923" s="52"/>
      <c r="O923" s="53"/>
    </row>
    <row r="924" ht="15.75" customHeight="1">
      <c r="A924" s="52"/>
      <c r="O924" s="53"/>
    </row>
    <row r="925" ht="15.75" customHeight="1">
      <c r="A925" s="52"/>
      <c r="O925" s="53"/>
    </row>
    <row r="926" ht="15.75" customHeight="1">
      <c r="A926" s="52"/>
      <c r="O926" s="53"/>
    </row>
    <row r="927" ht="15.75" customHeight="1">
      <c r="A927" s="52"/>
      <c r="O927" s="53"/>
    </row>
    <row r="928" ht="15.75" customHeight="1">
      <c r="A928" s="52"/>
      <c r="O928" s="53"/>
    </row>
    <row r="929" ht="15.75" customHeight="1">
      <c r="A929" s="52"/>
      <c r="O929" s="53"/>
    </row>
    <row r="930" ht="15.75" customHeight="1">
      <c r="A930" s="52"/>
      <c r="O930" s="53"/>
    </row>
    <row r="931" ht="15.75" customHeight="1">
      <c r="A931" s="52"/>
      <c r="O931" s="53"/>
    </row>
    <row r="932" ht="15.75" customHeight="1">
      <c r="A932" s="52"/>
      <c r="O932" s="53"/>
    </row>
    <row r="933" ht="15.75" customHeight="1">
      <c r="A933" s="52"/>
      <c r="O933" s="53"/>
    </row>
    <row r="934" ht="15.75" customHeight="1">
      <c r="A934" s="52"/>
      <c r="O934" s="53"/>
    </row>
    <row r="935" ht="15.75" customHeight="1">
      <c r="A935" s="52"/>
      <c r="O935" s="53"/>
    </row>
    <row r="936" ht="15.75" customHeight="1">
      <c r="A936" s="52"/>
      <c r="O936" s="53"/>
    </row>
    <row r="937" ht="15.75" customHeight="1">
      <c r="A937" s="52"/>
      <c r="O937" s="53"/>
    </row>
    <row r="938" ht="15.75" customHeight="1">
      <c r="A938" s="52"/>
      <c r="O938" s="53"/>
    </row>
    <row r="939" ht="15.75" customHeight="1">
      <c r="A939" s="52"/>
      <c r="O939" s="53"/>
    </row>
    <row r="940" ht="15.75" customHeight="1">
      <c r="A940" s="52"/>
      <c r="O940" s="53"/>
    </row>
    <row r="941" ht="15.75" customHeight="1">
      <c r="A941" s="52"/>
      <c r="O941" s="53"/>
    </row>
    <row r="942" ht="15.75" customHeight="1">
      <c r="A942" s="52"/>
      <c r="O942" s="53"/>
    </row>
    <row r="943" ht="15.75" customHeight="1">
      <c r="A943" s="52"/>
      <c r="O943" s="53"/>
    </row>
    <row r="944" ht="15.75" customHeight="1">
      <c r="A944" s="52"/>
      <c r="O944" s="53"/>
    </row>
    <row r="945" ht="15.75" customHeight="1">
      <c r="A945" s="52"/>
      <c r="O945" s="53"/>
    </row>
    <row r="946" ht="15.75" customHeight="1">
      <c r="A946" s="52"/>
      <c r="O946" s="53"/>
    </row>
    <row r="947" ht="15.75" customHeight="1">
      <c r="A947" s="52"/>
      <c r="O947" s="53"/>
    </row>
    <row r="948" ht="15.75" customHeight="1">
      <c r="A948" s="52"/>
      <c r="O948" s="53"/>
    </row>
    <row r="949" ht="15.75" customHeight="1">
      <c r="A949" s="52"/>
      <c r="O949" s="53"/>
    </row>
    <row r="950" ht="15.75" customHeight="1">
      <c r="A950" s="52"/>
      <c r="O950" s="53"/>
    </row>
    <row r="951" ht="15.75" customHeight="1">
      <c r="A951" s="52"/>
      <c r="O951" s="53"/>
    </row>
    <row r="952" ht="15.75" customHeight="1">
      <c r="A952" s="52"/>
      <c r="O952" s="53"/>
    </row>
    <row r="953" ht="15.75" customHeight="1">
      <c r="A953" s="52"/>
      <c r="O953" s="53"/>
    </row>
    <row r="954" ht="15.75" customHeight="1">
      <c r="A954" s="52"/>
      <c r="O954" s="53"/>
    </row>
    <row r="955" ht="15.75" customHeight="1">
      <c r="A955" s="52"/>
      <c r="O955" s="53"/>
    </row>
    <row r="956" ht="15.75" customHeight="1">
      <c r="A956" s="52"/>
      <c r="O956" s="53"/>
    </row>
    <row r="957" ht="15.75" customHeight="1">
      <c r="A957" s="52"/>
      <c r="O957" s="53"/>
    </row>
    <row r="958" ht="15.75" customHeight="1">
      <c r="A958" s="52"/>
      <c r="O958" s="53"/>
    </row>
    <row r="959" ht="15.75" customHeight="1">
      <c r="A959" s="52"/>
      <c r="O959" s="53"/>
    </row>
    <row r="960" ht="15.75" customHeight="1">
      <c r="A960" s="52"/>
      <c r="O960" s="53"/>
    </row>
    <row r="961" ht="15.75" customHeight="1">
      <c r="A961" s="52"/>
      <c r="O961" s="53"/>
    </row>
    <row r="962" ht="15.75" customHeight="1">
      <c r="A962" s="52"/>
      <c r="O962" s="53"/>
    </row>
    <row r="963" ht="15.75" customHeight="1">
      <c r="A963" s="52"/>
      <c r="O963" s="53"/>
    </row>
    <row r="964" ht="15.75" customHeight="1">
      <c r="A964" s="52"/>
      <c r="O964" s="53"/>
    </row>
    <row r="965" ht="15.75" customHeight="1">
      <c r="A965" s="52"/>
      <c r="O965" s="53"/>
    </row>
    <row r="966" ht="15.75" customHeight="1">
      <c r="A966" s="52"/>
      <c r="O966" s="53"/>
    </row>
    <row r="967" ht="15.75" customHeight="1">
      <c r="A967" s="52"/>
      <c r="O967" s="53"/>
    </row>
    <row r="968" ht="15.75" customHeight="1">
      <c r="A968" s="52"/>
      <c r="O968" s="53"/>
    </row>
    <row r="969" ht="15.75" customHeight="1">
      <c r="A969" s="52"/>
      <c r="O969" s="53"/>
    </row>
    <row r="970" ht="15.75" customHeight="1">
      <c r="A970" s="52"/>
      <c r="O970" s="53"/>
    </row>
    <row r="971" ht="15.75" customHeight="1">
      <c r="A971" s="52"/>
      <c r="O971" s="53"/>
    </row>
    <row r="972" ht="15.75" customHeight="1">
      <c r="A972" s="52"/>
      <c r="O972" s="53"/>
    </row>
    <row r="973" ht="15.75" customHeight="1">
      <c r="A973" s="52"/>
      <c r="O973" s="53"/>
    </row>
    <row r="974" ht="15.75" customHeight="1">
      <c r="A974" s="52"/>
      <c r="O974" s="53"/>
    </row>
    <row r="975" ht="15.75" customHeight="1">
      <c r="A975" s="52"/>
      <c r="O975" s="53"/>
    </row>
    <row r="976" ht="15.75" customHeight="1">
      <c r="A976" s="52"/>
      <c r="O976" s="53"/>
    </row>
    <row r="977" ht="15.75" customHeight="1">
      <c r="A977" s="52"/>
      <c r="O977" s="53"/>
    </row>
    <row r="978" ht="15.75" customHeight="1">
      <c r="A978" s="52"/>
      <c r="O978" s="53"/>
    </row>
    <row r="979" ht="15.75" customHeight="1">
      <c r="A979" s="52"/>
      <c r="O979" s="53"/>
    </row>
    <row r="980" ht="15.75" customHeight="1">
      <c r="A980" s="52"/>
      <c r="O980" s="53"/>
    </row>
    <row r="981" ht="15.75" customHeight="1">
      <c r="A981" s="52"/>
      <c r="O981" s="53"/>
    </row>
    <row r="982" ht="15.75" customHeight="1">
      <c r="A982" s="52"/>
      <c r="O982" s="53"/>
    </row>
    <row r="983" ht="15.75" customHeight="1">
      <c r="A983" s="52"/>
      <c r="O983" s="53"/>
    </row>
    <row r="984" ht="15.75" customHeight="1">
      <c r="A984" s="52"/>
      <c r="O984" s="53"/>
    </row>
    <row r="985" ht="15.75" customHeight="1">
      <c r="A985" s="52"/>
      <c r="O985" s="53"/>
    </row>
    <row r="986" ht="15.75" customHeight="1">
      <c r="A986" s="52"/>
      <c r="O986" s="53"/>
    </row>
    <row r="987" ht="15.75" customHeight="1">
      <c r="A987" s="52"/>
      <c r="O987" s="53"/>
    </row>
    <row r="988" ht="15.75" customHeight="1">
      <c r="A988" s="52"/>
      <c r="O988" s="53"/>
    </row>
    <row r="989" ht="15.75" customHeight="1">
      <c r="A989" s="52"/>
      <c r="O989" s="53"/>
    </row>
    <row r="990" ht="15.75" customHeight="1">
      <c r="A990" s="52"/>
      <c r="O990" s="53"/>
    </row>
    <row r="991" ht="15.75" customHeight="1">
      <c r="A991" s="52"/>
      <c r="O991" s="53"/>
    </row>
    <row r="992" ht="15.75" customHeight="1">
      <c r="A992" s="52"/>
      <c r="O992" s="53"/>
    </row>
    <row r="993" ht="15.75" customHeight="1">
      <c r="A993" s="52"/>
      <c r="O993" s="53"/>
    </row>
    <row r="994" ht="15.75" customHeight="1">
      <c r="A994" s="52"/>
      <c r="O994" s="53"/>
    </row>
    <row r="995" ht="15.75" customHeight="1">
      <c r="A995" s="52"/>
      <c r="O995" s="53"/>
    </row>
    <row r="996" ht="15.75" customHeight="1">
      <c r="A996" s="52"/>
      <c r="O996" s="53"/>
    </row>
    <row r="997" ht="15.75" customHeight="1">
      <c r="A997" s="52"/>
      <c r="O997" s="53"/>
    </row>
    <row r="998" ht="15.75" customHeight="1">
      <c r="A998" s="52"/>
      <c r="O998" s="53"/>
    </row>
    <row r="999" ht="15.75" customHeight="1">
      <c r="A999" s="52"/>
      <c r="O999" s="53"/>
    </row>
    <row r="1000" ht="15.75" customHeight="1">
      <c r="A1000" s="52"/>
      <c r="O1000" s="53"/>
    </row>
  </sheetData>
  <mergeCells count="1">
    <mergeCell ref="A1:A16"/>
  </mergeCells>
  <conditionalFormatting sqref="F2:O16">
    <cfRule type="cellIs" dxfId="1" priority="1" operator="equal">
      <formula>"A"</formula>
    </cfRule>
  </conditionalFormatting>
  <conditionalFormatting sqref="R7:T15">
    <cfRule type="expression" dxfId="1" priority="2">
      <formula>$I7:$I32="Fail"</formula>
    </cfRule>
  </conditionalFormatting>
  <conditionalFormatting sqref="R6:T6">
    <cfRule type="expression" dxfId="1" priority="3">
      <formula>$I6:$I31="Fail"</formula>
    </cfRule>
  </conditionalFormatting>
  <conditionalFormatting sqref="R4:T5">
    <cfRule type="expression" dxfId="1" priority="4">
      <formula>$I4:$I29="Fail"</formula>
    </cfRule>
  </conditionalFormatting>
  <conditionalFormatting sqref="R2:T3">
    <cfRule type="expression" dxfId="1" priority="5">
      <formula>$I2:$I27="Fail"</formula>
    </cfRule>
  </conditionalFormatting>
  <conditionalFormatting sqref="F2:O16">
    <cfRule type="cellIs" dxfId="4" priority="6" operator="equal">
      <formula>"P"</formula>
    </cfRule>
  </conditionalFormatting>
  <conditionalFormatting sqref="U1:U1000">
    <cfRule type="colorScale" priority="7">
      <colorScale>
        <cfvo type="percent" val="0"/>
        <cfvo type="percent" val="50"/>
        <cfvo type="percent" val="100"/>
        <color rgb="FFCC0000"/>
        <color rgb="FFFFF2CC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5.75"/>
    <col customWidth="1" min="3" max="3" width="21.63"/>
    <col customWidth="1" min="4" max="4" width="25.5"/>
    <col customWidth="1" min="5" max="5" width="15.75"/>
    <col customWidth="1" min="6" max="6" width="13.13"/>
    <col customWidth="1" min="7" max="7" width="24.63"/>
    <col customWidth="1" min="8" max="25" width="7.63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3" t="s">
        <v>84</v>
      </c>
      <c r="F1" s="3" t="s">
        <v>85</v>
      </c>
      <c r="G1" s="3" t="s">
        <v>56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tr">
        <f>StudendEnroll!A2</f>
        <v>John</v>
      </c>
      <c r="B2" s="2" t="str">
        <f>StudendEnroll!B2</f>
        <v>Makaron</v>
      </c>
      <c r="C2" s="2" t="str">
        <f>StudendEnroll!C2</f>
        <v>JohnMakaron@gmail.com</v>
      </c>
      <c r="D2" s="2" t="str">
        <f>StudendEnroll!D2</f>
        <v>Physics1</v>
      </c>
      <c r="E2" s="8">
        <f t="array" ref="E2:G2">XLOOKUP(C2,Physics1.DailyAttendance!$D$2:$D$12,Physics1.DailyAttendance!$R$2:$T$12)</f>
        <v>85</v>
      </c>
      <c r="F2" s="2">
        <v>87.0</v>
      </c>
      <c r="G2" s="2" t="s">
        <v>65</v>
      </c>
    </row>
    <row r="3">
      <c r="A3" s="2" t="str">
        <f>StudendEnroll!A3</f>
        <v>Elvis</v>
      </c>
      <c r="B3" s="2" t="str">
        <f>StudendEnroll!B3</f>
        <v>Bond</v>
      </c>
      <c r="C3" s="2" t="str">
        <f>StudendEnroll!C3</f>
        <v>ElvisBond@gmail.com</v>
      </c>
      <c r="D3" s="2" t="str">
        <f>StudendEnroll!D3</f>
        <v>Maths1</v>
      </c>
      <c r="E3" s="2">
        <f t="array" ref="E3:G3">XLOOKUP(C3,Maths1.DailyAttendance!$D$2:$D$16,Maths1.DailyAttendance!$R$2:$T$16)</f>
        <v>96</v>
      </c>
      <c r="F3" s="2">
        <v>88.0</v>
      </c>
      <c r="G3" s="2" t="s">
        <v>65</v>
      </c>
    </row>
    <row r="4">
      <c r="A4" s="2" t="str">
        <f>StudendEnroll!A4</f>
        <v>Mary</v>
      </c>
      <c r="B4" s="2" t="str">
        <f>StudendEnroll!B4</f>
        <v>Gas</v>
      </c>
      <c r="C4" s="2" t="str">
        <f>StudendEnroll!C4</f>
        <v>MaryGas@gmail.com</v>
      </c>
      <c r="D4" s="2" t="str">
        <f>StudendEnroll!D4</f>
        <v>Maths1</v>
      </c>
      <c r="E4" s="2">
        <f t="array" ref="E4:G4">XLOOKUP(C4,Maths1.DailyAttendance!$D$2:$D$16,Maths1.DailyAttendance!$R$2:$T$16)</f>
        <v>55</v>
      </c>
      <c r="F4" s="2">
        <v>66.0</v>
      </c>
      <c r="G4" s="2" t="s">
        <v>89</v>
      </c>
    </row>
    <row r="5">
      <c r="A5" s="2" t="str">
        <f>StudendEnroll!A5</f>
        <v>Olivia</v>
      </c>
      <c r="B5" s="2" t="str">
        <f>StudendEnroll!B5</f>
        <v>Matt</v>
      </c>
      <c r="C5" s="2" t="str">
        <f>StudendEnroll!C5</f>
        <v>OliviaMatt@gmail.com</v>
      </c>
      <c r="D5" s="2" t="str">
        <f>StudendEnroll!D5</f>
        <v>Physics1</v>
      </c>
      <c r="E5" s="8">
        <f t="array" ref="E5:G5">XLOOKUP(C5,Physics1.DailyAttendance!$D$2:$D$12,Physics1.DailyAttendance!$R$2:$T$12)</f>
        <v>88</v>
      </c>
      <c r="F5" s="2">
        <v>75.0</v>
      </c>
      <c r="G5" s="2" t="s">
        <v>65</v>
      </c>
    </row>
    <row r="6">
      <c r="A6" s="2" t="str">
        <f>StudendEnroll!A6</f>
        <v>Robert</v>
      </c>
      <c r="B6" s="2" t="str">
        <f>StudendEnroll!B6</f>
        <v>Hus</v>
      </c>
      <c r="C6" s="2" t="str">
        <f>StudendEnroll!C6</f>
        <v>RobertHus@gmail.com</v>
      </c>
      <c r="D6" s="2" t="str">
        <f>StudendEnroll!D6</f>
        <v>Maths1</v>
      </c>
      <c r="E6" s="2">
        <f t="array" ref="E6:G6">XLOOKUP(C6,Maths1.DailyAttendance!$D$2:$D$16,Maths1.DailyAttendance!$R$2:$T$16)</f>
        <v>81</v>
      </c>
      <c r="F6" s="2">
        <v>99.0</v>
      </c>
      <c r="G6" s="2" t="s">
        <v>65</v>
      </c>
    </row>
    <row r="7">
      <c r="A7" s="2" t="str">
        <f>StudendEnroll!A7</f>
        <v>Omar</v>
      </c>
      <c r="B7" s="2" t="str">
        <f>StudendEnroll!B7</f>
        <v>Kasim</v>
      </c>
      <c r="C7" s="2" t="str">
        <f>StudendEnroll!C7</f>
        <v>OmarKasim@gmail.com</v>
      </c>
      <c r="D7" s="2" t="str">
        <f>StudendEnroll!D7</f>
        <v>Maths1</v>
      </c>
      <c r="E7" s="2">
        <f t="array" ref="E7:G7">XLOOKUP(C7,Maths1.DailyAttendance!$D$2:$D$16,Maths1.DailyAttendance!$R$2:$T$16)</f>
        <v>77</v>
      </c>
      <c r="F7" s="2">
        <v>87.0</v>
      </c>
      <c r="G7" s="2" t="s">
        <v>65</v>
      </c>
    </row>
    <row r="8">
      <c r="A8" s="2" t="str">
        <f>StudendEnroll!A8</f>
        <v>Diana</v>
      </c>
      <c r="B8" s="2" t="str">
        <f>StudendEnroll!B8</f>
        <v>Pinto</v>
      </c>
      <c r="C8" s="2" t="str">
        <f>StudendEnroll!C8</f>
        <v>DianaPinto@gmail.com</v>
      </c>
      <c r="D8" s="2" t="str">
        <f>StudendEnroll!D8</f>
        <v>Physics1</v>
      </c>
      <c r="E8" s="8">
        <f t="array" ref="E8:G8">XLOOKUP(C8,Physics1.DailyAttendance!$D$2:$D$12,Physics1.DailyAttendance!$R$2:$T$12)</f>
        <v>69</v>
      </c>
      <c r="F8" s="2">
        <v>33.0</v>
      </c>
      <c r="G8" s="2" t="s">
        <v>65</v>
      </c>
    </row>
    <row r="9">
      <c r="A9" s="2" t="str">
        <f>StudendEnroll!A9</f>
        <v>Denis</v>
      </c>
      <c r="B9" s="2" t="str">
        <f>StudendEnroll!B9</f>
        <v>Rodman</v>
      </c>
      <c r="C9" s="2" t="str">
        <f>StudendEnroll!C9</f>
        <v>DenisRodman@gmail.com</v>
      </c>
      <c r="D9" s="2" t="str">
        <f>StudendEnroll!D9</f>
        <v>Maths1</v>
      </c>
      <c r="E9" s="2">
        <f t="array" ref="E9:G9">XLOOKUP(C9,Maths1.DailyAttendance!$D$2:$D$16,Maths1.DailyAttendance!$R$2:$T$16)</f>
        <v>80</v>
      </c>
      <c r="F9" s="2">
        <v>78.0</v>
      </c>
      <c r="G9" s="2" t="s">
        <v>65</v>
      </c>
    </row>
    <row r="10">
      <c r="A10" s="2" t="str">
        <f>StudendEnroll!A10</f>
        <v>Kate</v>
      </c>
      <c r="B10" s="2" t="str">
        <f>StudendEnroll!B10</f>
        <v>Potter</v>
      </c>
      <c r="C10" s="2" t="str">
        <f>StudendEnroll!C10</f>
        <v>KatePotter@gmail.com</v>
      </c>
      <c r="D10" s="2" t="str">
        <f>StudendEnroll!D10</f>
        <v>Physics1</v>
      </c>
      <c r="E10" s="8">
        <f t="array" ref="E10:G10">XLOOKUP(C10,Physics1.DailyAttendance!$D$2:$D$12,Physics1.DailyAttendance!$R$2:$T$12)</f>
        <v>100</v>
      </c>
      <c r="F10" s="2">
        <v>84.0</v>
      </c>
      <c r="G10" s="8" t="s">
        <v>65</v>
      </c>
    </row>
    <row r="11">
      <c r="A11" s="2" t="str">
        <f>StudendEnroll!A11</f>
        <v>Manny</v>
      </c>
      <c r="B11" s="2" t="str">
        <f>StudendEnroll!B11</f>
        <v>Pac</v>
      </c>
      <c r="C11" s="2" t="str">
        <f>StudendEnroll!C11</f>
        <v>MannyPac@gmail.com</v>
      </c>
      <c r="D11" s="2" t="str">
        <f>StudendEnroll!D11</f>
        <v>Physics1</v>
      </c>
      <c r="E11" s="8">
        <f t="array" ref="E11:G11">XLOOKUP(C11,Physics1.DailyAttendance!$D$2:$D$12,Physics1.DailyAttendance!$R$2:$T$12)</f>
        <v>70</v>
      </c>
      <c r="F11" s="2">
        <v>79.0</v>
      </c>
      <c r="G11" s="2" t="s">
        <v>65</v>
      </c>
    </row>
    <row r="12">
      <c r="A12" s="2" t="str">
        <f>StudendEnroll!A12</f>
        <v>Katy</v>
      </c>
      <c r="B12" s="2" t="str">
        <f>StudendEnroll!B12</f>
        <v>Perri</v>
      </c>
      <c r="C12" s="2" t="str">
        <f>StudendEnroll!C12</f>
        <v>KatyPerri@gmail.com</v>
      </c>
      <c r="D12" s="2" t="str">
        <f>StudendEnroll!D12</f>
        <v>Physics1</v>
      </c>
      <c r="E12" s="8">
        <f t="array" ref="E12:G12">XLOOKUP(C12,Physics1.DailyAttendance!$D$2:$D$12,Physics1.DailyAttendance!$R$2:$T$12)</f>
        <v>43</v>
      </c>
      <c r="F12" s="2">
        <v>100.0</v>
      </c>
      <c r="G12" s="2" t="s">
        <v>65</v>
      </c>
    </row>
    <row r="13">
      <c r="A13" s="2" t="str">
        <f>StudendEnroll!A13</f>
        <v>Antony</v>
      </c>
      <c r="B13" s="2" t="str">
        <f>StudendEnroll!B13</f>
        <v>Ward</v>
      </c>
      <c r="C13" s="2" t="str">
        <f>StudendEnroll!C13</f>
        <v>AntonyWard@gmail.com</v>
      </c>
      <c r="D13" s="2" t="str">
        <f>StudendEnroll!D13</f>
        <v>Physics1</v>
      </c>
      <c r="E13" s="8">
        <f t="array" ref="E13:G13">XLOOKUP(C13,Physics1.DailyAttendance!$D$2:$D$12,Physics1.DailyAttendance!$R$2:$T$12)</f>
        <v>82</v>
      </c>
      <c r="F13" s="2">
        <v>88.0</v>
      </c>
      <c r="G13" s="2" t="s">
        <v>65</v>
      </c>
    </row>
    <row r="14">
      <c r="A14" s="2" t="str">
        <f>StudendEnroll!A14</f>
        <v>Billy</v>
      </c>
      <c r="B14" s="2" t="str">
        <f>StudendEnroll!B14</f>
        <v>Sane</v>
      </c>
      <c r="C14" s="2" t="str">
        <f>StudendEnroll!C14</f>
        <v>BillySane@gmail.com</v>
      </c>
      <c r="D14" s="2" t="str">
        <f>StudendEnroll!D14</f>
        <v>Physics1</v>
      </c>
      <c r="E14" s="8">
        <f t="array" ref="E14:G14">XLOOKUP(C14,Physics1.DailyAttendance!$D$2:$D$12,Physics1.DailyAttendance!$R$2:$T$12)</f>
        <v>75</v>
      </c>
      <c r="F14" s="2">
        <v>81.0</v>
      </c>
      <c r="G14" s="2" t="s">
        <v>65</v>
      </c>
    </row>
    <row r="15">
      <c r="A15" s="2" t="str">
        <f>StudendEnroll!A15</f>
        <v>Ronald</v>
      </c>
      <c r="B15" s="2" t="str">
        <f>StudendEnroll!B15</f>
        <v>Connan</v>
      </c>
      <c r="C15" s="2" t="str">
        <f>StudendEnroll!C15</f>
        <v>RonaldConnan@gmail.com</v>
      </c>
      <c r="D15" s="2" t="str">
        <f>StudendEnroll!D15</f>
        <v>Physics1</v>
      </c>
      <c r="E15" s="8">
        <f t="array" ref="E15:G15">XLOOKUP(C15,Physics1.DailyAttendance!$D$2:$D$12,Physics1.DailyAttendance!$R$2:$T$12)</f>
        <v>92</v>
      </c>
      <c r="F15" s="2">
        <v>79.0</v>
      </c>
      <c r="G15" s="2" t="s">
        <v>65</v>
      </c>
    </row>
    <row r="16">
      <c r="A16" s="2" t="str">
        <f>StudendEnroll!A16</f>
        <v>John</v>
      </c>
      <c r="B16" s="2" t="str">
        <f>StudendEnroll!B16</f>
        <v>Baderas</v>
      </c>
      <c r="C16" s="2" t="str">
        <f>StudendEnroll!C16</f>
        <v>JohnBaderas@gmail.com</v>
      </c>
      <c r="D16" s="2" t="str">
        <f>StudendEnroll!D16</f>
        <v>Maths1</v>
      </c>
      <c r="E16" s="2">
        <f t="array" ref="E16:G16">XLOOKUP(C16,Maths1.DailyAttendance!$D$2:$D$16,Maths1.DailyAttendance!$R$2:$T$16)</f>
        <v>60</v>
      </c>
      <c r="F16" s="2">
        <v>94.0</v>
      </c>
      <c r="G16" s="2" t="s">
        <v>65</v>
      </c>
    </row>
    <row r="17">
      <c r="A17" s="2" t="str">
        <f>StudendEnroll!A17</f>
        <v>Ronald</v>
      </c>
      <c r="B17" s="2" t="str">
        <f>StudendEnroll!B17</f>
        <v>Connan</v>
      </c>
      <c r="C17" s="2" t="str">
        <f>StudendEnroll!C17</f>
        <v>RonaldConnan@gmail.com</v>
      </c>
      <c r="D17" s="2" t="str">
        <f>StudendEnroll!D17</f>
        <v>Maths1</v>
      </c>
      <c r="E17" s="2">
        <f t="array" ref="E17:G17">XLOOKUP(C17,Maths1.DailyAttendance!$D$2:$D$16,Maths1.DailyAttendance!$R$2:$T$16)</f>
        <v>92</v>
      </c>
      <c r="F17" s="2">
        <v>79.0</v>
      </c>
      <c r="G17" s="2" t="s">
        <v>65</v>
      </c>
    </row>
    <row r="18">
      <c r="A18" s="2" t="str">
        <f>StudendEnroll!A18</f>
        <v>Dennis</v>
      </c>
      <c r="B18" s="2" t="str">
        <f>StudendEnroll!B18</f>
        <v>Menace</v>
      </c>
      <c r="C18" s="2" t="str">
        <f>StudendEnroll!C18</f>
        <v>DennisMenace@gmail.com</v>
      </c>
      <c r="D18" s="2" t="str">
        <f>StudendEnroll!D18</f>
        <v>Maths1</v>
      </c>
      <c r="E18" s="2">
        <f t="array" ref="E18:G18">XLOOKUP(C18,Maths1.DailyAttendance!$D$2:$D$16,Maths1.DailyAttendance!$R$2:$T$16)</f>
        <v>73</v>
      </c>
      <c r="F18" s="2">
        <v>99.0</v>
      </c>
      <c r="G18" s="2" t="s">
        <v>65</v>
      </c>
    </row>
    <row r="19">
      <c r="A19" s="2" t="str">
        <f>StudendEnroll!A19</f>
        <v>Ronald</v>
      </c>
      <c r="B19" s="2" t="str">
        <f>StudendEnroll!B19</f>
        <v>Pape</v>
      </c>
      <c r="C19" s="2" t="str">
        <f>StudendEnroll!C19</f>
        <v>RonaldPape@gmail.com</v>
      </c>
      <c r="D19" s="2" t="str">
        <f>StudendEnroll!D19</f>
        <v>Maths1</v>
      </c>
      <c r="E19" s="2">
        <f t="array" ref="E19:G19">XLOOKUP(C19,Maths1.DailyAttendance!$D$2:$D$16,Maths1.DailyAttendance!$R$2:$T$16)</f>
        <v>73</v>
      </c>
      <c r="F19" s="2">
        <v>68.0</v>
      </c>
      <c r="G19" s="2" t="s">
        <v>65</v>
      </c>
    </row>
    <row r="20">
      <c r="A20" s="2" t="str">
        <f>StudendEnroll!A20</f>
        <v>Walid</v>
      </c>
      <c r="B20" s="2" t="str">
        <f>StudendEnroll!B20</f>
        <v>Matip</v>
      </c>
      <c r="C20" s="2" t="str">
        <f>StudendEnroll!C20</f>
        <v>WalidMatip@gmail.com</v>
      </c>
      <c r="D20" s="2" t="str">
        <f>StudendEnroll!D20</f>
        <v>Maths1</v>
      </c>
      <c r="E20" s="2">
        <f t="array" ref="E20:G20">XLOOKUP(C20,Maths1.DailyAttendance!$D$2:$D$16,Maths1.DailyAttendance!$R$2:$T$16)</f>
        <v>88</v>
      </c>
      <c r="F20" s="2">
        <v>80.0</v>
      </c>
      <c r="G20" s="2" t="s">
        <v>65</v>
      </c>
    </row>
    <row r="21" ht="15.75" customHeight="1">
      <c r="A21" s="2" t="str">
        <f>StudendEnroll!A21</f>
        <v>Donna</v>
      </c>
      <c r="B21" s="2" t="str">
        <f>StudendEnroll!B21</f>
        <v>Corleone</v>
      </c>
      <c r="C21" s="2" t="str">
        <f>StudendEnroll!C21</f>
        <v>DonnaCorleone@gmail.com</v>
      </c>
      <c r="D21" s="2" t="str">
        <f>StudendEnroll!D21</f>
        <v>Maths1</v>
      </c>
      <c r="E21" s="2">
        <f t="array" ref="E21:G21">XLOOKUP(C21,Maths1.DailyAttendance!$D$2:$D$16,Maths1.DailyAttendance!$R$2:$T$16)</f>
        <v>96</v>
      </c>
      <c r="F21" s="2">
        <v>90.0</v>
      </c>
      <c r="G21" s="2" t="s">
        <v>65</v>
      </c>
    </row>
    <row r="22" ht="15.75" customHeight="1">
      <c r="A22" s="2" t="str">
        <f>StudendEnroll!A22</f>
        <v>Mary</v>
      </c>
      <c r="B22" s="2" t="str">
        <f>StudendEnroll!B22</f>
        <v>Connan</v>
      </c>
      <c r="C22" s="2" t="str">
        <f>StudendEnroll!C22</f>
        <v>MaryConnan@gmail.com</v>
      </c>
      <c r="D22" s="2" t="str">
        <f>StudendEnroll!D22</f>
        <v>Maths1</v>
      </c>
      <c r="E22" s="2">
        <f t="array" ref="E22:G22">XLOOKUP(C22,Maths1.DailyAttendance!$D$2:$D$16,Maths1.DailyAttendance!$R$2:$T$16)</f>
        <v>100</v>
      </c>
      <c r="F22" s="2">
        <v>91.0</v>
      </c>
      <c r="G22" s="2" t="s">
        <v>65</v>
      </c>
    </row>
    <row r="23" ht="15.75" customHeight="1">
      <c r="A23" s="2" t="str">
        <f>StudendEnroll!A23</f>
        <v>Dustin</v>
      </c>
      <c r="B23" s="2" t="str">
        <f>StudendEnroll!B23</f>
        <v>Boier</v>
      </c>
      <c r="C23" s="2" t="str">
        <f>StudendEnroll!C23</f>
        <v>DustinBoier@gmail.com</v>
      </c>
      <c r="D23" s="2" t="str">
        <f>StudendEnroll!D23</f>
        <v>Maths1</v>
      </c>
      <c r="E23" s="2">
        <f t="array" ref="E23:G23">XLOOKUP(C23,Maths1.DailyAttendance!$D$2:$D$16,Maths1.DailyAttendance!$R$2:$T$16)</f>
        <v>0</v>
      </c>
      <c r="F23" s="2">
        <v>37.0</v>
      </c>
      <c r="G23" s="2" t="s">
        <v>89</v>
      </c>
    </row>
    <row r="24" ht="15.75" customHeight="1">
      <c r="A24" s="2" t="str">
        <f>StudendEnroll!A24</f>
        <v>Lana</v>
      </c>
      <c r="B24" s="2" t="str">
        <f>StudendEnroll!B24</f>
        <v>Andie</v>
      </c>
      <c r="C24" s="2" t="str">
        <f>StudendEnroll!C24</f>
        <v>LanaAndie@gmail.com</v>
      </c>
      <c r="D24" s="2" t="str">
        <f>StudendEnroll!D24</f>
        <v>Maths1</v>
      </c>
      <c r="E24" s="2">
        <f t="array" ref="E24:G24">XLOOKUP(C24,Maths1.DailyAttendance!$D$2:$D$16,Maths1.DailyAttendance!$R$2:$T$16)</f>
        <v>97</v>
      </c>
      <c r="F24" s="2">
        <v>100.0</v>
      </c>
      <c r="G24" s="2" t="s">
        <v>65</v>
      </c>
    </row>
    <row r="25" ht="15.75" customHeight="1">
      <c r="A25" s="2" t="str">
        <f>StudendEnroll!A25</f>
        <v>Anna</v>
      </c>
      <c r="B25" s="2" t="str">
        <f>StudendEnroll!B25</f>
        <v>Tsakiris</v>
      </c>
      <c r="C25" s="2" t="str">
        <f>StudendEnroll!C25</f>
        <v>AnnaTsakiris@gmail.com</v>
      </c>
      <c r="D25" s="2" t="str">
        <f>StudendEnroll!D25</f>
        <v>Physics1</v>
      </c>
      <c r="E25" s="8">
        <f t="array" ref="E25:G25">XLOOKUP(C25,Physics1.DailyAttendance!$D$2:$D$12,Physics1.DailyAttendance!$R$2:$T$12)</f>
        <v>71</v>
      </c>
      <c r="F25" s="2">
        <v>79.0</v>
      </c>
      <c r="G25" s="2" t="s">
        <v>65</v>
      </c>
    </row>
    <row r="26" ht="15.75" customHeight="1">
      <c r="A26" s="2" t="str">
        <f>StudendEnroll!A26</f>
        <v>Neto</v>
      </c>
      <c r="B26" s="2" t="str">
        <f>StudendEnroll!B26</f>
        <v>Juninhio</v>
      </c>
      <c r="C26" s="2" t="str">
        <f>StudendEnroll!C26</f>
        <v>NetoJuninhio@gmail.com</v>
      </c>
      <c r="D26" s="2" t="str">
        <f>StudendEnroll!D26</f>
        <v>Physics1</v>
      </c>
      <c r="E26" s="8">
        <f t="array" ref="E26:G26">XLOOKUP(C26,Physics1.DailyAttendance!$D$2:$D$12,Physics1.DailyAttendance!$R$2:$T$12)</f>
        <v>40</v>
      </c>
      <c r="F26" s="2">
        <v>66.0</v>
      </c>
      <c r="G26" s="2" t="s">
        <v>89</v>
      </c>
    </row>
    <row r="27" ht="15.75" customHeight="1">
      <c r="A27" s="2" t="str">
        <f>StudendEnroll!A27</f>
        <v>Andres</v>
      </c>
      <c r="B27" s="2" t="str">
        <f>StudendEnroll!B27</f>
        <v>Iniesti</v>
      </c>
      <c r="C27" s="2" t="str">
        <f>StudendEnroll!C27</f>
        <v>AndresIniesti@gmail.com</v>
      </c>
      <c r="D27" s="2" t="str">
        <f>StudendEnroll!D27</f>
        <v>Maths1</v>
      </c>
      <c r="E27" s="2">
        <f t="array" ref="E27:G27">XLOOKUP(C27,Maths1.DailyAttendance!$D$2:$D$16,Maths1.DailyAttendance!$R$2:$T$16)</f>
        <v>90</v>
      </c>
      <c r="F27" s="2">
        <v>87.0</v>
      </c>
      <c r="G27" s="2" t="s">
        <v>65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7">
    <sortState ref="A1:G27">
      <sortCondition ref="D1:D27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3.25"/>
    <col customWidth="1" min="3" max="3" width="20.5"/>
    <col customWidth="1" min="4" max="4" width="14.13"/>
    <col customWidth="1" min="5" max="5" width="19.88"/>
    <col customWidth="1" min="6" max="6" width="13.5"/>
    <col customWidth="1" min="7" max="7" width="14.13"/>
    <col customWidth="1" min="8" max="8" width="12.75"/>
    <col customWidth="1" min="9" max="9" width="14.25"/>
    <col customWidth="1" min="10" max="10" width="14.38"/>
    <col customWidth="1" min="1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57</v>
      </c>
      <c r="F1" s="1" t="s">
        <v>53</v>
      </c>
      <c r="G1" s="1" t="s">
        <v>54</v>
      </c>
      <c r="H1" s="1" t="s">
        <v>55</v>
      </c>
      <c r="I1" s="1" t="s">
        <v>92</v>
      </c>
      <c r="J1" s="54" t="s">
        <v>93</v>
      </c>
      <c r="M1" s="55" t="s">
        <v>94</v>
      </c>
      <c r="N1" s="56"/>
      <c r="O1" s="56"/>
      <c r="P1" s="56"/>
      <c r="Q1" s="56"/>
      <c r="R1" s="56"/>
      <c r="S1" s="56"/>
      <c r="T1" s="56"/>
      <c r="U1" s="56"/>
      <c r="V1" s="57"/>
    </row>
    <row r="2">
      <c r="A2" s="2" t="s">
        <v>4</v>
      </c>
      <c r="B2" s="2" t="s">
        <v>5</v>
      </c>
      <c r="C2" s="2" t="str">
        <f t="shared" ref="C2:C27" si="1">A2&amp;B2&amp;"@gmail.com"</f>
        <v>JohnMakaron@gmail.com</v>
      </c>
      <c r="D2" s="2" t="s">
        <v>6</v>
      </c>
      <c r="E2" s="2">
        <f t="shared" ref="E2:E27" si="2">ROUND(SUM(F2:I2),0)</f>
        <v>88</v>
      </c>
      <c r="F2" s="2">
        <f t="array" ref="F2">ROUND(XLOOKUP(C2,StudentTracker!$C$2:$C$27,StudentTracker!$E$2:$E$27),2)*40</f>
        <v>32</v>
      </c>
      <c r="G2" s="2">
        <f t="array" ref="G2">ROUND(XLOOKUP(C2,StudentTracker!$C$2:$C$27,StudentTracker!$F$2:$F$27),1)*0.15</f>
        <v>12.75</v>
      </c>
      <c r="H2" s="2">
        <f t="array" ref="H2">ROUND(XLOOKUP(C2,StudentTracker!$C$2:$C$27,StudentTracker!$G$2:$G$27),2)*0.15</f>
        <v>13.05</v>
      </c>
      <c r="I2" s="2">
        <f t="array" ref="I2">IF(XLOOKUP(C2,StudentTracker!$C$2:$C$27,StudentTracker!$H$2:$H$27)="Yes",30,0)</f>
        <v>30</v>
      </c>
      <c r="J2" s="8" t="str">
        <f t="shared" ref="J2:J27" si="3">IFS(E2&lt;70,"Fail",E2&gt;85,"Excellent",OR(E2&lt;=85,E2&gt;=70),"Good")</f>
        <v>Excellent</v>
      </c>
      <c r="M2" s="58"/>
      <c r="N2" s="58"/>
      <c r="O2" s="58"/>
      <c r="P2" s="58"/>
      <c r="Q2" s="58"/>
      <c r="R2" s="58"/>
      <c r="S2" s="58"/>
      <c r="T2" s="58"/>
      <c r="U2" s="58" t="s">
        <v>95</v>
      </c>
      <c r="V2" s="58"/>
    </row>
    <row r="3">
      <c r="A3" s="2" t="s">
        <v>7</v>
      </c>
      <c r="B3" s="2" t="s">
        <v>8</v>
      </c>
      <c r="C3" s="2" t="str">
        <f t="shared" si="1"/>
        <v>ElvisBond@gmail.com</v>
      </c>
      <c r="D3" s="2" t="s">
        <v>9</v>
      </c>
      <c r="E3" s="2">
        <f t="shared" si="2"/>
        <v>98</v>
      </c>
      <c r="F3" s="2">
        <f t="array" ref="F3">ROUND(XLOOKUP(C3,StudentTracker!$C$2:$C$27,StudentTracker!$E$2:$E$27),2)*40</f>
        <v>40</v>
      </c>
      <c r="G3" s="2">
        <f t="array" ref="G3">ROUND(XLOOKUP(C3,StudentTracker!$C$2:$C$27,StudentTracker!$F$2:$F$27),0)*0.15</f>
        <v>14.4</v>
      </c>
      <c r="H3" s="2">
        <f t="array" ref="H3">ROUND(XLOOKUP(C3,StudentTracker!$C$2:$C$27,StudentTracker!$G$2:$G$27),2)*0.15</f>
        <v>13.2</v>
      </c>
      <c r="I3" s="2">
        <f t="array" ref="I3">IF(XLOOKUP(C3,StudentTracker!$C$2:$C$27,StudentTracker!$H$2:$H$27)="Yes",30,0)</f>
        <v>30</v>
      </c>
      <c r="J3" s="8" t="str">
        <f t="shared" si="3"/>
        <v>Excellent</v>
      </c>
      <c r="M3" s="58"/>
      <c r="N3" s="59" t="s">
        <v>96</v>
      </c>
      <c r="O3" s="60"/>
      <c r="P3" s="60"/>
      <c r="Q3" s="60"/>
      <c r="R3" s="60"/>
      <c r="S3" s="60"/>
      <c r="T3" s="60"/>
      <c r="U3" s="61">
        <v>40.0</v>
      </c>
      <c r="V3" s="58"/>
    </row>
    <row r="4">
      <c r="A4" s="2" t="s">
        <v>10</v>
      </c>
      <c r="B4" s="2" t="s">
        <v>11</v>
      </c>
      <c r="C4" s="2" t="str">
        <f t="shared" si="1"/>
        <v>MaryGas@gmail.com</v>
      </c>
      <c r="D4" s="2" t="s">
        <v>9</v>
      </c>
      <c r="E4" s="2">
        <f t="shared" si="2"/>
        <v>58</v>
      </c>
      <c r="F4" s="2">
        <f t="array" ref="F4">ROUND(XLOOKUP(C4,StudentTracker!$C$2:$C$27,StudentTracker!$E$2:$E$27),2)*40</f>
        <v>40</v>
      </c>
      <c r="G4" s="2">
        <f t="array" ref="G4">ROUND(XLOOKUP(C4,StudentTracker!$C$2:$C$27,StudentTracker!$F$2:$F$27),0)*0.15</f>
        <v>8.25</v>
      </c>
      <c r="H4" s="2">
        <f t="array" ref="H4">ROUND(XLOOKUP(C4,StudentTracker!$C$2:$C$27,StudentTracker!$G$2:$G$27),2)*0.15</f>
        <v>9.9</v>
      </c>
      <c r="I4" s="2">
        <f t="array" ref="I4">IF(XLOOKUP(C4,StudentTracker!$C$2:$C$27,StudentTracker!$H$2:$H$27)="Yes",30,0)</f>
        <v>0</v>
      </c>
      <c r="J4" s="8" t="str">
        <f t="shared" si="3"/>
        <v>Fail</v>
      </c>
      <c r="M4" s="58"/>
      <c r="N4" s="62" t="s">
        <v>97</v>
      </c>
      <c r="O4" s="63"/>
      <c r="P4" s="63"/>
      <c r="Q4" s="63"/>
      <c r="R4" s="63"/>
      <c r="S4" s="63"/>
      <c r="T4" s="63"/>
      <c r="U4" s="64">
        <v>15.0</v>
      </c>
      <c r="V4" s="58"/>
    </row>
    <row r="5">
      <c r="A5" s="2" t="s">
        <v>12</v>
      </c>
      <c r="B5" s="2" t="s">
        <v>13</v>
      </c>
      <c r="C5" s="2" t="str">
        <f t="shared" si="1"/>
        <v>OliviaMatt@gmail.com</v>
      </c>
      <c r="D5" s="2" t="s">
        <v>6</v>
      </c>
      <c r="E5" s="2">
        <f t="shared" si="2"/>
        <v>86</v>
      </c>
      <c r="F5" s="2">
        <f t="array" ref="F5">ROUND(XLOOKUP(C5,StudentTracker!$C$2:$C$27,StudentTracker!$E$2:$E$27),2)*40</f>
        <v>32</v>
      </c>
      <c r="G5" s="2">
        <f t="array" ref="G5">ROUND(XLOOKUP(C5,StudentTracker!$C$2:$C$27,StudentTracker!$F$2:$F$27),0)*0.15</f>
        <v>13.2</v>
      </c>
      <c r="H5" s="2">
        <f t="array" ref="H5">ROUND(XLOOKUP(C5,StudentTracker!$C$2:$C$27,StudentTracker!$G$2:$G$27),2)*0.15</f>
        <v>11.25</v>
      </c>
      <c r="I5" s="2">
        <f t="array" ref="I5">IF(XLOOKUP(C5,StudentTracker!$C$2:$C$27,StudentTracker!$H$2:$H$27)="Yes",30,0)</f>
        <v>30</v>
      </c>
      <c r="J5" s="8" t="str">
        <f t="shared" si="3"/>
        <v>Excellent</v>
      </c>
      <c r="M5" s="58"/>
      <c r="N5" s="62" t="s">
        <v>98</v>
      </c>
      <c r="O5" s="63"/>
      <c r="P5" s="63"/>
      <c r="Q5" s="63"/>
      <c r="R5" s="63"/>
      <c r="S5" s="63"/>
      <c r="T5" s="63"/>
      <c r="U5" s="64">
        <v>15.0</v>
      </c>
      <c r="V5" s="58"/>
    </row>
    <row r="6">
      <c r="A6" s="2" t="s">
        <v>14</v>
      </c>
      <c r="B6" s="2" t="s">
        <v>15</v>
      </c>
      <c r="C6" s="2" t="str">
        <f t="shared" si="1"/>
        <v>RobertHus@gmail.com</v>
      </c>
      <c r="D6" s="2" t="s">
        <v>9</v>
      </c>
      <c r="E6" s="2">
        <f t="shared" si="2"/>
        <v>97</v>
      </c>
      <c r="F6" s="2">
        <f t="array" ref="F6">ROUND(XLOOKUP(C6,StudentTracker!$C$2:$C$27,StudentTracker!$E$2:$E$27),2)*40</f>
        <v>40</v>
      </c>
      <c r="G6" s="2">
        <f t="array" ref="G6">ROUND(XLOOKUP(C6,StudentTracker!$C$2:$C$27,StudentTracker!$F$2:$F$27),0)*0.15</f>
        <v>12.15</v>
      </c>
      <c r="H6" s="2">
        <f t="array" ref="H6">ROUND(XLOOKUP(C6,StudentTracker!$C$2:$C$27,StudentTracker!$G$2:$G$27),2)*0.15</f>
        <v>14.85</v>
      </c>
      <c r="I6" s="2">
        <f t="array" ref="I6">IF(XLOOKUP(C6,StudentTracker!$C$2:$C$27,StudentTracker!$H$2:$H$27)="Yes",30,0)</f>
        <v>30</v>
      </c>
      <c r="J6" s="8" t="str">
        <f t="shared" si="3"/>
        <v>Excellent</v>
      </c>
      <c r="M6" s="58"/>
      <c r="N6" s="65" t="s">
        <v>99</v>
      </c>
      <c r="O6" s="66"/>
      <c r="P6" s="66"/>
      <c r="Q6" s="66"/>
      <c r="R6" s="66"/>
      <c r="S6" s="66"/>
      <c r="T6" s="66"/>
      <c r="U6" s="67">
        <v>30.0</v>
      </c>
      <c r="V6" s="58"/>
    </row>
    <row r="7">
      <c r="A7" s="2" t="s">
        <v>16</v>
      </c>
      <c r="B7" s="2" t="s">
        <v>17</v>
      </c>
      <c r="C7" s="2" t="str">
        <f t="shared" si="1"/>
        <v>OmarKasim@gmail.com</v>
      </c>
      <c r="D7" s="2" t="s">
        <v>9</v>
      </c>
      <c r="E7" s="2">
        <f t="shared" si="2"/>
        <v>71</v>
      </c>
      <c r="F7" s="2">
        <f t="array" ref="F7">ROUND(XLOOKUP(C7,StudentTracker!$C$2:$C$27,StudentTracker!$E$2:$E$27),2)*40</f>
        <v>16</v>
      </c>
      <c r="G7" s="2">
        <f t="array" ref="G7">ROUND(XLOOKUP(C7,StudentTracker!$C$2:$C$27,StudentTracker!$F$2:$F$27),0)*0.15</f>
        <v>11.55</v>
      </c>
      <c r="H7" s="2">
        <f t="array" ref="H7">ROUND(XLOOKUP(C7,StudentTracker!$C$2:$C$27,StudentTracker!$G$2:$G$27),2)*0.15</f>
        <v>13.05</v>
      </c>
      <c r="I7" s="2">
        <f t="array" ref="I7">IF(XLOOKUP(C7,StudentTracker!$C$2:$C$27,StudentTracker!$H$2:$H$27)="Yes",30,0)</f>
        <v>30</v>
      </c>
      <c r="J7" s="8" t="str">
        <f t="shared" si="3"/>
        <v>Good</v>
      </c>
      <c r="M7" s="58"/>
      <c r="N7" s="68" t="s">
        <v>100</v>
      </c>
      <c r="O7" s="69"/>
      <c r="P7" s="69"/>
      <c r="Q7" s="69"/>
      <c r="R7" s="69"/>
      <c r="S7" s="69"/>
      <c r="T7" s="69"/>
      <c r="U7" s="70">
        <v>100.0</v>
      </c>
      <c r="V7" s="58"/>
    </row>
    <row r="8">
      <c r="A8" s="2" t="s">
        <v>18</v>
      </c>
      <c r="B8" s="2" t="s">
        <v>19</v>
      </c>
      <c r="C8" s="2" t="str">
        <f t="shared" si="1"/>
        <v>DianaPinto@gmail.com</v>
      </c>
      <c r="D8" s="2" t="s">
        <v>6</v>
      </c>
      <c r="E8" s="2">
        <f t="shared" si="2"/>
        <v>61</v>
      </c>
      <c r="F8" s="2">
        <f t="array" ref="F8">ROUND(XLOOKUP(C8,StudentTracker!$C$2:$C$27,StudentTracker!$E$2:$E$27),2)*40</f>
        <v>16</v>
      </c>
      <c r="G8" s="2">
        <f t="array" ref="G8">ROUND(XLOOKUP(C8,StudentTracker!$C$2:$C$27,StudentTracker!$F$2:$F$27),0)*0.15</f>
        <v>10.35</v>
      </c>
      <c r="H8" s="2">
        <f t="array" ref="H8">ROUND(XLOOKUP(C8,StudentTracker!$C$2:$C$27,StudentTracker!$G$2:$G$27),2)*0.15</f>
        <v>4.95</v>
      </c>
      <c r="I8" s="2">
        <f t="array" ref="I8">IF(XLOOKUP(C8,StudentTracker!$C$2:$C$27,StudentTracker!$H$2:$H$27)="Yes",30,0)</f>
        <v>30</v>
      </c>
      <c r="J8" s="8" t="str">
        <f t="shared" si="3"/>
        <v>Fail</v>
      </c>
      <c r="M8" s="58"/>
      <c r="N8" s="71" t="s">
        <v>101</v>
      </c>
      <c r="O8" s="71"/>
      <c r="P8" s="71"/>
      <c r="Q8" s="71"/>
      <c r="R8" s="71"/>
      <c r="S8" s="71"/>
      <c r="T8" s="71"/>
      <c r="U8" s="72" t="s">
        <v>102</v>
      </c>
      <c r="V8" s="58"/>
    </row>
    <row r="9">
      <c r="A9" s="2" t="s">
        <v>20</v>
      </c>
      <c r="B9" s="2" t="s">
        <v>21</v>
      </c>
      <c r="C9" s="2" t="str">
        <f t="shared" si="1"/>
        <v>DenisRodman@gmail.com</v>
      </c>
      <c r="D9" s="2" t="s">
        <v>9</v>
      </c>
      <c r="E9" s="2">
        <f t="shared" si="2"/>
        <v>86</v>
      </c>
      <c r="F9" s="2">
        <f t="array" ref="F9">ROUND(XLOOKUP(C9,StudentTracker!$C$2:$C$27,StudentTracker!$E$2:$E$27),2)*40</f>
        <v>32</v>
      </c>
      <c r="G9" s="2">
        <f t="array" ref="G9">ROUND(XLOOKUP(C9,StudentTracker!$C$2:$C$27,StudentTracker!$F$2:$F$27),0)*0.15</f>
        <v>12</v>
      </c>
      <c r="H9" s="2">
        <f t="array" ref="H9">ROUND(XLOOKUP(C9,StudentTracker!$C$2:$C$27,StudentTracker!$G$2:$G$27),2)*0.15</f>
        <v>11.7</v>
      </c>
      <c r="I9" s="2">
        <f t="array" ref="I9">IF(XLOOKUP(C9,StudentTracker!$C$2:$C$27,StudentTracker!$H$2:$H$27)="Yes",30,0)</f>
        <v>30</v>
      </c>
      <c r="J9" s="8" t="str">
        <f t="shared" si="3"/>
        <v>Excellent</v>
      </c>
      <c r="M9" s="58"/>
      <c r="N9" s="73" t="s">
        <v>103</v>
      </c>
      <c r="O9" s="73"/>
      <c r="P9" s="73"/>
      <c r="Q9" s="73"/>
      <c r="R9" s="73"/>
      <c r="S9" s="73"/>
      <c r="T9" s="73"/>
      <c r="U9" s="74" t="s">
        <v>104</v>
      </c>
      <c r="V9" s="58"/>
    </row>
    <row r="10">
      <c r="A10" s="2" t="s">
        <v>22</v>
      </c>
      <c r="B10" s="2" t="s">
        <v>23</v>
      </c>
      <c r="C10" s="2" t="str">
        <f t="shared" si="1"/>
        <v>KatePotter@gmail.com</v>
      </c>
      <c r="D10" s="2" t="s">
        <v>6</v>
      </c>
      <c r="E10" s="2">
        <f t="shared" si="2"/>
        <v>98</v>
      </c>
      <c r="F10" s="2">
        <f t="array" ref="F10">ROUND(XLOOKUP(C10,StudentTracker!$C$2:$C$27,StudentTracker!$E$2:$E$27),2)*40</f>
        <v>40</v>
      </c>
      <c r="G10" s="2">
        <f t="array" ref="G10">ROUND(XLOOKUP(C10,StudentTracker!$C$2:$C$27,StudentTracker!$F$2:$F$27),0)*0.15</f>
        <v>15</v>
      </c>
      <c r="H10" s="2">
        <f t="array" ref="H10">ROUND(XLOOKUP(C10,StudentTracker!$C$2:$C$27,StudentTracker!$G$2:$G$27),2)*0.15</f>
        <v>12.6</v>
      </c>
      <c r="I10" s="2">
        <f t="array" ref="I10">IF(XLOOKUP(C10,StudentTracker!$C$2:$C$27,StudentTracker!$H$2:$H$27)="Yes",30,0)</f>
        <v>30</v>
      </c>
      <c r="J10" s="8" t="str">
        <f t="shared" si="3"/>
        <v>Excellent</v>
      </c>
      <c r="M10" s="58"/>
      <c r="N10" s="75" t="s">
        <v>105</v>
      </c>
      <c r="O10" s="75"/>
      <c r="P10" s="75"/>
      <c r="Q10" s="75"/>
      <c r="R10" s="75"/>
      <c r="S10" s="75"/>
      <c r="T10" s="75"/>
      <c r="U10" s="76" t="s">
        <v>106</v>
      </c>
      <c r="V10" s="58"/>
    </row>
    <row r="11">
      <c r="A11" s="2" t="s">
        <v>24</v>
      </c>
      <c r="B11" s="2" t="s">
        <v>25</v>
      </c>
      <c r="C11" s="2" t="str">
        <f t="shared" si="1"/>
        <v>MannyPac@gmail.com</v>
      </c>
      <c r="D11" s="2" t="s">
        <v>6</v>
      </c>
      <c r="E11" s="2">
        <f t="shared" si="2"/>
        <v>76</v>
      </c>
      <c r="F11" s="2">
        <f t="array" ref="F11">ROUND(XLOOKUP(C11,StudentTracker!$C$2:$C$27,StudentTracker!$E$2:$E$27),2)*40</f>
        <v>24</v>
      </c>
      <c r="G11" s="2">
        <f t="array" ref="G11">ROUND(XLOOKUP(C11,StudentTracker!$C$2:$C$27,StudentTracker!$F$2:$F$27),0)*0.15</f>
        <v>10.5</v>
      </c>
      <c r="H11" s="2">
        <f t="array" ref="H11">ROUND(XLOOKUP(C11,StudentTracker!$C$2:$C$27,StudentTracker!$G$2:$G$27),2)*0.15</f>
        <v>11.85</v>
      </c>
      <c r="I11" s="2">
        <f t="array" ref="I11">IF(XLOOKUP(C11,StudentTracker!$C$2:$C$27,StudentTracker!$H$2:$H$27)="Yes",30,0)</f>
        <v>30</v>
      </c>
      <c r="J11" s="8" t="str">
        <f t="shared" si="3"/>
        <v>Good</v>
      </c>
    </row>
    <row r="12">
      <c r="A12" s="2" t="s">
        <v>26</v>
      </c>
      <c r="B12" s="2" t="s">
        <v>27</v>
      </c>
      <c r="C12" s="2" t="str">
        <f t="shared" si="1"/>
        <v>KatyPerri@gmail.com</v>
      </c>
      <c r="D12" s="2" t="s">
        <v>6</v>
      </c>
      <c r="E12" s="2">
        <f t="shared" si="2"/>
        <v>91</v>
      </c>
      <c r="F12" s="2">
        <f t="array" ref="F12">ROUND(XLOOKUP(C12,StudentTracker!$C$2:$C$27,StudentTracker!$E$2:$E$27),2)*40</f>
        <v>40</v>
      </c>
      <c r="G12" s="2">
        <f t="array" ref="G12">ROUND(XLOOKUP(C12,StudentTracker!$C$2:$C$27,StudentTracker!$F$2:$F$27),0)*0.15</f>
        <v>6.45</v>
      </c>
      <c r="H12" s="2">
        <f t="array" ref="H12">ROUND(XLOOKUP(C12,StudentTracker!$C$2:$C$27,StudentTracker!$G$2:$G$27),2)*0.15</f>
        <v>15</v>
      </c>
      <c r="I12" s="2">
        <f t="array" ref="I12">IF(XLOOKUP(C12,StudentTracker!$C$2:$C$27,StudentTracker!$H$2:$H$27)="Yes",30,0)</f>
        <v>30</v>
      </c>
      <c r="J12" s="8" t="str">
        <f t="shared" si="3"/>
        <v>Excellent</v>
      </c>
    </row>
    <row r="13">
      <c r="A13" s="2" t="s">
        <v>28</v>
      </c>
      <c r="B13" s="2" t="s">
        <v>29</v>
      </c>
      <c r="C13" s="2" t="str">
        <f t="shared" si="1"/>
        <v>AntonyWard@gmail.com</v>
      </c>
      <c r="D13" s="2" t="s">
        <v>6</v>
      </c>
      <c r="E13" s="2">
        <f t="shared" si="2"/>
        <v>88</v>
      </c>
      <c r="F13" s="2">
        <f t="array" ref="F13">ROUND(XLOOKUP(C13,StudentTracker!$C$2:$C$27,StudentTracker!$E$2:$E$27),2)*40</f>
        <v>32</v>
      </c>
      <c r="G13" s="2">
        <f t="array" ref="G13">ROUND(XLOOKUP(C13,StudentTracker!$C$2:$C$27,StudentTracker!$F$2:$F$27),0)*0.15</f>
        <v>12.3</v>
      </c>
      <c r="H13" s="2">
        <f t="array" ref="H13">ROUND(XLOOKUP(C13,StudentTracker!$C$2:$C$27,StudentTracker!$G$2:$G$27),2)*0.15</f>
        <v>13.2</v>
      </c>
      <c r="I13" s="2">
        <f t="array" ref="I13">IF(XLOOKUP(C13,StudentTracker!$C$2:$C$27,StudentTracker!$H$2:$H$27)="Yes",30,0)</f>
        <v>30</v>
      </c>
      <c r="J13" s="8" t="str">
        <f t="shared" si="3"/>
        <v>Excellent</v>
      </c>
    </row>
    <row r="14">
      <c r="A14" s="2" t="s">
        <v>30</v>
      </c>
      <c r="B14" s="2" t="s">
        <v>31</v>
      </c>
      <c r="C14" s="2" t="str">
        <f t="shared" si="1"/>
        <v>BillySane@gmail.com</v>
      </c>
      <c r="D14" s="2" t="s">
        <v>6</v>
      </c>
      <c r="E14" s="2">
        <f t="shared" si="2"/>
        <v>77</v>
      </c>
      <c r="F14" s="2">
        <f t="array" ref="F14">ROUND(XLOOKUP(C14,StudentTracker!$C$2:$C$27,StudentTracker!$E$2:$E$27),2)*40</f>
        <v>24</v>
      </c>
      <c r="G14" s="2">
        <f t="array" ref="G14">ROUND(XLOOKUP(C14,StudentTracker!$C$2:$C$27,StudentTracker!$F$2:$F$27),0)*0.15</f>
        <v>11.25</v>
      </c>
      <c r="H14" s="2">
        <f t="array" ref="H14">ROUND(XLOOKUP(C14,StudentTracker!$C$2:$C$27,StudentTracker!$G$2:$G$27),2)*0.15</f>
        <v>12.15</v>
      </c>
      <c r="I14" s="2">
        <f t="array" ref="I14">IF(XLOOKUP(C14,StudentTracker!$C$2:$C$27,StudentTracker!$H$2:$H$27)="Yes",30,0)</f>
        <v>30</v>
      </c>
      <c r="J14" s="8" t="str">
        <f t="shared" si="3"/>
        <v>Good</v>
      </c>
    </row>
    <row r="15">
      <c r="A15" s="2" t="s">
        <v>32</v>
      </c>
      <c r="B15" s="2" t="s">
        <v>33</v>
      </c>
      <c r="C15" s="2" t="str">
        <f t="shared" si="1"/>
        <v>RonaldConnan@gmail.com</v>
      </c>
      <c r="D15" s="2" t="s">
        <v>6</v>
      </c>
      <c r="E15" s="2">
        <f t="shared" si="2"/>
        <v>80</v>
      </c>
      <c r="F15" s="2">
        <f t="array" ref="F15">ROUND(XLOOKUP(C15,StudentTracker!$C$2:$C$27,StudentTracker!$E$2:$E$27),2)*40</f>
        <v>24</v>
      </c>
      <c r="G15" s="2">
        <f t="array" ref="G15">ROUND(XLOOKUP(C15,StudentTracker!$C$2:$C$27,StudentTracker!$F$2:$F$27),0)*0.15</f>
        <v>13.8</v>
      </c>
      <c r="H15" s="2">
        <f t="array" ref="H15">ROUND(XLOOKUP(C15,StudentTracker!$C$2:$C$27,StudentTracker!$G$2:$G$27),2)*0.15</f>
        <v>11.85</v>
      </c>
      <c r="I15" s="2">
        <f t="array" ref="I15">IF(XLOOKUP(C15,StudentTracker!$C$2:$C$27,StudentTracker!$H$2:$H$27)="Yes",30,0)</f>
        <v>30</v>
      </c>
      <c r="J15" s="8" t="str">
        <f t="shared" si="3"/>
        <v>Good</v>
      </c>
    </row>
    <row r="16">
      <c r="A16" s="2" t="s">
        <v>4</v>
      </c>
      <c r="B16" s="2" t="s">
        <v>34</v>
      </c>
      <c r="C16" s="2" t="str">
        <f t="shared" si="1"/>
        <v>JohnBaderas@gmail.com</v>
      </c>
      <c r="D16" s="2" t="s">
        <v>9</v>
      </c>
      <c r="E16" s="2">
        <f t="shared" si="2"/>
        <v>85</v>
      </c>
      <c r="F16" s="2">
        <f t="array" ref="F16">ROUND(XLOOKUP(C16,StudentTracker!$C$2:$C$27,StudentTracker!$E$2:$E$27),2)*40</f>
        <v>32</v>
      </c>
      <c r="G16" s="2">
        <f t="array" ref="G16">ROUND(XLOOKUP(C16,StudentTracker!$C$2:$C$27,StudentTracker!$F$2:$F$27),0)*0.15</f>
        <v>9</v>
      </c>
      <c r="H16" s="2">
        <f t="array" ref="H16">ROUND(XLOOKUP(C16,StudentTracker!$C$2:$C$27,StudentTracker!$G$2:$G$27),2)*0.15</f>
        <v>14.1</v>
      </c>
      <c r="I16" s="2">
        <f t="array" ref="I16">IF(XLOOKUP(C16,StudentTracker!$C$2:$C$27,StudentTracker!$H$2:$H$27)="Yes",30,0)</f>
        <v>30</v>
      </c>
      <c r="J16" s="8" t="str">
        <f t="shared" si="3"/>
        <v>Good</v>
      </c>
    </row>
    <row r="17">
      <c r="A17" s="2" t="s">
        <v>32</v>
      </c>
      <c r="B17" s="2" t="s">
        <v>33</v>
      </c>
      <c r="C17" s="2" t="str">
        <f t="shared" si="1"/>
        <v>RonaldConnan@gmail.com</v>
      </c>
      <c r="D17" s="2" t="s">
        <v>9</v>
      </c>
      <c r="E17" s="2">
        <f t="shared" si="2"/>
        <v>80</v>
      </c>
      <c r="F17" s="2">
        <f t="array" ref="F17">ROUND(XLOOKUP(C17,StudentTracker!$C$2:$C$27,StudentTracker!$E$2:$E$27),2)*40</f>
        <v>24</v>
      </c>
      <c r="G17" s="2">
        <f t="array" ref="G17">ROUND(XLOOKUP(C17,StudentTracker!$C$2:$C$27,StudentTracker!$F$2:$F$27),0)*0.15</f>
        <v>13.8</v>
      </c>
      <c r="H17" s="2">
        <f t="array" ref="H17">ROUND(XLOOKUP(C17,StudentTracker!$C$2:$C$27,StudentTracker!$G$2:$G$27),2)*0.15</f>
        <v>11.85</v>
      </c>
      <c r="I17" s="2">
        <f t="array" ref="I17">IF(XLOOKUP(C17,StudentTracker!$C$2:$C$27,StudentTracker!$H$2:$H$27)="Yes",30,0)</f>
        <v>30</v>
      </c>
      <c r="J17" s="8" t="str">
        <f t="shared" si="3"/>
        <v>Good</v>
      </c>
    </row>
    <row r="18">
      <c r="A18" s="2" t="s">
        <v>35</v>
      </c>
      <c r="B18" s="2" t="s">
        <v>36</v>
      </c>
      <c r="C18" s="2" t="str">
        <f t="shared" si="1"/>
        <v>DennisMenace@gmail.com</v>
      </c>
      <c r="D18" s="2" t="s">
        <v>9</v>
      </c>
      <c r="E18" s="2">
        <f t="shared" si="2"/>
        <v>96</v>
      </c>
      <c r="F18" s="2">
        <f t="array" ref="F18">ROUND(XLOOKUP(C18,StudentTracker!$C$2:$C$27,StudentTracker!$E$2:$E$27),2)*40</f>
        <v>40</v>
      </c>
      <c r="G18" s="2">
        <f t="array" ref="G18">ROUND(XLOOKUP(C18,StudentTracker!$C$2:$C$27,StudentTracker!$F$2:$F$27),0)*0.15</f>
        <v>10.95</v>
      </c>
      <c r="H18" s="2">
        <f t="array" ref="H18">ROUND(XLOOKUP(C18,StudentTracker!$C$2:$C$27,StudentTracker!$G$2:$G$27),2)*0.15</f>
        <v>14.85</v>
      </c>
      <c r="I18" s="2">
        <f t="array" ref="I18">IF(XLOOKUP(C18,StudentTracker!$C$2:$C$27,StudentTracker!$H$2:$H$27)="Yes",30,0)</f>
        <v>30</v>
      </c>
      <c r="J18" s="8" t="str">
        <f t="shared" si="3"/>
        <v>Excellent</v>
      </c>
    </row>
    <row r="19">
      <c r="A19" s="2" t="s">
        <v>32</v>
      </c>
      <c r="B19" s="2" t="s">
        <v>37</v>
      </c>
      <c r="C19" s="2" t="str">
        <f t="shared" si="1"/>
        <v>RonaldPape@gmail.com</v>
      </c>
      <c r="D19" s="2" t="s">
        <v>9</v>
      </c>
      <c r="E19" s="2">
        <f t="shared" si="2"/>
        <v>75</v>
      </c>
      <c r="F19" s="2">
        <f t="array" ref="F19">ROUND(XLOOKUP(C19,StudentTracker!$C$2:$C$27,StudentTracker!$E$2:$E$27),2)*40</f>
        <v>24</v>
      </c>
      <c r="G19" s="2">
        <f t="array" ref="G19">ROUND(XLOOKUP(C19,StudentTracker!$C$2:$C$27,StudentTracker!$F$2:$F$27),0)*0.15</f>
        <v>10.95</v>
      </c>
      <c r="H19" s="2">
        <f t="array" ref="H19">ROUND(XLOOKUP(C19,StudentTracker!$C$2:$C$27,StudentTracker!$G$2:$G$27),2)*0.15</f>
        <v>10.2</v>
      </c>
      <c r="I19" s="2">
        <f t="array" ref="I19">IF(XLOOKUP(C19,StudentTracker!$C$2:$C$27,StudentTracker!$H$2:$H$27)="Yes",30,0)</f>
        <v>30</v>
      </c>
      <c r="J19" s="8" t="str">
        <f t="shared" si="3"/>
        <v>Good</v>
      </c>
    </row>
    <row r="20">
      <c r="A20" s="2" t="s">
        <v>39</v>
      </c>
      <c r="B20" s="2" t="s">
        <v>40</v>
      </c>
      <c r="C20" s="2" t="str">
        <f t="shared" si="1"/>
        <v>WalidMatip@gmail.com</v>
      </c>
      <c r="D20" s="2" t="s">
        <v>9</v>
      </c>
      <c r="E20" s="2">
        <f t="shared" si="2"/>
        <v>95</v>
      </c>
      <c r="F20" s="2">
        <f t="array" ref="F20">ROUND(XLOOKUP(C20,StudentTracker!$C$2:$C$27,StudentTracker!$E$2:$E$27),2)*40</f>
        <v>40</v>
      </c>
      <c r="G20" s="2">
        <f t="array" ref="G20">ROUND(XLOOKUP(C20,StudentTracker!$C$2:$C$27,StudentTracker!$F$2:$F$27),0)*0.15</f>
        <v>13.2</v>
      </c>
      <c r="H20" s="2">
        <f t="array" ref="H20">ROUND(XLOOKUP(C20,StudentTracker!$C$2:$C$27,StudentTracker!$G$2:$G$27),2)*0.15</f>
        <v>12</v>
      </c>
      <c r="I20" s="2">
        <f t="array" ref="I20">IF(XLOOKUP(C20,StudentTracker!$C$2:$C$27,StudentTracker!$H$2:$H$27)="Yes",30,0)</f>
        <v>30</v>
      </c>
      <c r="J20" s="8" t="str">
        <f t="shared" si="3"/>
        <v>Excellent</v>
      </c>
    </row>
    <row r="21" ht="15.75" customHeight="1">
      <c r="A21" s="2" t="s">
        <v>41</v>
      </c>
      <c r="B21" s="2" t="s">
        <v>42</v>
      </c>
      <c r="C21" s="2" t="str">
        <f t="shared" si="1"/>
        <v>DonnaCorleone@gmail.com</v>
      </c>
      <c r="D21" s="2" t="s">
        <v>9</v>
      </c>
      <c r="E21" s="2">
        <f t="shared" si="2"/>
        <v>90</v>
      </c>
      <c r="F21" s="2">
        <f t="array" ref="F21">ROUND(XLOOKUP(C21,StudentTracker!$C$2:$C$27,StudentTracker!$E$2:$E$27),2)*40</f>
        <v>32</v>
      </c>
      <c r="G21" s="2">
        <f t="array" ref="G21">ROUND(XLOOKUP(C21,StudentTracker!$C$2:$C$27,StudentTracker!$F$2:$F$27),0)*0.15</f>
        <v>14.4</v>
      </c>
      <c r="H21" s="2">
        <f t="array" ref="H21">ROUND(XLOOKUP(C21,StudentTracker!$C$2:$C$27,StudentTracker!$G$2:$G$27),2)*0.15</f>
        <v>13.5</v>
      </c>
      <c r="I21" s="2">
        <f t="array" ref="I21">IF(XLOOKUP(C21,StudentTracker!$C$2:$C$27,StudentTracker!$H$2:$H$27)="Yes",30,0)</f>
        <v>30</v>
      </c>
      <c r="J21" s="8" t="str">
        <f t="shared" si="3"/>
        <v>Excellent</v>
      </c>
    </row>
    <row r="22" ht="15.75" customHeight="1">
      <c r="A22" s="2" t="s">
        <v>10</v>
      </c>
      <c r="B22" s="2" t="s">
        <v>33</v>
      </c>
      <c r="C22" s="2" t="str">
        <f t="shared" si="1"/>
        <v>MaryConnan@gmail.com</v>
      </c>
      <c r="D22" s="2" t="s">
        <v>9</v>
      </c>
      <c r="E22" s="2">
        <f t="shared" si="2"/>
        <v>83</v>
      </c>
      <c r="F22" s="2">
        <f t="array" ref="F22">ROUND(XLOOKUP(C22,StudentTracker!$C$2:$C$27,StudentTracker!$E$2:$E$27),2)*40</f>
        <v>24</v>
      </c>
      <c r="G22" s="2">
        <f t="array" ref="G22">ROUND(XLOOKUP(C22,StudentTracker!$C$2:$C$27,StudentTracker!$F$2:$F$27),0)*0.15</f>
        <v>15</v>
      </c>
      <c r="H22" s="2">
        <f t="array" ref="H22">ROUND(XLOOKUP(C22,StudentTracker!$C$2:$C$27,StudentTracker!$G$2:$G$27),2)*0.15</f>
        <v>13.65</v>
      </c>
      <c r="I22" s="2">
        <f t="array" ref="I22">IF(XLOOKUP(C22,StudentTracker!$C$2:$C$27,StudentTracker!$H$2:$H$27)="Yes",30,0)</f>
        <v>30</v>
      </c>
      <c r="J22" s="8" t="str">
        <f t="shared" si="3"/>
        <v>Good</v>
      </c>
    </row>
    <row r="23" ht="15.75" customHeight="1">
      <c r="A23" s="2" t="s">
        <v>43</v>
      </c>
      <c r="B23" s="2" t="s">
        <v>44</v>
      </c>
      <c r="C23" s="2" t="str">
        <f t="shared" si="1"/>
        <v>DustinBoier@gmail.com</v>
      </c>
      <c r="D23" s="2" t="s">
        <v>9</v>
      </c>
      <c r="E23" s="2">
        <f t="shared" si="2"/>
        <v>6</v>
      </c>
      <c r="F23" s="2">
        <f t="array" ref="F23">ROUND(XLOOKUP(C23,StudentTracker!$C$2:$C$27,StudentTracker!$E$2:$E$27),2)*40</f>
        <v>0</v>
      </c>
      <c r="G23" s="2">
        <f t="array" ref="G23">ROUND(XLOOKUP(C23,StudentTracker!$C$2:$C$27,StudentTracker!$F$2:$F$27),0)*0.15</f>
        <v>0</v>
      </c>
      <c r="H23" s="2">
        <f t="array" ref="H23">ROUND(XLOOKUP(C23,StudentTracker!$C$2:$C$27,StudentTracker!$G$2:$G$27),2)*0.15</f>
        <v>5.55</v>
      </c>
      <c r="I23" s="2">
        <f t="array" ref="I23">IF(XLOOKUP(C23,StudentTracker!$C$2:$C$27,StudentTracker!$H$2:$H$27)="Yes",30,0)</f>
        <v>0</v>
      </c>
      <c r="J23" s="8" t="str">
        <f t="shared" si="3"/>
        <v>Fail</v>
      </c>
    </row>
    <row r="24" ht="15.75" customHeight="1">
      <c r="A24" s="2" t="s">
        <v>45</v>
      </c>
      <c r="B24" s="2" t="s">
        <v>46</v>
      </c>
      <c r="C24" s="2" t="str">
        <f t="shared" si="1"/>
        <v>LanaAndie@gmail.com</v>
      </c>
      <c r="D24" s="2" t="s">
        <v>9</v>
      </c>
      <c r="E24" s="2">
        <f t="shared" si="2"/>
        <v>92</v>
      </c>
      <c r="F24" s="2">
        <f t="array" ref="F24">ROUND(XLOOKUP(C24,StudentTracker!$C$2:$C$27,StudentTracker!$E$2:$E$27),2)*40</f>
        <v>32</v>
      </c>
      <c r="G24" s="2">
        <f t="array" ref="G24">ROUND(XLOOKUP(C24,StudentTracker!$C$2:$C$27,StudentTracker!$F$2:$F$27),0)*0.15</f>
        <v>14.55</v>
      </c>
      <c r="H24" s="2">
        <f t="array" ref="H24">ROUND(XLOOKUP(C24,StudentTracker!$C$2:$C$27,StudentTracker!$G$2:$G$27),2)*0.15</f>
        <v>15</v>
      </c>
      <c r="I24" s="2">
        <f t="array" ref="I24">IF(XLOOKUP(C24,StudentTracker!$C$2:$C$27,StudentTracker!$H$2:$H$27)="Yes",30,0)</f>
        <v>30</v>
      </c>
      <c r="J24" s="8" t="str">
        <f t="shared" si="3"/>
        <v>Excellent</v>
      </c>
    </row>
    <row r="25" ht="15.75" customHeight="1">
      <c r="A25" s="2" t="s">
        <v>47</v>
      </c>
      <c r="B25" s="2" t="s">
        <v>48</v>
      </c>
      <c r="C25" s="2" t="str">
        <f t="shared" si="1"/>
        <v>AnnaTsakiris@gmail.com</v>
      </c>
      <c r="D25" s="2" t="s">
        <v>6</v>
      </c>
      <c r="E25" s="2">
        <f t="shared" si="2"/>
        <v>85</v>
      </c>
      <c r="F25" s="2">
        <f t="array" ref="F25">ROUND(XLOOKUP(C25,StudentTracker!$C$2:$C$27,StudentTracker!$E$2:$E$27),2)*40</f>
        <v>32</v>
      </c>
      <c r="G25" s="2">
        <f t="array" ref="G25">ROUND(XLOOKUP(C25,StudentTracker!$C$2:$C$27,StudentTracker!$F$2:$F$27),0)*0.15</f>
        <v>10.65</v>
      </c>
      <c r="H25" s="2">
        <f t="array" ref="H25">ROUND(XLOOKUP(C25,StudentTracker!$C$2:$C$27,StudentTracker!$G$2:$G$27),2)*0.15</f>
        <v>11.85</v>
      </c>
      <c r="I25" s="2">
        <f t="array" ref="I25">IF(XLOOKUP(C25,StudentTracker!$C$2:$C$27,StudentTracker!$H$2:$H$27)="Yes",30,0)</f>
        <v>30</v>
      </c>
      <c r="J25" s="8" t="str">
        <f t="shared" si="3"/>
        <v>Good</v>
      </c>
    </row>
    <row r="26" ht="15.75" customHeight="1">
      <c r="A26" s="2" t="s">
        <v>49</v>
      </c>
      <c r="B26" s="2" t="s">
        <v>50</v>
      </c>
      <c r="C26" s="2" t="str">
        <f t="shared" si="1"/>
        <v>NetoJuninhio@gmail.com</v>
      </c>
      <c r="D26" s="2" t="s">
        <v>6</v>
      </c>
      <c r="E26" s="2">
        <f t="shared" si="2"/>
        <v>40</v>
      </c>
      <c r="F26" s="2">
        <f t="array" ref="F26">ROUND(XLOOKUP(C26,StudentTracker!$C$2:$C$27,StudentTracker!$E$2:$E$27),2)*40</f>
        <v>24</v>
      </c>
      <c r="G26" s="2">
        <f t="array" ref="G26">ROUND(XLOOKUP(C26,StudentTracker!$C$2:$C$27,StudentTracker!$F$2:$F$27),0)*0.15</f>
        <v>6</v>
      </c>
      <c r="H26" s="2">
        <f t="array" ref="H26">ROUND(XLOOKUP(C26,StudentTracker!$C$2:$C$27,StudentTracker!$G$2:$G$27),2)*0.15</f>
        <v>9.9</v>
      </c>
      <c r="I26" s="2">
        <f t="array" ref="I26">IF(XLOOKUP(C26,StudentTracker!$C$2:$C$27,StudentTracker!$H$2:$H$27)="Yes",30,0)</f>
        <v>0</v>
      </c>
      <c r="J26" s="8" t="str">
        <f t="shared" si="3"/>
        <v>Fail</v>
      </c>
    </row>
    <row r="27" ht="15.75" customHeight="1">
      <c r="A27" s="2" t="s">
        <v>51</v>
      </c>
      <c r="B27" s="2" t="s">
        <v>52</v>
      </c>
      <c r="C27" s="2" t="str">
        <f t="shared" si="1"/>
        <v>AndresIniesti@gmail.com</v>
      </c>
      <c r="D27" s="2" t="s">
        <v>9</v>
      </c>
      <c r="E27" s="2">
        <f t="shared" si="2"/>
        <v>89</v>
      </c>
      <c r="F27" s="2">
        <f t="array" ref="F27">ROUND(XLOOKUP(C27,StudentTracker!$C$2:$C$27,StudentTracker!$E$2:$E$27),2)*40</f>
        <v>32</v>
      </c>
      <c r="G27" s="2">
        <f t="array" ref="G27">ROUND(XLOOKUP(C27,StudentTracker!$C$2:$C$27,StudentTracker!$F$2:$F$27),0)*0.15</f>
        <v>13.5</v>
      </c>
      <c r="H27" s="2">
        <f t="array" ref="H27">ROUND(XLOOKUP(C27,StudentTracker!$C$2:$C$27,StudentTracker!$G$2:$G$27),2)*0.15</f>
        <v>13.05</v>
      </c>
      <c r="I27" s="2">
        <f t="array" ref="I27">IF(XLOOKUP(C27,StudentTracker!$C$2:$C$27,StudentTracker!$H$2:$H$27)="Yes",30,0)</f>
        <v>30</v>
      </c>
      <c r="J27" s="8" t="str">
        <f t="shared" si="3"/>
        <v>Excellent</v>
      </c>
    </row>
    <row r="28" ht="15.75" customHeight="1">
      <c r="J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V1"/>
  </mergeCells>
  <conditionalFormatting sqref="A2:I27 J2:J28">
    <cfRule type="expression" dxfId="1" priority="1" stopIfTrue="1">
      <formula>$J2:$J27="Fail"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107</v>
      </c>
      <c r="F1" s="78" t="s">
        <v>108</v>
      </c>
      <c r="G1" s="78" t="s">
        <v>109</v>
      </c>
      <c r="H1" s="78" t="s">
        <v>110</v>
      </c>
      <c r="I1" s="78" t="s">
        <v>111</v>
      </c>
      <c r="J1" s="78" t="s">
        <v>112</v>
      </c>
      <c r="K1" s="79"/>
      <c r="L1" s="78"/>
      <c r="M1" s="78"/>
    </row>
    <row r="2">
      <c r="A2" s="2" t="s">
        <v>4</v>
      </c>
      <c r="B2" s="2" t="s">
        <v>5</v>
      </c>
      <c r="C2" s="2" t="s">
        <v>113</v>
      </c>
      <c r="D2" s="2" t="s">
        <v>6</v>
      </c>
      <c r="E2" s="2" t="s">
        <v>87</v>
      </c>
      <c r="F2" s="80">
        <v>0.9</v>
      </c>
      <c r="G2" s="5">
        <v>0.6</v>
      </c>
      <c r="H2" s="80">
        <v>0.3</v>
      </c>
      <c r="I2" s="80"/>
      <c r="J2" s="80"/>
      <c r="K2" s="2" t="str">
        <f t="array" ref="K2">IF(INDEX(F2:J2,COUNTA(F2:J2))&lt;INDEX((F2:J2)-1,COUNTA(F2:J2)-1*0.95),"Send Email","Do not send email")</f>
        <v>Do not send email</v>
      </c>
      <c r="L2" s="80"/>
      <c r="M2" s="78" t="str">
        <f t="shared" ref="M2:M12" si="1">IF(INDEX(F2:J2, COUNTA(F1:J1)) &lt; (INDEX(F2:J2, COUNTA(F1:J1)-1) * 0.95), "Send Email", "Do Not Send")</f>
        <v>Do Not Send</v>
      </c>
    </row>
    <row r="3">
      <c r="A3" s="2" t="s">
        <v>12</v>
      </c>
      <c r="B3" s="2" t="s">
        <v>13</v>
      </c>
      <c r="C3" s="2" t="s">
        <v>114</v>
      </c>
      <c r="D3" s="2" t="s">
        <v>6</v>
      </c>
      <c r="E3" s="2" t="s">
        <v>87</v>
      </c>
      <c r="F3" s="5">
        <v>0.8</v>
      </c>
      <c r="G3" s="80">
        <v>0.9</v>
      </c>
      <c r="H3" s="80">
        <v>1.0</v>
      </c>
      <c r="I3" s="8"/>
      <c r="J3" s="8"/>
      <c r="K3" s="2" t="str">
        <f t="shared" ref="K3:K12" si="2">IF(INDEX(F3:J3,COUNTA(F3:J3))&lt;INDEX((F3:J3)-1,COUNTA(F3:J3)-1),"Send Email","Do not send email")</f>
        <v>Do not send email</v>
      </c>
      <c r="L3" s="80"/>
      <c r="M3" s="78" t="str">
        <f t="shared" si="1"/>
        <v>Do Not Send</v>
      </c>
    </row>
    <row r="4">
      <c r="A4" s="2" t="s">
        <v>18</v>
      </c>
      <c r="B4" s="2" t="s">
        <v>19</v>
      </c>
      <c r="C4" s="2" t="s">
        <v>115</v>
      </c>
      <c r="D4" s="2" t="s">
        <v>6</v>
      </c>
      <c r="E4" s="2" t="s">
        <v>88</v>
      </c>
      <c r="F4" s="5">
        <v>0.4</v>
      </c>
      <c r="G4" s="80">
        <v>7.0</v>
      </c>
      <c r="H4" s="80">
        <v>0.5</v>
      </c>
      <c r="I4" s="8"/>
      <c r="J4" s="80"/>
      <c r="K4" s="2" t="str">
        <f t="shared" si="2"/>
        <v>Send Email</v>
      </c>
      <c r="L4" s="80"/>
      <c r="M4" s="78" t="str">
        <f t="shared" si="1"/>
        <v>Send Email</v>
      </c>
    </row>
    <row r="5">
      <c r="A5" s="2" t="s">
        <v>22</v>
      </c>
      <c r="B5" s="2" t="s">
        <v>23</v>
      </c>
      <c r="C5" s="2" t="s">
        <v>116</v>
      </c>
      <c r="D5" s="2" t="s">
        <v>6</v>
      </c>
      <c r="E5" s="2" t="s">
        <v>87</v>
      </c>
      <c r="F5" s="5">
        <v>1.0</v>
      </c>
      <c r="G5" s="5">
        <v>0.8</v>
      </c>
      <c r="H5" s="5">
        <v>1.0</v>
      </c>
      <c r="I5" s="8"/>
      <c r="J5" s="80"/>
      <c r="K5" s="2" t="str">
        <f t="shared" si="2"/>
        <v>Do not send email</v>
      </c>
      <c r="L5" s="5"/>
      <c r="M5" s="78" t="str">
        <f t="shared" si="1"/>
        <v>Do Not Send</v>
      </c>
    </row>
    <row r="6">
      <c r="A6" s="2" t="s">
        <v>24</v>
      </c>
      <c r="B6" s="2" t="s">
        <v>25</v>
      </c>
      <c r="C6" s="2" t="s">
        <v>69</v>
      </c>
      <c r="D6" s="2" t="s">
        <v>6</v>
      </c>
      <c r="E6" s="2" t="s">
        <v>88</v>
      </c>
      <c r="F6" s="5">
        <v>0.6</v>
      </c>
      <c r="G6" s="5">
        <v>0.6</v>
      </c>
      <c r="H6" s="5">
        <v>0.6</v>
      </c>
      <c r="I6" s="80"/>
      <c r="J6" s="80"/>
      <c r="K6" s="2" t="str">
        <f t="shared" si="2"/>
        <v>Do not send email</v>
      </c>
      <c r="L6" s="5"/>
      <c r="M6" s="78" t="str">
        <f t="shared" si="1"/>
        <v>Do Not Send</v>
      </c>
    </row>
    <row r="7">
      <c r="A7" s="2" t="s">
        <v>26</v>
      </c>
      <c r="B7" s="2" t="s">
        <v>27</v>
      </c>
      <c r="C7" s="2" t="s">
        <v>117</v>
      </c>
      <c r="D7" s="2" t="s">
        <v>6</v>
      </c>
      <c r="E7" s="2" t="s">
        <v>87</v>
      </c>
      <c r="F7" s="5">
        <v>1.0</v>
      </c>
      <c r="G7" s="5">
        <v>0.8</v>
      </c>
      <c r="H7" s="5">
        <v>1.0</v>
      </c>
      <c r="I7" s="80"/>
      <c r="J7" s="80"/>
      <c r="K7" s="2" t="str">
        <f t="shared" si="2"/>
        <v>Do not send email</v>
      </c>
      <c r="L7" s="5"/>
      <c r="M7" s="78" t="str">
        <f t="shared" si="1"/>
        <v>Do Not Send</v>
      </c>
    </row>
    <row r="8">
      <c r="A8" s="2" t="s">
        <v>28</v>
      </c>
      <c r="B8" s="2" t="s">
        <v>29</v>
      </c>
      <c r="C8" s="2" t="s">
        <v>118</v>
      </c>
      <c r="D8" s="2" t="s">
        <v>6</v>
      </c>
      <c r="E8" s="2" t="s">
        <v>87</v>
      </c>
      <c r="F8" s="5">
        <v>0.8</v>
      </c>
      <c r="G8" s="5">
        <v>0.6</v>
      </c>
      <c r="H8" s="5">
        <v>0.8</v>
      </c>
      <c r="I8" s="80"/>
      <c r="J8" s="80"/>
      <c r="K8" s="2" t="str">
        <f t="shared" si="2"/>
        <v>Do not send email</v>
      </c>
      <c r="L8" s="5"/>
      <c r="M8" s="78" t="str">
        <f t="shared" si="1"/>
        <v>Do Not Send</v>
      </c>
    </row>
    <row r="9">
      <c r="A9" s="2" t="s">
        <v>30</v>
      </c>
      <c r="B9" s="2" t="s">
        <v>31</v>
      </c>
      <c r="C9" s="2" t="s">
        <v>70</v>
      </c>
      <c r="D9" s="2" t="s">
        <v>6</v>
      </c>
      <c r="E9" s="2" t="s">
        <v>87</v>
      </c>
      <c r="F9" s="5">
        <v>0.6</v>
      </c>
      <c r="G9" s="5">
        <v>0.4</v>
      </c>
      <c r="H9" s="5">
        <v>0.6</v>
      </c>
      <c r="I9" s="80"/>
      <c r="J9" s="80"/>
      <c r="K9" s="2" t="str">
        <f t="shared" si="2"/>
        <v>Do not send email</v>
      </c>
      <c r="L9" s="5"/>
      <c r="M9" s="78" t="str">
        <f t="shared" si="1"/>
        <v>Do Not Send</v>
      </c>
    </row>
    <row r="10">
      <c r="A10" s="2" t="s">
        <v>32</v>
      </c>
      <c r="B10" s="2" t="s">
        <v>33</v>
      </c>
      <c r="C10" s="2" t="s">
        <v>67</v>
      </c>
      <c r="D10" s="2" t="s">
        <v>6</v>
      </c>
      <c r="E10" s="2" t="s">
        <v>88</v>
      </c>
      <c r="F10" s="5">
        <v>0.0</v>
      </c>
      <c r="G10" s="5">
        <v>0.0</v>
      </c>
      <c r="H10" s="5">
        <v>0.0</v>
      </c>
      <c r="I10" s="80"/>
      <c r="J10" s="80"/>
      <c r="K10" s="2" t="str">
        <f t="shared" si="2"/>
        <v>Do not send email</v>
      </c>
      <c r="L10" s="5"/>
      <c r="M10" s="78" t="str">
        <f t="shared" si="1"/>
        <v>Do Not Send</v>
      </c>
    </row>
    <row r="11">
      <c r="A11" s="2" t="s">
        <v>47</v>
      </c>
      <c r="B11" s="2" t="s">
        <v>48</v>
      </c>
      <c r="C11" s="2" t="s">
        <v>71</v>
      </c>
      <c r="D11" s="2" t="s">
        <v>6</v>
      </c>
      <c r="E11" s="2" t="s">
        <v>87</v>
      </c>
      <c r="F11" s="5">
        <v>0.8</v>
      </c>
      <c r="G11" s="5">
        <v>0.6</v>
      </c>
      <c r="H11" s="5">
        <v>0.8</v>
      </c>
      <c r="I11" s="80"/>
      <c r="J11" s="80"/>
      <c r="K11" s="2" t="str">
        <f t="shared" si="2"/>
        <v>Do not send email</v>
      </c>
      <c r="L11" s="5"/>
      <c r="M11" s="78" t="str">
        <f t="shared" si="1"/>
        <v>Do Not Send</v>
      </c>
    </row>
    <row r="12">
      <c r="A12" s="2" t="s">
        <v>49</v>
      </c>
      <c r="B12" s="2" t="s">
        <v>50</v>
      </c>
      <c r="C12" s="2" t="s">
        <v>119</v>
      </c>
      <c r="D12" s="2" t="s">
        <v>6</v>
      </c>
      <c r="E12" s="2" t="s">
        <v>87</v>
      </c>
      <c r="F12" s="49">
        <v>0.6</v>
      </c>
      <c r="G12" s="49">
        <v>0.4</v>
      </c>
      <c r="H12" s="49">
        <v>0.6</v>
      </c>
      <c r="I12" s="80"/>
      <c r="J12" s="80"/>
      <c r="K12" s="2" t="str">
        <f t="shared" si="2"/>
        <v>Do not send email</v>
      </c>
      <c r="L12" s="49"/>
      <c r="M12" s="78" t="str">
        <f t="shared" si="1"/>
        <v>Do Not Send</v>
      </c>
    </row>
    <row r="20">
      <c r="G20" s="2" t="str">
        <f t="array" ref="G20">IF(INDEX(F2:J2, COUNTA(F1:J1)) &lt; (INDEX(F2:J2, COUNTA(F1:J1)-1) * 0.95), "Send Email", "Do Not Send")</f>
        <v>Do Not Send</v>
      </c>
    </row>
  </sheetData>
  <drawing r:id="rId1"/>
</worksheet>
</file>