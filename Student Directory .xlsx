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dEnroll" sheetId="1" state="visible" r:id="rId3"/>
    <sheet name="StudentTracker" sheetId="2" state="visible" r:id="rId4"/>
    <sheet name="Physics1.DailyAttendance" sheetId="3" state="visible" r:id="rId5"/>
    <sheet name="Maths1.DailyAttendance" sheetId="4" state="visible" r:id="rId6"/>
    <sheet name="English Language" sheetId="5" state="visible" r:id="rId7"/>
  </sheets>
  <definedNames>
    <definedName function="false" hidden="true" localSheetId="1" name="_xlnm._FilterDatabase" vbProcedure="false">StudentTracker!$A$1:$S$27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<sst xmlns="http://schemas.openxmlformats.org/spreadsheetml/2006/main" count="704" uniqueCount="130">
  <si>
    <t xml:space="preserve">Name</t>
  </si>
  <si>
    <t xml:space="preserve">Surname</t>
  </si>
  <si>
    <t xml:space="preserve">email</t>
  </si>
  <si>
    <t xml:space="preserve">Class</t>
  </si>
  <si>
    <t xml:space="preserve">Certification Status</t>
  </si>
  <si>
    <t xml:space="preserve">Course</t>
  </si>
  <si>
    <t xml:space="preserve">Learners</t>
  </si>
  <si>
    <t xml:space="preserve">Passed</t>
  </si>
  <si>
    <t xml:space="preserve">Failed To Pass</t>
  </si>
  <si>
    <t xml:space="preserve">John</t>
  </si>
  <si>
    <t xml:space="preserve">Makaron</t>
  </si>
  <si>
    <t xml:space="preserve">Physics1</t>
  </si>
  <si>
    <t xml:space="preserve">Maths1</t>
  </si>
  <si>
    <t xml:space="preserve">Elvis</t>
  </si>
  <si>
    <t xml:space="preserve">Bond</t>
  </si>
  <si>
    <t xml:space="preserve">Mary</t>
  </si>
  <si>
    <t xml:space="preserve">Gas</t>
  </si>
  <si>
    <t xml:space="preserve">English Language</t>
  </si>
  <si>
    <t xml:space="preserve">Olivia</t>
  </si>
  <si>
    <t xml:space="preserve">Matt</t>
  </si>
  <si>
    <t xml:space="preserve">Robert</t>
  </si>
  <si>
    <t xml:space="preserve">Hus</t>
  </si>
  <si>
    <t xml:space="preserve">Omar</t>
  </si>
  <si>
    <t xml:space="preserve">Kasim</t>
  </si>
  <si>
    <t xml:space="preserve">Diana</t>
  </si>
  <si>
    <t xml:space="preserve">Pinto</t>
  </si>
  <si>
    <t xml:space="preserve">Denis</t>
  </si>
  <si>
    <t xml:space="preserve">Rodman</t>
  </si>
  <si>
    <t xml:space="preserve">Kate</t>
  </si>
  <si>
    <t xml:space="preserve">Potter</t>
  </si>
  <si>
    <t xml:space="preserve">Manny</t>
  </si>
  <si>
    <t xml:space="preserve">Pac</t>
  </si>
  <si>
    <t xml:space="preserve">Katy</t>
  </si>
  <si>
    <t xml:space="preserve">Perri</t>
  </si>
  <si>
    <t xml:space="preserve">Antony</t>
  </si>
  <si>
    <t xml:space="preserve">Ward</t>
  </si>
  <si>
    <t xml:space="preserve">Billy</t>
  </si>
  <si>
    <t xml:space="preserve">Sane</t>
  </si>
  <si>
    <t xml:space="preserve">Ronald</t>
  </si>
  <si>
    <t xml:space="preserve">Connan</t>
  </si>
  <si>
    <t xml:space="preserve">Baderas</t>
  </si>
  <si>
    <t xml:space="preserve">Dennis</t>
  </si>
  <si>
    <t xml:space="preserve">Menace</t>
  </si>
  <si>
    <t xml:space="preserve">Pape</t>
  </si>
  <si>
    <t xml:space="preserve">Walid</t>
  </si>
  <si>
    <t xml:space="preserve">Matip</t>
  </si>
  <si>
    <t xml:space="preserve">Donna</t>
  </si>
  <si>
    <t xml:space="preserve">Corleone</t>
  </si>
  <si>
    <t xml:space="preserve">Dustin</t>
  </si>
  <si>
    <t xml:space="preserve">Boier</t>
  </si>
  <si>
    <t xml:space="preserve">Lana</t>
  </si>
  <si>
    <t xml:space="preserve">Andie</t>
  </si>
  <si>
    <t xml:space="preserve">Anna</t>
  </si>
  <si>
    <t xml:space="preserve">Tsakiris</t>
  </si>
  <si>
    <t xml:space="preserve">Neto</t>
  </si>
  <si>
    <t xml:space="preserve">Juninhio</t>
  </si>
  <si>
    <t xml:space="preserve">Andres</t>
  </si>
  <si>
    <t xml:space="preserve">Iniesti</t>
  </si>
  <si>
    <t xml:space="preserve">Katie</t>
  </si>
  <si>
    <t xml:space="preserve">Parn</t>
  </si>
  <si>
    <t xml:space="preserve">Ronaldo</t>
  </si>
  <si>
    <t xml:space="preserve">Felipe</t>
  </si>
  <si>
    <t xml:space="preserve">Dean</t>
  </si>
  <si>
    <t xml:space="preserve">Jolie</t>
  </si>
  <si>
    <t xml:space="preserve">Paolo</t>
  </si>
  <si>
    <t xml:space="preserve">Jasmini</t>
  </si>
  <si>
    <t xml:space="preserve">Jean </t>
  </si>
  <si>
    <t xml:space="preserve">Damme</t>
  </si>
  <si>
    <t xml:space="preserve">Helen </t>
  </si>
  <si>
    <t xml:space="preserve">Birren</t>
  </si>
  <si>
    <t xml:space="preserve">Cander</t>
  </si>
  <si>
    <t xml:space="preserve">Evita </t>
  </si>
  <si>
    <t xml:space="preserve">Saron</t>
  </si>
  <si>
    <t xml:space="preserve">Muhammed </t>
  </si>
  <si>
    <t xml:space="preserve">Hasan</t>
  </si>
  <si>
    <t xml:space="preserve">Bill</t>
  </si>
  <si>
    <t xml:space="preserve">Kill</t>
  </si>
  <si>
    <t xml:space="preserve">Bario</t>
  </si>
  <si>
    <t xml:space="preserve">Sarmiento</t>
  </si>
  <si>
    <t xml:space="preserve">Silvio</t>
  </si>
  <si>
    <t xml:space="preserve">Zerosconi</t>
  </si>
  <si>
    <t xml:space="preserve">Suzie</t>
  </si>
  <si>
    <t xml:space="preserve">Partone</t>
  </si>
  <si>
    <t xml:space="preserve">Donald</t>
  </si>
  <si>
    <t xml:space="preserve">Alberto</t>
  </si>
  <si>
    <t xml:space="preserve">Ina</t>
  </si>
  <si>
    <t xml:space="preserve">Christal</t>
  </si>
  <si>
    <t xml:space="preserve">Wei</t>
  </si>
  <si>
    <t xml:space="preserve">Bao</t>
  </si>
  <si>
    <t xml:space="preserve">Kostas</t>
  </si>
  <si>
    <t xml:space="preserve">Loukas</t>
  </si>
  <si>
    <t xml:space="preserve">Attendance</t>
  </si>
  <si>
    <t xml:space="preserve">1st test score</t>
  </si>
  <si>
    <t xml:space="preserve">2nd test score</t>
  </si>
  <si>
    <t xml:space="preserve">Final Assignment Completed</t>
  </si>
  <si>
    <t xml:space="preserve">Certificate Score</t>
  </si>
  <si>
    <t xml:space="preserve">Certificate  Rank</t>
  </si>
  <si>
    <t xml:space="preserve">Classes</t>
  </si>
  <si>
    <t xml:space="preserve">Certification Score </t>
  </si>
  <si>
    <t xml:space="preserve">Points</t>
  </si>
  <si>
    <t xml:space="preserve">Attendance </t>
  </si>
  <si>
    <t xml:space="preserve">Test1</t>
  </si>
  <si>
    <t xml:space="preserve">Test2</t>
  </si>
  <si>
    <t xml:space="preserve">Final assignment</t>
  </si>
  <si>
    <t xml:space="preserve">Overall </t>
  </si>
  <si>
    <t xml:space="preserve">Score to pass </t>
  </si>
  <si>
    <t xml:space="preserve">&gt;=70</t>
  </si>
  <si>
    <t xml:space="preserve">Score Good</t>
  </si>
  <si>
    <t xml:space="preserve">&gt;77&lt;87</t>
  </si>
  <si>
    <t xml:space="preserve">Score Excellent</t>
  </si>
  <si>
    <t xml:space="preserve">&gt;87</t>
  </si>
  <si>
    <t xml:space="preserve">Week1 Day1</t>
  </si>
  <si>
    <t xml:space="preserve">Week1 Day2</t>
  </si>
  <si>
    <t xml:space="preserve">Week1 Day3</t>
  </si>
  <si>
    <t xml:space="preserve">Week1 Day4</t>
  </si>
  <si>
    <t xml:space="preserve">Week1 Day5</t>
  </si>
  <si>
    <t xml:space="preserve">Week2 Day1</t>
  </si>
  <si>
    <t xml:space="preserve">Week2 Day2</t>
  </si>
  <si>
    <t xml:space="preserve">Week2 Day3</t>
  </si>
  <si>
    <t xml:space="preserve">Week2 Day4</t>
  </si>
  <si>
    <t xml:space="preserve">Week2 Day5</t>
  </si>
  <si>
    <t xml:space="preserve">Week1 Attendance</t>
  </si>
  <si>
    <t xml:space="preserve">Week2 Attendance</t>
  </si>
  <si>
    <t xml:space="preserve">Overall Attendance</t>
  </si>
  <si>
    <t xml:space="preserve">Final Assignment Completion</t>
  </si>
  <si>
    <t xml:space="preserve">P</t>
  </si>
  <si>
    <t xml:space="preserve">A</t>
  </si>
  <si>
    <t xml:space="preserve">Yes</t>
  </si>
  <si>
    <t xml:space="preserve">No</t>
  </si>
  <si>
    <t xml:space="preserve">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</si>
</sst>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"/>
  </numFmts>
  <fonts count="2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sz val="14"/>
      <color theme="1"/>
      <name val="Arial Black"/>
      <family val="2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ptos Narrow"/>
      <family val="0"/>
    </font>
    <font>
      <sz val="12"/>
      <color theme="1"/>
      <name val="Aptos Narrow"/>
      <family val="0"/>
      <charset val="1"/>
    </font>
    <font>
      <b val="true"/>
      <sz val="14"/>
      <color theme="0"/>
      <name val="Arial"/>
      <family val="2"/>
      <charset val="1"/>
    </font>
    <font>
      <sz val="14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1"/>
      <color theme="1"/>
      <name val="Arial"/>
      <family val="0"/>
      <charset val="1"/>
    </font>
    <font>
      <sz val="11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color theme="1"/>
      <name val="Arial"/>
      <family val="2"/>
      <charset val="1"/>
    </font>
    <font>
      <sz val="2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20"/>
      <color theme="6"/>
      <name val="Aptos Narrow"/>
      <family val="0"/>
      <charset val="1"/>
    </font>
    <font>
      <sz val="12"/>
      <color theme="1"/>
      <name val="Arial"/>
      <family val="2"/>
      <charset val="1"/>
    </font>
    <font>
      <b val="true"/>
      <sz val="13"/>
      <color theme="1"/>
      <name val="Arial"/>
      <family val="2"/>
      <charset val="1"/>
    </font>
    <font>
      <b val="true"/>
      <sz val="14"/>
      <color theme="1"/>
      <name val="Aptos Narrow"/>
      <family val="0"/>
      <charset val="1"/>
    </font>
    <font>
      <sz val="14"/>
      <color theme="1"/>
      <name val="Aptos Narrow"/>
      <family val="0"/>
      <charset val="1"/>
    </font>
    <font>
      <sz val="1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3F3F3"/>
      </patternFill>
    </fill>
    <fill>
      <patternFill patternType="solid">
        <fgColor rgb="FFFFD966"/>
        <bgColor rgb="FFF5C6AC"/>
      </patternFill>
    </fill>
    <fill>
      <patternFill patternType="solid">
        <fgColor rgb="FF333333"/>
        <bgColor rgb="FF333300"/>
      </patternFill>
    </fill>
    <fill>
      <patternFill patternType="solid">
        <fgColor rgb="FFCCCCCC"/>
        <bgColor rgb="FFD0D0D0"/>
      </patternFill>
    </fill>
    <fill>
      <patternFill patternType="solid">
        <fgColor rgb="FFF5C6AC"/>
        <bgColor rgb="FFF4CCCC"/>
      </patternFill>
    </fill>
    <fill>
      <patternFill patternType="solid">
        <fgColor rgb="FFDBE9F7"/>
        <bgColor rgb="FFCFE2F3"/>
      </patternFill>
    </fill>
    <fill>
      <patternFill patternType="solid">
        <fgColor rgb="FFFFFFB3"/>
        <bgColor rgb="FFFFF2CC"/>
      </patternFill>
    </fill>
    <fill>
      <patternFill patternType="solid">
        <fgColor rgb="FFF1CEEE"/>
        <bgColor rgb="FFF4CCCC"/>
      </patternFill>
    </fill>
    <fill>
      <patternFill patternType="solid">
        <fgColor theme="9"/>
        <bgColor rgb="FF808000"/>
      </patternFill>
    </fill>
    <fill>
      <patternFill patternType="solid">
        <fgColor rgb="FFFAE2D5"/>
        <bgColor rgb="FFFFF2CC"/>
      </patternFill>
    </fill>
    <fill>
      <patternFill patternType="solid">
        <fgColor rgb="FFFFFFFF"/>
        <bgColor rgb="FFF3F3F3"/>
      </patternFill>
    </fill>
    <fill>
      <patternFill patternType="solid">
        <fgColor rgb="FFA6C9EB"/>
        <bgColor rgb="FFB7E1CD"/>
      </patternFill>
    </fill>
    <fill>
      <patternFill patternType="solid">
        <fgColor rgb="FFD0D0D0"/>
        <bgColor rgb="FFCCCCCC"/>
      </patternFill>
    </fill>
    <fill>
      <patternFill patternType="solid">
        <fgColor rgb="FFF3F3F3"/>
        <bgColor rgb="FFF2F2F2"/>
      </patternFill>
    </fill>
    <fill>
      <patternFill patternType="solid">
        <fgColor rgb="FFFFF2CC"/>
        <bgColor rgb="FFFAE2D5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4" fillId="0" borderId="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3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top" textRotation="255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distributed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distributed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distributed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distributed" textRotation="255" wrapText="false" indent="0" shrinkToFit="false"/>
      <protection locked="true" hidden="false"/>
    </xf>
    <xf numFmtId="164" fontId="11" fillId="14" borderId="0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distributed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distributed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distributed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distributed" textRotation="0" wrapText="false" indent="0" shrinkToFit="false"/>
      <protection locked="true" hidden="false"/>
    </xf>
    <xf numFmtId="164" fontId="12" fillId="12" borderId="14" xfId="0" applyFont="true" applyBorder="true" applyAlignment="true" applyProtection="false">
      <alignment horizontal="center" vertical="distributed" textRotation="0" wrapText="false" indent="0" shrinkToFit="false"/>
      <protection locked="true" hidden="false"/>
    </xf>
    <xf numFmtId="165" fontId="0" fillId="16" borderId="0" xfId="0" applyFont="true" applyBorder="false" applyAlignment="true" applyProtection="false">
      <alignment horizontal="center" vertical="distributed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distributed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distributed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distributed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distributed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distributed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distributed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distributed" textRotation="0" wrapText="false" indent="0" shrinkToFit="false"/>
      <protection locked="true" hidden="false"/>
    </xf>
    <xf numFmtId="164" fontId="12" fillId="12" borderId="12" xfId="0" applyFont="true" applyBorder="true" applyAlignment="true" applyProtection="false">
      <alignment horizontal="center" vertical="distributed" textRotation="0" wrapText="false" indent="0" shrinkToFit="false"/>
      <protection locked="true" hidden="false"/>
    </xf>
    <xf numFmtId="164" fontId="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22" fillId="1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1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15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16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5" fillId="16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Category" xfId="22"/>
    <cellStyle name="Pivot Table Title" xfId="23"/>
    <cellStyle name="Pivot Table Result" xfId="24"/>
    <cellStyle name="Pivot Table Field" xfId="25"/>
  </cellStyles>
  <dxfs count="18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5C6A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EA72E"/>
          <bgColor rgb="FF000000"/>
        </patternFill>
      </fill>
    </dxf>
    <dxf>
      <fill>
        <patternFill patternType="solid">
          <fgColor rgb="FFDBE9F7"/>
          <bgColor rgb="FF000000"/>
        </patternFill>
      </fill>
    </dxf>
    <dxf>
      <fill>
        <patternFill patternType="solid">
          <fgColor rgb="FFF1CEEE"/>
          <bgColor rgb="FF000000"/>
        </patternFill>
      </fill>
    </dxf>
    <dxf>
      <fill>
        <patternFill patternType="solid">
          <fgColor rgb="FFFFFFB3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D7A8"/>
        </patternFill>
      </fill>
    </dxf>
    <dxf>
      <fill>
        <patternFill>
          <bgColor rgb="FFCFE2F3"/>
        </patternFill>
      </fill>
    </dxf>
    <dxf>
      <fill>
        <patternFill>
          <bgColor rgb="FFB7E1CD"/>
        </patternFill>
      </fill>
    </dxf>
    <dxf>
      <fill>
        <patternFill>
          <bgColor rgb="FFF4CCCC"/>
        </patternFill>
      </fill>
    </dxf>
    <dxf>
      <font>
        <name val="Aptos Narrow"/>
        <charset val="1"/>
        <family val="0"/>
        <b val="1"/>
        <color rgb="FF00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AE2D5"/>
      <rgbColor rgb="FFFF00FF"/>
      <rgbColor rgb="FF00FFFF"/>
      <rgbColor rgb="FF9C0006"/>
      <rgbColor rgb="FF186C24"/>
      <rgbColor rgb="FF000080"/>
      <rgbColor rgb="FF808000"/>
      <rgbColor rgb="FF800080"/>
      <rgbColor rgb="FF008080"/>
      <rgbColor rgb="FFCCCCCC"/>
      <rgbColor rgb="FF808080"/>
      <rgbColor rgb="FFF3F3F3"/>
      <rgbColor rgb="FF993366"/>
      <rgbColor rgb="FFFFFFB3"/>
      <rgbColor rgb="FFDBE9F7"/>
      <rgbColor rgb="FF660066"/>
      <rgbColor rgb="FFF4CCCC"/>
      <rgbColor rgb="FF0066CC"/>
      <rgbColor rgb="FFD0D0D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CFE2F3"/>
      <rgbColor rgb="FFB7E1CD"/>
      <rgbColor rgb="FFFFF2CC"/>
      <rgbColor rgb="FFA6C9EB"/>
      <rgbColor rgb="FFFFC7CE"/>
      <rgbColor rgb="FFF1CEEE"/>
      <rgbColor rgb="FFF5C6AC"/>
      <rgbColor rgb="FF3366FF"/>
      <rgbColor rgb="FF33CCCC"/>
      <rgbColor rgb="FF99CC00"/>
      <rgbColor rgb="FFFFD966"/>
      <rgbColor rgb="FFFF9900"/>
      <rgbColor rgb="FFFF6600"/>
      <rgbColor rgb="FF666699"/>
      <rgbColor rgb="FFB6D7A8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6" createdVersion="3">
  <cacheSource type="worksheet">
    <worksheetSource ref="A1:I27" sheet="StudentTracker"/>
  </cacheSource>
  <cacheFields count="9">
    <cacheField name="Name" numFmtId="0">
      <sharedItems count="22">
        <s v="Andres"/>
        <s v="Anna"/>
        <s v="Antony"/>
        <s v="Billy"/>
        <s v="Denis"/>
        <s v="Dennis"/>
        <s v="Diana"/>
        <s v="Donna"/>
        <s v="Dustin"/>
        <s v="Elvis"/>
        <s v="John"/>
        <s v="Kate"/>
        <s v="Katy"/>
        <s v="Lana"/>
        <s v="Manny"/>
        <s v="Mary"/>
        <s v="Neto"/>
        <s v="Olivia"/>
        <s v="Omar"/>
        <s v="Robert"/>
        <s v="Ronald"/>
        <s v="Walid"/>
      </sharedItems>
    </cacheField>
    <cacheField name="Surname" numFmtId="0">
      <sharedItems count="24">
        <s v="Andie"/>
        <s v="Baderas"/>
        <s v="Boier"/>
        <s v="Bond"/>
        <s v="Connan"/>
        <s v="Corleone"/>
        <s v="Gas"/>
        <s v="Hus"/>
        <s v="Iniesti"/>
        <s v="Juninhio"/>
        <s v="Kasim"/>
        <s v="Makaron"/>
        <s v="Matip"/>
        <s v="Matt"/>
        <s v="Menace"/>
        <s v="Pac"/>
        <s v="Pape"/>
        <s v="Perri"/>
        <s v="Pinto"/>
        <s v="Potter"/>
        <s v="Rodman"/>
        <s v="Sane"/>
        <s v="Tsakiris"/>
        <s v="Ward"/>
      </sharedItems>
    </cacheField>
    <cacheField name="email" numFmtId="0">
      <sharedItems count="25">
        <s v="AndresIniesti@gmail.com"/>
        <s v="AnnaTsakiris@gmail.com"/>
        <s v="AntonyWard@gmail.com"/>
        <s v="BillySane@gmail.com"/>
        <s v="DenisRodman@gmail.com"/>
        <s v="DennisMenace@gmail.com"/>
        <s v="DianaPinto@gmail.com"/>
        <s v="DonnaCorleone@gmail.com"/>
        <s v="DustinBoier@gmail.com"/>
        <s v="ElvisBond@gmail.com"/>
        <s v="JohnBaderas@gmail.com"/>
        <s v="JohnMakaron@gmail.com"/>
        <s v="KatePotter@gmail.com"/>
        <s v="KatyPerri@gmail.com"/>
        <s v="LanaAndie@gmail.com"/>
        <s v="MannyPac@gmail.com"/>
        <s v="MaryConnan@gmail.com"/>
        <s v="MaryGas@gmail.com"/>
        <s v="NetoJuninhio@gmail.com"/>
        <s v="OliviaMatt@gmail.com"/>
        <s v="OmarKasim@gmail.com"/>
        <s v="RobertHus@gmail.com"/>
        <s v="RonaldConnan@gmail.com"/>
        <s v="RonaldPape@gmail.com"/>
        <s v="WalidMatip@gmail.com"/>
      </sharedItems>
    </cacheField>
    <cacheField name="Class" numFmtId="0">
      <sharedItems count="2">
        <s v="Maths1"/>
        <s v="Physics1"/>
      </sharedItems>
    </cacheField>
    <cacheField name="Attendance" numFmtId="0">
      <sharedItems count="1">
        <e v="#NAME?"/>
      </sharedItems>
    </cacheField>
    <cacheField name="1st test score" numFmtId="0">
      <sharedItems count="1">
        <e v="#NAME?"/>
      </sharedItems>
    </cacheField>
    <cacheField name="2nd test score" numFmtId="0">
      <sharedItems count="1">
        <e v="#NAME?"/>
      </sharedItems>
    </cacheField>
    <cacheField name="Final Project Completed" numFmtId="0">
      <sharedItems count="1">
        <e v="#NAME?"/>
      </sharedItems>
    </cacheField>
    <cacheField name="Certificate Grade" numFmtId="0">
      <sharedItems count="1">
        <e v="#NAME?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x v="10"/>
    <x v="11"/>
    <x v="11"/>
    <x v="1"/>
    <x v="0"/>
    <x v="0"/>
    <x v="0"/>
    <x v="0"/>
    <x v="0"/>
  </r>
  <r>
    <x v="9"/>
    <x v="3"/>
    <x v="9"/>
    <x v="0"/>
    <x v="0"/>
    <x v="0"/>
    <x v="0"/>
    <x v="0"/>
    <x v="0"/>
  </r>
  <r>
    <x v="15"/>
    <x v="6"/>
    <x v="17"/>
    <x v="0"/>
    <x v="0"/>
    <x v="0"/>
    <x v="0"/>
    <x v="0"/>
    <x v="0"/>
  </r>
  <r>
    <x v="17"/>
    <x v="13"/>
    <x v="19"/>
    <x v="1"/>
    <x v="0"/>
    <x v="0"/>
    <x v="0"/>
    <x v="0"/>
    <x v="0"/>
  </r>
  <r>
    <x v="19"/>
    <x v="7"/>
    <x v="21"/>
    <x v="0"/>
    <x v="0"/>
    <x v="0"/>
    <x v="0"/>
    <x v="0"/>
    <x v="0"/>
  </r>
  <r>
    <x v="18"/>
    <x v="10"/>
    <x v="20"/>
    <x v="0"/>
    <x v="0"/>
    <x v="0"/>
    <x v="0"/>
    <x v="0"/>
    <x v="0"/>
  </r>
  <r>
    <x v="6"/>
    <x v="18"/>
    <x v="6"/>
    <x v="1"/>
    <x v="0"/>
    <x v="0"/>
    <x v="0"/>
    <x v="0"/>
    <x v="0"/>
  </r>
  <r>
    <x v="4"/>
    <x v="20"/>
    <x v="4"/>
    <x v="0"/>
    <x v="0"/>
    <x v="0"/>
    <x v="0"/>
    <x v="0"/>
    <x v="0"/>
  </r>
  <r>
    <x v="11"/>
    <x v="19"/>
    <x v="12"/>
    <x v="1"/>
    <x v="0"/>
    <x v="0"/>
    <x v="0"/>
    <x v="0"/>
    <x v="0"/>
  </r>
  <r>
    <x v="14"/>
    <x v="15"/>
    <x v="15"/>
    <x v="1"/>
    <x v="0"/>
    <x v="0"/>
    <x v="0"/>
    <x v="0"/>
    <x v="0"/>
  </r>
  <r>
    <x v="12"/>
    <x v="17"/>
    <x v="13"/>
    <x v="1"/>
    <x v="0"/>
    <x v="0"/>
    <x v="0"/>
    <x v="0"/>
    <x v="0"/>
  </r>
  <r>
    <x v="2"/>
    <x v="23"/>
    <x v="2"/>
    <x v="1"/>
    <x v="0"/>
    <x v="0"/>
    <x v="0"/>
    <x v="0"/>
    <x v="0"/>
  </r>
  <r>
    <x v="3"/>
    <x v="21"/>
    <x v="3"/>
    <x v="1"/>
    <x v="0"/>
    <x v="0"/>
    <x v="0"/>
    <x v="0"/>
    <x v="0"/>
  </r>
  <r>
    <x v="20"/>
    <x v="4"/>
    <x v="22"/>
    <x v="1"/>
    <x v="0"/>
    <x v="0"/>
    <x v="0"/>
    <x v="0"/>
    <x v="0"/>
  </r>
  <r>
    <x v="10"/>
    <x v="1"/>
    <x v="10"/>
    <x v="0"/>
    <x v="0"/>
    <x v="0"/>
    <x v="0"/>
    <x v="0"/>
    <x v="0"/>
  </r>
  <r>
    <x v="20"/>
    <x v="4"/>
    <x v="22"/>
    <x v="0"/>
    <x v="0"/>
    <x v="0"/>
    <x v="0"/>
    <x v="0"/>
    <x v="0"/>
  </r>
  <r>
    <x v="5"/>
    <x v="14"/>
    <x v="5"/>
    <x v="0"/>
    <x v="0"/>
    <x v="0"/>
    <x v="0"/>
    <x v="0"/>
    <x v="0"/>
  </r>
  <r>
    <x v="20"/>
    <x v="16"/>
    <x v="23"/>
    <x v="0"/>
    <x v="0"/>
    <x v="0"/>
    <x v="0"/>
    <x v="0"/>
    <x v="0"/>
  </r>
  <r>
    <x v="21"/>
    <x v="12"/>
    <x v="24"/>
    <x v="0"/>
    <x v="0"/>
    <x v="0"/>
    <x v="0"/>
    <x v="0"/>
    <x v="0"/>
  </r>
  <r>
    <x v="7"/>
    <x v="5"/>
    <x v="7"/>
    <x v="0"/>
    <x v="0"/>
    <x v="0"/>
    <x v="0"/>
    <x v="0"/>
    <x v="0"/>
  </r>
  <r>
    <x v="15"/>
    <x v="4"/>
    <x v="16"/>
    <x v="0"/>
    <x v="0"/>
    <x v="0"/>
    <x v="0"/>
    <x v="0"/>
    <x v="0"/>
  </r>
  <r>
    <x v="8"/>
    <x v="2"/>
    <x v="8"/>
    <x v="0"/>
    <x v="0"/>
    <x v="0"/>
    <x v="0"/>
    <x v="0"/>
    <x v="0"/>
  </r>
  <r>
    <x v="13"/>
    <x v="0"/>
    <x v="14"/>
    <x v="0"/>
    <x v="0"/>
    <x v="0"/>
    <x v="0"/>
    <x v="0"/>
    <x v="0"/>
  </r>
  <r>
    <x v="1"/>
    <x v="22"/>
    <x v="1"/>
    <x v="1"/>
    <x v="0"/>
    <x v="0"/>
    <x v="0"/>
    <x v="0"/>
    <x v="0"/>
  </r>
  <r>
    <x v="16"/>
    <x v="9"/>
    <x v="18"/>
    <x v="1"/>
    <x v="0"/>
    <x v="0"/>
    <x v="0"/>
    <x v="0"/>
    <x v="0"/>
  </r>
  <r>
    <x v="0"/>
    <x v="8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StudentTracker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M15:O16" firstHeaderRow="0" firstDataRow="1" firstDataCol="0"/>
  <pivotFields count="9">
    <pivotField compact="0" showAll="0" outline="0"/>
    <pivotField compact="0" showAll="0" outline="0"/>
    <pivotField compact="0" showAll="0" outline="0"/>
    <pivotField axis="axisCol" compact="0" showAll="0" outline="0">
      <items count="3">
        <item x="0"/>
        <item x="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colFields count="1">
    <field x="3"/>
  </colFields>
  <dataFields count="1">
    <dataField name="Learners Count" fld="8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tudentsEnrolment" displayName="StudentsEnrolment" ref="A1:D44" headerRowCount="1" totalsRowCount="0" totalsRowShown="0">
  <tableColumns count="4">
    <tableColumn id="1" name="Name"/>
    <tableColumn id="2" name="Surname"/>
    <tableColumn id="3" name="email"/>
    <tableColumn id="4" name="Clas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77" zoomScaleNormal="77" zoomScalePageLayoutView="100" workbookViewId="0">
      <selection pane="topLeft" activeCell="I2" activeCellId="0" sqref="I2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1.88"/>
    <col collapsed="false" customWidth="true" hidden="false" outlineLevel="0" max="3" min="3" style="0" width="18.88"/>
    <col collapsed="false" customWidth="true" hidden="false" outlineLevel="0" max="4" min="4" style="0" width="68.91"/>
    <col collapsed="false" customWidth="true" hidden="false" outlineLevel="0" max="5" min="5" style="0" width="29.1"/>
    <col collapsed="false" customWidth="true" hidden="false" outlineLevel="0" max="6" min="6" style="0" width="36.28"/>
    <col collapsed="false" customWidth="true" hidden="false" outlineLevel="0" max="7" min="7" style="0" width="26.64"/>
    <col collapsed="false" customWidth="true" hidden="false" outlineLevel="0" max="8" min="8" style="0" width="40.06"/>
    <col collapsed="false" customWidth="true" hidden="false" outlineLevel="0" max="9" min="9" style="0" width="35.16"/>
    <col collapsed="false" customWidth="true" hidden="false" outlineLevel="0" max="26" min="10" style="0" width="7.63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7.35" hidden="false" customHeight="false" outlineLevel="0" collapsed="false">
      <c r="A2" s="3" t="s">
        <v>9</v>
      </c>
      <c r="B2" s="3" t="s">
        <v>10</v>
      </c>
      <c r="C2" s="3" t="str">
        <f aca="false">A2&amp;MID(B2,2,2)&amp;"@gmail.com"</f>
        <v>Johnak@gmail.com</v>
      </c>
      <c r="D2" s="3" t="s">
        <v>11</v>
      </c>
      <c r="E2" s="0" t="str">
        <f aca="false">_xlfn.XLOOKUP(C2,StudentTracker!$C$2:$C$44,StudentTracker!$J$2:$J$44)</f>
        <v>Excellent</v>
      </c>
      <c r="F2" s="2" t="s">
        <v>12</v>
      </c>
      <c r="G2" s="2" t="n">
        <f aca="false">COUNTIF($D$2:$D$444,$F2)</f>
        <v>15</v>
      </c>
      <c r="H2" s="4" t="n">
        <f aca="false">COUNTIFS(D2:D44,F2,E2:E44,"&lt;&gt;Failed")</f>
        <v>13</v>
      </c>
      <c r="I2" s="2" t="n">
        <f aca="false">COUNTIFS(D2:D44,F2,E2:E44,"Failed")</f>
        <v>2</v>
      </c>
    </row>
    <row r="3" customFormat="false" ht="17.35" hidden="false" customHeight="false" outlineLevel="0" collapsed="false">
      <c r="A3" s="3" t="s">
        <v>13</v>
      </c>
      <c r="B3" s="3" t="s">
        <v>14</v>
      </c>
      <c r="C3" s="3" t="str">
        <f aca="false">A3&amp;MID(B3,2,2)&amp;"@gmail.com"</f>
        <v>Elvison@gmail.com</v>
      </c>
      <c r="D3" s="3" t="s">
        <v>12</v>
      </c>
      <c r="E3" s="0" t="str">
        <f aca="false">_xlfn.XLOOKUP(C3,StudentTracker!$C$2:$C$44,StudentTracker!$J$2:$J$44)</f>
        <v>Excellent</v>
      </c>
      <c r="F3" s="2" t="s">
        <v>11</v>
      </c>
      <c r="G3" s="2" t="n">
        <f aca="false">COUNTIF($D$2:$D$444,$F3)</f>
        <v>13</v>
      </c>
      <c r="H3" s="4" t="n">
        <f aca="false">COUNTIFS(D3:D45,F3,E3:E45,"&lt;&gt;Failed")</f>
        <v>10</v>
      </c>
      <c r="I3" s="2" t="n">
        <f aca="false">COUNTIFS(D3:D45,F3,E3:E45,"Failed")</f>
        <v>2</v>
      </c>
    </row>
    <row r="4" customFormat="false" ht="17.35" hidden="false" customHeight="false" outlineLevel="0" collapsed="false">
      <c r="A4" s="3" t="s">
        <v>15</v>
      </c>
      <c r="B4" s="3" t="s">
        <v>16</v>
      </c>
      <c r="C4" s="3" t="str">
        <f aca="false">A4&amp;MID(B4,2,2)&amp;"@gmail.com"</f>
        <v>Maryas@gmail.com</v>
      </c>
      <c r="D4" s="3" t="s">
        <v>12</v>
      </c>
      <c r="E4" s="0" t="str">
        <f aca="false">_xlfn.XLOOKUP(C4,StudentTracker!$C$2:$C$44,StudentTracker!$J$2:$J$44)</f>
        <v>Failed</v>
      </c>
      <c r="F4" s="2" t="s">
        <v>17</v>
      </c>
      <c r="G4" s="2" t="n">
        <f aca="false">COUNTIF($D$2:$D$444,$F4)</f>
        <v>15</v>
      </c>
      <c r="H4" s="4" t="n">
        <f aca="false">COUNTIFS(D4:D46,F4,E4:E46,"&lt;&gt;Failed")</f>
        <v>12</v>
      </c>
      <c r="I4" s="2" t="n">
        <f aca="false">COUNTIFS(D4:D46,F4,E4:E46,"Failed")</f>
        <v>3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tr">
        <f aca="false">A5&amp;MID(B5,2,2)&amp;"@gmail.com"</f>
        <v>Oliviaat@gmail.com</v>
      </c>
      <c r="D5" s="3" t="s">
        <v>11</v>
      </c>
      <c r="E5" s="0" t="str">
        <f aca="false">_xlfn.XLOOKUP(C5,StudentTracker!$C$2:$C$44,StudentTracker!$J$2:$J$44)</f>
        <v>Good</v>
      </c>
    </row>
    <row r="6" customFormat="false" ht="15" hidden="false" customHeight="false" outlineLevel="0" collapsed="false">
      <c r="A6" s="3" t="s">
        <v>20</v>
      </c>
      <c r="B6" s="3" t="s">
        <v>21</v>
      </c>
      <c r="C6" s="3" t="str">
        <f aca="false">A6&amp;MID(B6,2,2)&amp;"@gmail.com"</f>
        <v>Robertus@gmail.com</v>
      </c>
      <c r="D6" s="3" t="s">
        <v>12</v>
      </c>
      <c r="E6" s="0" t="str">
        <f aca="false">_xlfn.XLOOKUP(C6,StudentTracker!$C$2:$C$44,StudentTracker!$J$2:$J$44)</f>
        <v>Excellent</v>
      </c>
    </row>
    <row r="7" customFormat="false" ht="15" hidden="false" customHeight="false" outlineLevel="0" collapsed="false">
      <c r="A7" s="3" t="s">
        <v>22</v>
      </c>
      <c r="B7" s="3" t="s">
        <v>23</v>
      </c>
      <c r="C7" s="3" t="str">
        <f aca="false">A7&amp;MID(B7,2,2)&amp;"@gmail.com"</f>
        <v>Omaras@gmail.com</v>
      </c>
      <c r="D7" s="3" t="s">
        <v>12</v>
      </c>
      <c r="E7" s="0" t="str">
        <f aca="false">_xlfn.XLOOKUP(C7,StudentTracker!$C$2:$C$44,StudentTracker!$J$2:$J$44)</f>
        <v>Pass</v>
      </c>
    </row>
    <row r="8" customFormat="false" ht="15" hidden="false" customHeight="false" outlineLevel="0" collapsed="false">
      <c r="A8" s="3" t="s">
        <v>24</v>
      </c>
      <c r="B8" s="3" t="s">
        <v>25</v>
      </c>
      <c r="C8" s="3" t="str">
        <f aca="false">A8&amp;MID(B8,2,2)&amp;"@gmail.com"</f>
        <v>Dianain@gmail.com</v>
      </c>
      <c r="D8" s="3" t="s">
        <v>11</v>
      </c>
      <c r="E8" s="0" t="str">
        <f aca="false">_xlfn.XLOOKUP(C8,StudentTracker!$C$2:$C$44,StudentTracker!$J$2:$J$44)</f>
        <v>Failed</v>
      </c>
    </row>
    <row r="9" customFormat="false" ht="15" hidden="false" customHeight="false" outlineLevel="0" collapsed="false">
      <c r="A9" s="3" t="s">
        <v>26</v>
      </c>
      <c r="B9" s="3" t="s">
        <v>27</v>
      </c>
      <c r="C9" s="3" t="str">
        <f aca="false">A9&amp;MID(B9,2,2)&amp;"@gmail.com"</f>
        <v>Denisod@gmail.com</v>
      </c>
      <c r="D9" s="3" t="s">
        <v>12</v>
      </c>
      <c r="E9" s="0" t="str">
        <f aca="false">_xlfn.XLOOKUP(C9,StudentTracker!$C$2:$C$44,StudentTracker!$J$2:$J$44)</f>
        <v>Good</v>
      </c>
    </row>
    <row r="10" customFormat="false" ht="15" hidden="false" customHeight="false" outlineLevel="0" collapsed="false">
      <c r="A10" s="3" t="s">
        <v>28</v>
      </c>
      <c r="B10" s="3" t="s">
        <v>29</v>
      </c>
      <c r="C10" s="3" t="str">
        <f aca="false">A10&amp;MID(B10,2,2)&amp;"@gmail.com"</f>
        <v>Kateot@gmail.com</v>
      </c>
      <c r="D10" s="3" t="s">
        <v>11</v>
      </c>
      <c r="E10" s="0" t="str">
        <f aca="false">_xlfn.XLOOKUP(C10,StudentTracker!$C$2:$C$44,StudentTracker!$J$2:$J$44)</f>
        <v>Excellent</v>
      </c>
    </row>
    <row r="11" customFormat="false" ht="15" hidden="false" customHeight="false" outlineLevel="0" collapsed="false">
      <c r="A11" s="3" t="s">
        <v>30</v>
      </c>
      <c r="B11" s="3" t="s">
        <v>31</v>
      </c>
      <c r="C11" s="3" t="str">
        <f aca="false">A11&amp;MID(B11,2,2)&amp;"@gmail.com"</f>
        <v>Mannyac@gmail.com</v>
      </c>
      <c r="D11" s="3" t="s">
        <v>11</v>
      </c>
      <c r="E11" s="0" t="str">
        <f aca="false">_xlfn.XLOOKUP(C11,StudentTracker!$C$2:$C$44,StudentTracker!$J$2:$J$44)</f>
        <v>Pass</v>
      </c>
    </row>
    <row r="12" customFormat="false" ht="15" hidden="false" customHeight="false" outlineLevel="0" collapsed="false">
      <c r="A12" s="3" t="s">
        <v>32</v>
      </c>
      <c r="B12" s="3" t="s">
        <v>33</v>
      </c>
      <c r="C12" s="3" t="str">
        <f aca="false">A12&amp;MID(B12,2,2)&amp;"@gmail.com"</f>
        <v>Katyer@gmail.com</v>
      </c>
      <c r="D12" s="3" t="s">
        <v>11</v>
      </c>
      <c r="E12" s="0" t="str">
        <f aca="false">_xlfn.XLOOKUP(C12,StudentTracker!$C$2:$C$44,StudentTracker!$J$2:$J$44)</f>
        <v>Excellent</v>
      </c>
    </row>
    <row r="13" customFormat="false" ht="15" hidden="false" customHeight="false" outlineLevel="0" collapsed="false">
      <c r="A13" s="3" t="s">
        <v>34</v>
      </c>
      <c r="B13" s="3" t="s">
        <v>35</v>
      </c>
      <c r="C13" s="3" t="str">
        <f aca="false">A13&amp;MID(B13,2,2)&amp;"@gmail.com"</f>
        <v>Antonyar@gmail.com</v>
      </c>
      <c r="D13" s="3" t="s">
        <v>11</v>
      </c>
      <c r="E13" s="0" t="str">
        <f aca="false">_xlfn.XLOOKUP(C13,StudentTracker!$C$2:$C$44,StudentTracker!$J$2:$J$44)</f>
        <v>Good</v>
      </c>
    </row>
    <row r="14" customFormat="false" ht="15" hidden="false" customHeight="false" outlineLevel="0" collapsed="false">
      <c r="A14" s="3" t="s">
        <v>36</v>
      </c>
      <c r="B14" s="3" t="s">
        <v>37</v>
      </c>
      <c r="C14" s="3" t="str">
        <f aca="false">A14&amp;MID(B14,2,2)&amp;"@gmail.com"</f>
        <v>Billyan@gmail.com</v>
      </c>
      <c r="D14" s="3" t="s">
        <v>11</v>
      </c>
      <c r="E14" s="0" t="str">
        <f aca="false">_xlfn.XLOOKUP(C14,StudentTracker!$C$2:$C$44,StudentTracker!$J$2:$J$44)</f>
        <v>Pass</v>
      </c>
    </row>
    <row r="15" customFormat="false" ht="15" hidden="false" customHeight="false" outlineLevel="0" collapsed="false">
      <c r="A15" s="3" t="s">
        <v>38</v>
      </c>
      <c r="B15" s="3" t="s">
        <v>39</v>
      </c>
      <c r="C15" s="3" t="str">
        <f aca="false">A15&amp;MID(B15,2,2)&amp;"@gmail.com"</f>
        <v>Ronaldon@gmail.com</v>
      </c>
      <c r="D15" s="3" t="s">
        <v>11</v>
      </c>
      <c r="E15" s="0" t="str">
        <f aca="false">_xlfn.XLOOKUP(C15,StudentTracker!$C$2:$C$44,StudentTracker!$J$2:$J$44)</f>
        <v>Good</v>
      </c>
    </row>
    <row r="16" customFormat="false" ht="15" hidden="false" customHeight="false" outlineLevel="0" collapsed="false">
      <c r="A16" s="3" t="s">
        <v>9</v>
      </c>
      <c r="B16" s="3" t="s">
        <v>40</v>
      </c>
      <c r="C16" s="3" t="str">
        <f aca="false">A16&amp;MID(B16,2,2)&amp;"@gmail.com"</f>
        <v>Johnad@gmail.com</v>
      </c>
      <c r="D16" s="3" t="s">
        <v>12</v>
      </c>
      <c r="E16" s="0" t="str">
        <f aca="false">_xlfn.XLOOKUP(C16,StudentTracker!$C$2:$C$44,StudentTracker!$J$2:$J$44)</f>
        <v>Excellent</v>
      </c>
    </row>
    <row r="17" customFormat="false" ht="15" hidden="false" customHeight="false" outlineLevel="0" collapsed="false">
      <c r="A17" s="3" t="s">
        <v>38</v>
      </c>
      <c r="B17" s="3" t="s">
        <v>39</v>
      </c>
      <c r="C17" s="3" t="str">
        <f aca="false">A17&amp;MID(B17,2,2)&amp;"@gmail.com"</f>
        <v>Ronaldon@gmail.com</v>
      </c>
      <c r="D17" s="3" t="s">
        <v>12</v>
      </c>
      <c r="E17" s="0" t="str">
        <f aca="false">_xlfn.XLOOKUP(C17,StudentTracker!$C$2:$C$44,StudentTracker!$J$2:$J$44)</f>
        <v>Good</v>
      </c>
    </row>
    <row r="18" customFormat="false" ht="15" hidden="false" customHeight="false" outlineLevel="0" collapsed="false">
      <c r="A18" s="3" t="s">
        <v>41</v>
      </c>
      <c r="B18" s="3" t="s">
        <v>42</v>
      </c>
      <c r="C18" s="3" t="str">
        <f aca="false">A18&amp;MID(B18,2,2)&amp;"@gmail.com"</f>
        <v>Dennisen@gmail.com</v>
      </c>
      <c r="D18" s="3" t="s">
        <v>12</v>
      </c>
      <c r="E18" s="0" t="str">
        <f aca="false">_xlfn.XLOOKUP(C18,StudentTracker!$C$2:$C$44,StudentTracker!$J$2:$J$44)</f>
        <v>Excellent</v>
      </c>
    </row>
    <row r="19" customFormat="false" ht="15" hidden="false" customHeight="false" outlineLevel="0" collapsed="false">
      <c r="A19" s="3" t="s">
        <v>38</v>
      </c>
      <c r="B19" s="3" t="s">
        <v>43</v>
      </c>
      <c r="C19" s="3" t="str">
        <f aca="false">A19&amp;MID(B19,2,2)&amp;"@gmail.com"</f>
        <v>Ronaldap@gmail.com</v>
      </c>
      <c r="D19" s="3" t="s">
        <v>12</v>
      </c>
      <c r="E19" s="0" t="str">
        <f aca="false">_xlfn.XLOOKUP(C19,StudentTracker!$C$2:$C$44,StudentTracker!$J$2:$J$44)</f>
        <v>Good</v>
      </c>
    </row>
    <row r="20" customFormat="false" ht="15" hidden="false" customHeight="false" outlineLevel="0" collapsed="false">
      <c r="A20" s="3" t="s">
        <v>44</v>
      </c>
      <c r="B20" s="3" t="s">
        <v>45</v>
      </c>
      <c r="C20" s="3" t="str">
        <f aca="false">A20&amp;MID(B20,2,2)&amp;"@gmail.com"</f>
        <v>Walidat@gmail.com</v>
      </c>
      <c r="D20" s="3" t="s">
        <v>12</v>
      </c>
      <c r="E20" s="0" t="str">
        <f aca="false">_xlfn.XLOOKUP(C20,StudentTracker!$C$2:$C$44,StudentTracker!$J$2:$J$44)</f>
        <v>Excellent</v>
      </c>
    </row>
    <row r="21" customFormat="false" ht="15.75" hidden="false" customHeight="true" outlineLevel="0" collapsed="false">
      <c r="A21" s="3" t="s">
        <v>46</v>
      </c>
      <c r="B21" s="3" t="s">
        <v>47</v>
      </c>
      <c r="C21" s="3" t="str">
        <f aca="false">A21&amp;MID(B21,2,2)&amp;"@gmail.com"</f>
        <v>Donnaor@gmail.com</v>
      </c>
      <c r="D21" s="3" t="s">
        <v>12</v>
      </c>
      <c r="E21" s="0" t="str">
        <f aca="false">_xlfn.XLOOKUP(C21,StudentTracker!$C$2:$C$44,StudentTracker!$J$2:$J$44)</f>
        <v>Excellent</v>
      </c>
    </row>
    <row r="22" customFormat="false" ht="15.75" hidden="false" customHeight="true" outlineLevel="0" collapsed="false">
      <c r="A22" s="3" t="s">
        <v>15</v>
      </c>
      <c r="B22" s="3" t="s">
        <v>39</v>
      </c>
      <c r="C22" s="3" t="str">
        <f aca="false">A22&amp;MID(B22,2,2)&amp;"@gmail.com"</f>
        <v>Maryon@gmail.com</v>
      </c>
      <c r="D22" s="3" t="s">
        <v>12</v>
      </c>
      <c r="E22" s="0" t="str">
        <f aca="false">_xlfn.XLOOKUP(C22,StudentTracker!$C$2:$C$44,StudentTracker!$J$2:$J$44)</f>
        <v>Pass</v>
      </c>
    </row>
    <row r="23" customFormat="false" ht="15.75" hidden="false" customHeight="true" outlineLevel="0" collapsed="false">
      <c r="A23" s="3" t="s">
        <v>48</v>
      </c>
      <c r="B23" s="3" t="s">
        <v>49</v>
      </c>
      <c r="C23" s="3" t="str">
        <f aca="false">A23&amp;MID(B23,2,2)&amp;"@gmail.com"</f>
        <v>Dustinoi@gmail.com</v>
      </c>
      <c r="D23" s="3" t="s">
        <v>12</v>
      </c>
      <c r="E23" s="0" t="str">
        <f aca="false">_xlfn.XLOOKUP(C23,StudentTracker!$C$2:$C$44,StudentTracker!$J$2:$J$44)</f>
        <v>Failed</v>
      </c>
    </row>
    <row r="24" customFormat="false" ht="15.75" hidden="false" customHeight="true" outlineLevel="0" collapsed="false">
      <c r="A24" s="3" t="s">
        <v>50</v>
      </c>
      <c r="B24" s="3" t="s">
        <v>51</v>
      </c>
      <c r="C24" s="3" t="str">
        <f aca="false">A24&amp;MID(B24,2,2)&amp;"@gmail.com"</f>
        <v>Lanand@gmail.com</v>
      </c>
      <c r="D24" s="3" t="s">
        <v>12</v>
      </c>
      <c r="E24" s="0" t="str">
        <f aca="false">_xlfn.XLOOKUP(C24,StudentTracker!$C$2:$C$44,StudentTracker!$J$2:$J$44)</f>
        <v>Excellent</v>
      </c>
    </row>
    <row r="25" customFormat="false" ht="15.75" hidden="false" customHeight="true" outlineLevel="0" collapsed="false">
      <c r="A25" s="3" t="s">
        <v>52</v>
      </c>
      <c r="B25" s="3" t="s">
        <v>53</v>
      </c>
      <c r="C25" s="3" t="str">
        <f aca="false">A25&amp;MID(B25,2,2)&amp;"@gmail.com"</f>
        <v>Annasa@gmail.com</v>
      </c>
      <c r="D25" s="3" t="s">
        <v>11</v>
      </c>
      <c r="E25" s="0" t="str">
        <f aca="false">_xlfn.XLOOKUP(C25,StudentTracker!$C$2:$C$44,StudentTracker!$J$2:$J$44)</f>
        <v>Good</v>
      </c>
    </row>
    <row r="26" customFormat="false" ht="15.75" hidden="false" customHeight="true" outlineLevel="0" collapsed="false">
      <c r="A26" s="3" t="s">
        <v>54</v>
      </c>
      <c r="B26" s="3" t="s">
        <v>55</v>
      </c>
      <c r="C26" s="3" t="str">
        <f aca="false">A26&amp;MID(B26,2,2)&amp;"@gmail.com"</f>
        <v>Netoun@gmail.com</v>
      </c>
      <c r="D26" s="3" t="s">
        <v>11</v>
      </c>
      <c r="E26" s="0" t="str">
        <f aca="false">_xlfn.XLOOKUP(C26,StudentTracker!$C$2:$C$44,StudentTracker!$J$2:$J$44)</f>
        <v>Failed</v>
      </c>
    </row>
    <row r="27" customFormat="false" ht="15.75" hidden="false" customHeight="true" outlineLevel="0" collapsed="false">
      <c r="A27" s="3" t="s">
        <v>56</v>
      </c>
      <c r="B27" s="3" t="s">
        <v>57</v>
      </c>
      <c r="C27" s="3" t="str">
        <f aca="false">A27&amp;MID(B27,2,2)&amp;"@gmail.com"</f>
        <v>Andresni@gmail.com</v>
      </c>
      <c r="D27" s="3" t="s">
        <v>12</v>
      </c>
      <c r="E27" s="0" t="str">
        <f aca="false">_xlfn.XLOOKUP(C27,StudentTracker!$C$2:$C$44,StudentTracker!$J$2:$J$44)</f>
        <v>Good</v>
      </c>
    </row>
    <row r="28" customFormat="false" ht="15.75" hidden="false" customHeight="true" outlineLevel="0" collapsed="false">
      <c r="A28" s="0" t="s">
        <v>58</v>
      </c>
      <c r="B28" s="0" t="s">
        <v>59</v>
      </c>
      <c r="C28" s="3" t="str">
        <f aca="false">A28&amp;MID(B28,2,2)&amp;"@gmail.com"</f>
        <v>Katiear@gmail.com</v>
      </c>
      <c r="D28" s="0" t="s">
        <v>17</v>
      </c>
      <c r="E28" s="0" t="str">
        <f aca="false">_xlfn.XLOOKUP(C28,StudentTracker!$C$2:$C$44,StudentTracker!$J$2:$J$44)</f>
        <v>Excellent</v>
      </c>
    </row>
    <row r="29" customFormat="false" ht="15.75" hidden="false" customHeight="true" outlineLevel="0" collapsed="false">
      <c r="A29" s="0" t="s">
        <v>60</v>
      </c>
      <c r="B29" s="0" t="s">
        <v>61</v>
      </c>
      <c r="C29" s="3" t="str">
        <f aca="false">A29&amp;MID(B29,2,2)&amp;"@gmail.com"</f>
        <v>Ronaldoel@gmail.com</v>
      </c>
      <c r="D29" s="0" t="s">
        <v>17</v>
      </c>
      <c r="E29" s="0" t="str">
        <f aca="false">_xlfn.XLOOKUP(C29,StudentTracker!$C$2:$C$44,StudentTracker!$J$2:$J$44)</f>
        <v>Failed</v>
      </c>
    </row>
    <row r="30" customFormat="false" ht="15.75" hidden="false" customHeight="true" outlineLevel="0" collapsed="false">
      <c r="A30" s="0" t="s">
        <v>62</v>
      </c>
      <c r="B30" s="0" t="s">
        <v>63</v>
      </c>
      <c r="C30" s="3" t="str">
        <f aca="false">A30&amp;MID(B30,2,2)&amp;"@gmail.com"</f>
        <v>Deanol@gmail.com</v>
      </c>
      <c r="D30" s="0" t="s">
        <v>17</v>
      </c>
      <c r="E30" s="0" t="str">
        <f aca="false">_xlfn.XLOOKUP(C30,StudentTracker!$C$2:$C$44,StudentTracker!$J$2:$J$44)</f>
        <v>Excellent</v>
      </c>
    </row>
    <row r="31" customFormat="false" ht="15.75" hidden="false" customHeight="true" outlineLevel="0" collapsed="false">
      <c r="A31" s="0" t="s">
        <v>64</v>
      </c>
      <c r="B31" s="0" t="s">
        <v>65</v>
      </c>
      <c r="C31" s="3" t="str">
        <f aca="false">A31&amp;MID(B31,2,2)&amp;"@gmail.com"</f>
        <v>Paoloas@gmail.com</v>
      </c>
      <c r="D31" s="0" t="s">
        <v>17</v>
      </c>
      <c r="E31" s="0" t="str">
        <f aca="false">_xlfn.XLOOKUP(C31,StudentTracker!$C$2:$C$44,StudentTracker!$J$2:$J$44)</f>
        <v>Good</v>
      </c>
    </row>
    <row r="32" customFormat="false" ht="15.75" hidden="false" customHeight="true" outlineLevel="0" collapsed="false">
      <c r="A32" s="0" t="s">
        <v>66</v>
      </c>
      <c r="B32" s="0" t="s">
        <v>67</v>
      </c>
      <c r="C32" s="3" t="str">
        <f aca="false">A32&amp;MID(B32,2,2)&amp;"@gmail.com"</f>
        <v>Jean am@gmail.com</v>
      </c>
      <c r="D32" s="0" t="s">
        <v>17</v>
      </c>
      <c r="E32" s="0" t="str">
        <f aca="false">_xlfn.XLOOKUP(C32,StudentTracker!$C$2:$C$44,StudentTracker!$J$2:$J$44)</f>
        <v>Good</v>
      </c>
    </row>
    <row r="33" customFormat="false" ht="15.75" hidden="false" customHeight="true" outlineLevel="0" collapsed="false">
      <c r="A33" s="0" t="s">
        <v>68</v>
      </c>
      <c r="B33" s="0" t="s">
        <v>69</v>
      </c>
      <c r="C33" s="3" t="str">
        <f aca="false">A33&amp;MID(B33,2,2)&amp;"@gmail.com"</f>
        <v>Helen ir@gmail.com</v>
      </c>
      <c r="D33" s="0" t="s">
        <v>17</v>
      </c>
      <c r="E33" s="0" t="str">
        <f aca="false">_xlfn.XLOOKUP(C33,StudentTracker!$C$2:$C$44,StudentTracker!$J$2:$J$44)</f>
        <v>Excellent</v>
      </c>
    </row>
    <row r="34" customFormat="false" ht="15.75" hidden="false" customHeight="true" outlineLevel="0" collapsed="false">
      <c r="A34" s="0" t="s">
        <v>18</v>
      </c>
      <c r="B34" s="0" t="s">
        <v>70</v>
      </c>
      <c r="C34" s="3" t="str">
        <f aca="false">A34&amp;MID(B34,2,2)&amp;"@gmail.com"</f>
        <v>Oliviaan@gmail.com</v>
      </c>
      <c r="D34" s="0" t="s">
        <v>17</v>
      </c>
      <c r="E34" s="0" t="str">
        <f aca="false">_xlfn.XLOOKUP(C34,StudentTracker!$C$2:$C$44,StudentTracker!$J$2:$J$44)</f>
        <v>Good</v>
      </c>
    </row>
    <row r="35" customFormat="false" ht="15.75" hidden="false" customHeight="true" outlineLevel="0" collapsed="false">
      <c r="A35" s="0" t="s">
        <v>71</v>
      </c>
      <c r="B35" s="0" t="s">
        <v>72</v>
      </c>
      <c r="C35" s="3" t="str">
        <f aca="false">A35&amp;MID(B35,2,2)&amp;"@gmail.com"</f>
        <v>Evita ar@gmail.com</v>
      </c>
      <c r="D35" s="0" t="s">
        <v>17</v>
      </c>
      <c r="E35" s="0" t="str">
        <f aca="false">_xlfn.XLOOKUP(C35,StudentTracker!$C$2:$C$44,StudentTracker!$J$2:$J$44)</f>
        <v>Excellent</v>
      </c>
    </row>
    <row r="36" customFormat="false" ht="15.75" hidden="false" customHeight="true" outlineLevel="0" collapsed="false">
      <c r="A36" s="0" t="s">
        <v>73</v>
      </c>
      <c r="B36" s="0" t="s">
        <v>74</v>
      </c>
      <c r="C36" s="3" t="str">
        <f aca="false">A36&amp;MID(B36,2,2)&amp;"@gmail.com"</f>
        <v>Muhammed as@gmail.com</v>
      </c>
      <c r="D36" s="0" t="s">
        <v>17</v>
      </c>
      <c r="E36" s="0" t="str">
        <f aca="false">_xlfn.XLOOKUP(C36,StudentTracker!$C$2:$C$44,StudentTracker!$J$2:$J$44)</f>
        <v>Good</v>
      </c>
    </row>
    <row r="37" customFormat="false" ht="15.75" hidden="false" customHeight="true" outlineLevel="0" collapsed="false">
      <c r="A37" s="0" t="s">
        <v>75</v>
      </c>
      <c r="B37" s="0" t="s">
        <v>76</v>
      </c>
      <c r="C37" s="3" t="str">
        <f aca="false">A37&amp;MID(B37,2,2)&amp;"@gmail.com"</f>
        <v>Billil@gmail.com</v>
      </c>
      <c r="D37" s="0" t="s">
        <v>17</v>
      </c>
      <c r="E37" s="0" t="str">
        <f aca="false">_xlfn.XLOOKUP(C37,StudentTracker!$C$2:$C$44,StudentTracker!$J$2:$J$44)</f>
        <v>Excellent</v>
      </c>
    </row>
    <row r="38" customFormat="false" ht="15.75" hidden="false" customHeight="true" outlineLevel="0" collapsed="false">
      <c r="A38" s="0" t="s">
        <v>77</v>
      </c>
      <c r="B38" s="0" t="s">
        <v>78</v>
      </c>
      <c r="C38" s="3" t="str">
        <f aca="false">A38&amp;MID(B38,2,2)&amp;"@gmail.com"</f>
        <v>Barioar@gmail.com</v>
      </c>
      <c r="D38" s="0" t="s">
        <v>17</v>
      </c>
      <c r="E38" s="0" t="str">
        <f aca="false">_xlfn.XLOOKUP(C38,StudentTracker!$C$2:$C$44,StudentTracker!$J$2:$J$44)</f>
        <v>Excellent</v>
      </c>
    </row>
    <row r="39" customFormat="false" ht="15.75" hidden="false" customHeight="true" outlineLevel="0" collapsed="false">
      <c r="A39" s="0" t="s">
        <v>79</v>
      </c>
      <c r="B39" s="0" t="s">
        <v>80</v>
      </c>
      <c r="C39" s="3" t="str">
        <f aca="false">A39&amp;MID(B39,2,2)&amp;"@gmail.com"</f>
        <v>Silvioer@gmail.com</v>
      </c>
      <c r="D39" s="0" t="s">
        <v>17</v>
      </c>
      <c r="E39" s="0" t="str">
        <f aca="false">_xlfn.XLOOKUP(C39,StudentTracker!$C$2:$C$44,StudentTracker!$J$2:$J$44)</f>
        <v>Failed</v>
      </c>
    </row>
    <row r="40" customFormat="false" ht="15.75" hidden="false" customHeight="true" outlineLevel="0" collapsed="false">
      <c r="A40" s="0" t="s">
        <v>81</v>
      </c>
      <c r="B40" s="0" t="s">
        <v>82</v>
      </c>
      <c r="C40" s="3" t="str">
        <f aca="false">A40&amp;MID(B40,2,2)&amp;"@gmail.com"</f>
        <v>Suziear@gmail.com</v>
      </c>
      <c r="D40" s="0" t="s">
        <v>17</v>
      </c>
      <c r="E40" s="0" t="str">
        <f aca="false">_xlfn.XLOOKUP(C40,StudentTracker!$C$2:$C$44,StudentTracker!$J$2:$J$44)</f>
        <v>Failed</v>
      </c>
    </row>
    <row r="41" customFormat="false" ht="15.75" hidden="false" customHeight="true" outlineLevel="0" collapsed="false">
      <c r="A41" s="0" t="s">
        <v>83</v>
      </c>
      <c r="B41" s="0" t="s">
        <v>84</v>
      </c>
      <c r="C41" s="3" t="str">
        <f aca="false">A41&amp;MID(B41,2,2)&amp;"@gmail.com"</f>
        <v>Donaldlb@gmail.com</v>
      </c>
      <c r="D41" s="0" t="s">
        <v>17</v>
      </c>
      <c r="E41" s="0" t="str">
        <f aca="false">_xlfn.XLOOKUP(C41,StudentTracker!$C$2:$C$44,StudentTracker!$J$2:$J$44)</f>
        <v>Excellent</v>
      </c>
    </row>
    <row r="42" customFormat="false" ht="15.75" hidden="false" customHeight="true" outlineLevel="0" collapsed="false">
      <c r="A42" s="0" t="s">
        <v>85</v>
      </c>
      <c r="B42" s="0" t="s">
        <v>86</v>
      </c>
      <c r="C42" s="3" t="str">
        <f aca="false">A42&amp;MID(B42,2,2)&amp;"@gmail.com"</f>
        <v>Inahr@gmail.com</v>
      </c>
      <c r="D42" s="0" t="s">
        <v>17</v>
      </c>
      <c r="E42" s="0" t="str">
        <f aca="false">_xlfn.XLOOKUP(C42,StudentTracker!$C$2:$C$44,StudentTracker!$J$2:$J$44)</f>
        <v>Good</v>
      </c>
    </row>
    <row r="43" customFormat="false" ht="15.75" hidden="false" customHeight="true" outlineLevel="0" collapsed="false">
      <c r="A43" s="0" t="s">
        <v>87</v>
      </c>
      <c r="B43" s="0" t="s">
        <v>88</v>
      </c>
      <c r="C43" s="3" t="str">
        <f aca="false">A43&amp;MID(B43,2,2)&amp;"@gmail.com"</f>
        <v>Weiao@gmail.com</v>
      </c>
      <c r="D43" s="0" t="s">
        <v>11</v>
      </c>
      <c r="E43" s="0" t="str">
        <f aca="false">_xlfn.XLOOKUP(C43,StudentTracker!$C$2:$C$44,StudentTracker!$J$2:$J$44)</f>
        <v>Good</v>
      </c>
    </row>
    <row r="44" customFormat="false" ht="15.75" hidden="false" customHeight="true" outlineLevel="0" collapsed="false">
      <c r="A44" s="0" t="s">
        <v>89</v>
      </c>
      <c r="B44" s="0" t="s">
        <v>90</v>
      </c>
      <c r="C44" s="3" t="str">
        <f aca="false">A44&amp;MID(B44,2,2)&amp;"@gmail.com"</f>
        <v>Kostasou@gmail.com</v>
      </c>
      <c r="D44" s="0" t="s">
        <v>11</v>
      </c>
      <c r="E44" s="0" t="str">
        <f aca="false">_xlfn.XLOOKUP(C44,StudentTracker!$C$2:$C$44,StudentTracker!$J$2:$J$44)</f>
        <v>Excellent</v>
      </c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00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J2" activeCellId="0" sqref="J2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1.63"/>
    <col collapsed="false" customWidth="true" hidden="false" outlineLevel="0" max="3" min="3" style="0" width="23.75"/>
    <col collapsed="false" customWidth="true" hidden="false" outlineLevel="0" max="4" min="4" style="0" width="11.75"/>
    <col collapsed="false" customWidth="true" hidden="false" outlineLevel="0" max="5" min="5" style="0" width="10.5"/>
    <col collapsed="false" customWidth="true" hidden="false" outlineLevel="0" max="6" min="6" style="0" width="36.85"/>
    <col collapsed="false" customWidth="true" hidden="false" outlineLevel="0" max="7" min="7" style="0" width="20.89"/>
    <col collapsed="false" customWidth="true" hidden="false" outlineLevel="0" max="8" min="8" style="0" width="26.46"/>
    <col collapsed="false" customWidth="true" hidden="false" outlineLevel="0" max="9" min="9" style="0" width="33.45"/>
    <col collapsed="false" customWidth="true" hidden="false" outlineLevel="0" max="10" min="10" style="0" width="20.22"/>
    <col collapsed="false" customWidth="true" hidden="false" outlineLevel="0" max="11" min="11" style="0" width="7.63"/>
    <col collapsed="false" customWidth="true" hidden="false" outlineLevel="0" max="12" min="12" style="0" width="9.12"/>
    <col collapsed="false" customWidth="true" hidden="false" outlineLevel="0" max="13" min="13" style="0" width="16.75"/>
    <col collapsed="false" customWidth="true" hidden="false" outlineLevel="0" max="14" min="14" style="0" width="24"/>
    <col collapsed="false" customWidth="true" hidden="false" outlineLevel="0" max="15" min="15" style="0" width="16.75"/>
    <col collapsed="false" customWidth="true" hidden="false" outlineLevel="0" max="16" min="16" style="0" width="15.89"/>
    <col collapsed="false" customWidth="true" hidden="false" outlineLevel="0" max="49" min="17" style="0" width="7.63"/>
  </cols>
  <sheetData>
    <row r="1" customFormat="false" ht="25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91</v>
      </c>
      <c r="F1" s="5" t="s">
        <v>92</v>
      </c>
      <c r="G1" s="5" t="s">
        <v>93</v>
      </c>
      <c r="H1" s="6" t="s">
        <v>94</v>
      </c>
      <c r="I1" s="6" t="s">
        <v>95</v>
      </c>
      <c r="J1" s="5" t="s">
        <v>96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customFormat="false" ht="17.35" hidden="false" customHeight="false" outlineLevel="0" collapsed="false">
      <c r="A2" s="8" t="str">
        <f aca="false">StudendEnroll!A2</f>
        <v>John</v>
      </c>
      <c r="B2" s="8" t="str">
        <f aca="false">StudendEnroll!B2</f>
        <v>Makaron</v>
      </c>
      <c r="C2" s="8" t="str">
        <f aca="false">StudendEnroll!C2</f>
        <v>Johnak@gmail.com</v>
      </c>
      <c r="D2" s="8" t="str">
        <f aca="false">StudendEnroll!D2</f>
        <v>Physics1</v>
      </c>
      <c r="E2" s="9" t="n">
        <f aca="false">IF(D2=$N$3,(_xlfn.XLOOKUP(C2,'Physics1.DailyAttendance'!$D$2:$D$14,'Physics1.DailyAttendance'!$R$2:$R$14)),_xlfn.XLOOKUP(C2,'Maths1.DailyAttendance'!$D$2:$D$16,'Maths1.DailyAttendance'!$R$2:$R$16,_xlfn.XLOOKUP(C2,'English Language'!$D$2:$D$16,'English Language'!$R$2:$R$16)))</f>
        <v>0.8</v>
      </c>
      <c r="F2" s="10" t="n">
        <f aca="false">IF(D2=$N$3,(_xlfn.XLOOKUP(C2,'Physics1.DailyAttendance'!$D$2:$D$16,'Physics1.DailyAttendance'!$S$2:$S$16)),_xlfn.XLOOKUP(C2,'Maths1.DailyAttendance'!$D$2:$D$16,'Maths1.DailyAttendance'!$S$2:$S$16,_xlfn.XLOOKUP(C2,'English Language'!D$2:$D$16,'English Language'!$S$2:$S$16)))</f>
        <v>85</v>
      </c>
      <c r="G2" s="10" t="n">
        <f aca="false">IF(D2=$N$3,(_xlfn.XLOOKUP(C2,'Physics1.DailyAttendance'!$D$2:$D$16,'Physics1.DailyAttendance'!$T$2:$T$16)),_xlfn.XLOOKUP(C2,'Maths1.DailyAttendance'!$D$2:$D$16,'Maths1.DailyAttendance'!$T$2:$T$16,_xlfn.XLOOKUP(C2,'English Language'!$D$2:$D$16,'English Language'!$T$2:$T$16)))</f>
        <v>87</v>
      </c>
      <c r="H2" s="10" t="str">
        <f aca="false">IF(D2=$N$3,(_xlfn.XLOOKUP(C2,'Physics1.DailyAttendance'!$D$2:$D$16,'Physics1.DailyAttendance'!$U$2:$U$16)),_xlfn.XLOOKUP(C2,'Maths1.DailyAttendance'!$D$2:$D$16,'Maths1.DailyAttendance'!$U$2:$U$16,_xlfn.XLOOKUP(C2,'English Language'!$D$2:F$16,'English Language'!$U$2:$U$16)))</f>
        <v>Yes</v>
      </c>
      <c r="I2" s="11" t="n">
        <f aca="false">(E2*40)+F2*0.15+G2*0.2+(IF(H2="Yes",25,0))</f>
        <v>87.15</v>
      </c>
      <c r="J2" s="12" t="str">
        <f aca="false">IF(I2&gt;87,"Excellent",IF(I2&lt;70,"Failed",IF(I2&gt;77,"Good","Pass")))</f>
        <v>Excellent</v>
      </c>
      <c r="K2" s="8"/>
      <c r="L2" s="8"/>
      <c r="M2" s="8"/>
      <c r="N2" s="13" t="s">
        <v>97</v>
      </c>
      <c r="P2" s="14" t="s">
        <v>98</v>
      </c>
      <c r="Q2" s="14"/>
      <c r="R2" s="14"/>
      <c r="S2" s="14"/>
      <c r="T2" s="14"/>
      <c r="U2" s="14"/>
      <c r="V2" s="14"/>
      <c r="W2" s="14"/>
      <c r="X2" s="14"/>
      <c r="Y2" s="14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customFormat="false" ht="17.35" hidden="false" customHeight="false" outlineLevel="0" collapsed="false">
      <c r="A3" s="8" t="str">
        <f aca="false">StudendEnroll!A3</f>
        <v>Elvis</v>
      </c>
      <c r="B3" s="8" t="str">
        <f aca="false">StudendEnroll!B3</f>
        <v>Bond</v>
      </c>
      <c r="C3" s="8" t="str">
        <f aca="false">StudendEnroll!C3</f>
        <v>Elvison@gmail.com</v>
      </c>
      <c r="D3" s="8" t="str">
        <f aca="false">StudendEnroll!D3</f>
        <v>Maths1</v>
      </c>
      <c r="E3" s="9" t="n">
        <f aca="false">IF(D3=$N$3,(_xlfn.XLOOKUP(C3,'Physics1.DailyAttendance'!$D$2:$D$14,'Physics1.DailyAttendance'!$R$2:$R$14)),_xlfn.XLOOKUP(C3,'Maths1.DailyAttendance'!$D$2:$D$16,'Maths1.DailyAttendance'!$R$2:$R$16,_xlfn.XLOOKUP(C3,'English Language'!$D$2:$D$16,'English Language'!$R$2:$R$16)))</f>
        <v>0.9</v>
      </c>
      <c r="F3" s="10" t="n">
        <f aca="false">IF(D3=$N$3,(_xlfn.XLOOKUP(C3,'Physics1.DailyAttendance'!$D$2:$D$16,'Physics1.DailyAttendance'!$S$2:$S$16)),_xlfn.XLOOKUP(C3,'Maths1.DailyAttendance'!$D$2:$D$16,'Maths1.DailyAttendance'!$S$2:$S$16,_xlfn.XLOOKUP(C3,'English Language'!D$2:$D$16,'English Language'!$S$2:$S$16)))</f>
        <v>96</v>
      </c>
      <c r="G3" s="10" t="n">
        <f aca="false">IF(D3=$N$3,(_xlfn.XLOOKUP(C3,'Physics1.DailyAttendance'!$D$2:$D$16,'Physics1.DailyAttendance'!$T$2:$T$16)),_xlfn.XLOOKUP(C3,'Maths1.DailyAttendance'!$D$2:$D$16,'Maths1.DailyAttendance'!$T$2:$T$16,_xlfn.XLOOKUP(C3,'English Language'!$D$2:$D$16,'English Language'!$T$2:$T$16)))</f>
        <v>88</v>
      </c>
      <c r="H3" s="10" t="str">
        <f aca="false">IF(D3=$N$3,(_xlfn.XLOOKUP(C3,'Physics1.DailyAttendance'!$D$2:$D$16,'Physics1.DailyAttendance'!$U$2:$U$16)),_xlfn.XLOOKUP(C3,'Maths1.DailyAttendance'!$D$2:$D$16,'Maths1.DailyAttendance'!$U$2:$U$16,_xlfn.XLOOKUP(C3,'English Language'!$D$2:F$16,'English Language'!$U$2:$U$16)))</f>
        <v>Yes</v>
      </c>
      <c r="I3" s="11" t="n">
        <f aca="false">(E3*40)+F3*0.15+G3*0.2+(IF(H3="Yes",25,0))</f>
        <v>93</v>
      </c>
      <c r="J3" s="8" t="str">
        <f aca="false">IF(I3&gt;87,"Excellent",IF(I3&lt;70,"Failed",IF(I3&gt;77,"Good","Pass")))</f>
        <v>Excellent</v>
      </c>
      <c r="K3" s="8"/>
      <c r="L3" s="8"/>
      <c r="M3" s="8"/>
      <c r="N3" s="15" t="s">
        <v>11</v>
      </c>
      <c r="P3" s="16"/>
      <c r="Q3" s="16"/>
      <c r="R3" s="16"/>
      <c r="S3" s="16"/>
      <c r="T3" s="16"/>
      <c r="U3" s="16"/>
      <c r="V3" s="16"/>
      <c r="W3" s="16"/>
      <c r="X3" s="16" t="s">
        <v>99</v>
      </c>
      <c r="Y3" s="16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customFormat="false" ht="17.35" hidden="false" customHeight="false" outlineLevel="0" collapsed="false">
      <c r="A4" s="8" t="str">
        <f aca="false">StudendEnroll!A4</f>
        <v>Mary</v>
      </c>
      <c r="B4" s="8" t="str">
        <f aca="false">StudendEnroll!B4</f>
        <v>Gas</v>
      </c>
      <c r="C4" s="8" t="str">
        <f aca="false">StudendEnroll!C4</f>
        <v>Maryas@gmail.com</v>
      </c>
      <c r="D4" s="8" t="str">
        <f aca="false">StudendEnroll!D4</f>
        <v>Maths1</v>
      </c>
      <c r="E4" s="9" t="n">
        <f aca="false">IF(D4=$N$3,(_xlfn.XLOOKUP(C4,'Physics1.DailyAttendance'!$D$2:$D$14,'Physics1.DailyAttendance'!$R$2:$R$14)),_xlfn.XLOOKUP(C4,'Maths1.DailyAttendance'!$D$2:$D$16,'Maths1.DailyAttendance'!$R$2:$R$16,_xlfn.XLOOKUP(C4,'English Language'!$D$2:$D$16,'English Language'!$R$2:$R$16)))</f>
        <v>0.9</v>
      </c>
      <c r="F4" s="10" t="n">
        <f aca="false">IF(D4=$N$3,(_xlfn.XLOOKUP(C4,'Physics1.DailyAttendance'!$D$2:$D$16,'Physics1.DailyAttendance'!$S$2:$S$16)),_xlfn.XLOOKUP(C4,'Maths1.DailyAttendance'!$D$2:$D$16,'Maths1.DailyAttendance'!$S$2:$S$16,_xlfn.XLOOKUP(C4,'English Language'!D$2:$D$16,'English Language'!$S$2:$S$16)))</f>
        <v>55</v>
      </c>
      <c r="G4" s="10" t="n">
        <f aca="false">IF(D4=$N$3,(_xlfn.XLOOKUP(C4,'Physics1.DailyAttendance'!$D$2:$D$16,'Physics1.DailyAttendance'!$T$2:$T$16)),_xlfn.XLOOKUP(C4,'Maths1.DailyAttendance'!$D$2:$D$16,'Maths1.DailyAttendance'!$T$2:$T$16,_xlfn.XLOOKUP(C4,'English Language'!$D$2:$D$16,'English Language'!$T$2:$T$16)))</f>
        <v>66</v>
      </c>
      <c r="H4" s="10" t="str">
        <f aca="false">IF(D4=$N$3,(_xlfn.XLOOKUP(C4,'Physics1.DailyAttendance'!$D$2:$D$16,'Physics1.DailyAttendance'!$U$2:$U$16)),_xlfn.XLOOKUP(C4,'Maths1.DailyAttendance'!$D$2:$D$16,'Maths1.DailyAttendance'!$U$2:$U$16,_xlfn.XLOOKUP(C4,'English Language'!$D$2:F$16,'English Language'!$U$2:$U$16)))</f>
        <v>No</v>
      </c>
      <c r="I4" s="11" t="n">
        <f aca="false">(E4*40)+F4*0.15+G4*0.2+(IF(H4="Yes",25,0))</f>
        <v>57.45</v>
      </c>
      <c r="J4" s="8" t="str">
        <f aca="false">IF(I4&gt;87,"Excellent",IF(I4&lt;70,"Failed",IF(I4&gt;77,"Good","Pass")))</f>
        <v>Failed</v>
      </c>
      <c r="K4" s="8"/>
      <c r="L4" s="8"/>
      <c r="M4" s="8"/>
      <c r="N4" s="15" t="s">
        <v>12</v>
      </c>
      <c r="P4" s="16"/>
      <c r="Q4" s="17" t="s">
        <v>100</v>
      </c>
      <c r="R4" s="18"/>
      <c r="S4" s="18"/>
      <c r="T4" s="18"/>
      <c r="U4" s="18"/>
      <c r="V4" s="18"/>
      <c r="W4" s="18"/>
      <c r="X4" s="19" t="n">
        <v>40</v>
      </c>
      <c r="Y4" s="16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customFormat="false" ht="17.35" hidden="false" customHeight="false" outlineLevel="0" collapsed="false">
      <c r="A5" s="8" t="str">
        <f aca="false">StudendEnroll!A5</f>
        <v>Olivia</v>
      </c>
      <c r="B5" s="8" t="str">
        <f aca="false">StudendEnroll!B5</f>
        <v>Matt</v>
      </c>
      <c r="C5" s="8" t="str">
        <f aca="false">StudendEnroll!C5</f>
        <v>Oliviaat@gmail.com</v>
      </c>
      <c r="D5" s="8" t="str">
        <f aca="false">StudendEnroll!D5</f>
        <v>Physics1</v>
      </c>
      <c r="E5" s="9" t="n">
        <f aca="false">IF(D5=$N$3,(_xlfn.XLOOKUP(C5,'Physics1.DailyAttendance'!$D$2:$D$14,'Physics1.DailyAttendance'!$R$2:$R$14)),_xlfn.XLOOKUP(C5,'Maths1.DailyAttendance'!$D$2:$D$16,'Maths1.DailyAttendance'!$R$2:$R$16,_xlfn.XLOOKUP(C5,'English Language'!$D$2:$D$16,'English Language'!$R$2:$R$16)))</f>
        <v>0.8</v>
      </c>
      <c r="F5" s="10" t="n">
        <f aca="false">IF(D5=$N$3,(_xlfn.XLOOKUP(C5,'Physics1.DailyAttendance'!$D$2:$D$16,'Physics1.DailyAttendance'!$S$2:$S$16)),_xlfn.XLOOKUP(C5,'Maths1.DailyAttendance'!$D$2:$D$16,'Maths1.DailyAttendance'!$S$2:$S$16,_xlfn.XLOOKUP(C5,'English Language'!D$2:$D$16,'English Language'!$S$2:$S$16)))</f>
        <v>88</v>
      </c>
      <c r="G5" s="10" t="n">
        <f aca="false">IF(D5=$N$3,(_xlfn.XLOOKUP(C5,'Physics1.DailyAttendance'!$D$2:$D$16,'Physics1.DailyAttendance'!$T$2:$T$16)),_xlfn.XLOOKUP(C5,'Maths1.DailyAttendance'!$D$2:$D$16,'Maths1.DailyAttendance'!$T$2:$T$16,_xlfn.XLOOKUP(C5,'English Language'!$D$2:$D$16,'English Language'!$T$2:$T$16)))</f>
        <v>75</v>
      </c>
      <c r="H5" s="10" t="str">
        <f aca="false">IF(D5=$N$3,(_xlfn.XLOOKUP(C5,'Physics1.DailyAttendance'!$D$2:$D$16,'Physics1.DailyAttendance'!$U$2:$U$16)),_xlfn.XLOOKUP(C5,'Maths1.DailyAttendance'!$D$2:$D$16,'Maths1.DailyAttendance'!$U$2:$U$16,_xlfn.XLOOKUP(C5,'English Language'!$D$2:F$16,'English Language'!$U$2:$U$16)))</f>
        <v>Yes</v>
      </c>
      <c r="I5" s="11" t="n">
        <f aca="false">(E5*40)+F5*0.15+G5*0.2+(IF(H5="Yes",25,0))</f>
        <v>85.2</v>
      </c>
      <c r="J5" s="8" t="str">
        <f aca="false">IF(I5&gt;87,"Excellent",IF(I5&lt;70,"Failed",IF(I5&gt;77,"Good","Pass")))</f>
        <v>Good</v>
      </c>
      <c r="K5" s="8"/>
      <c r="L5" s="8"/>
      <c r="M5" s="8"/>
      <c r="N5" s="15" t="s">
        <v>17</v>
      </c>
      <c r="O5" s="8"/>
      <c r="P5" s="16"/>
      <c r="Q5" s="20" t="s">
        <v>101</v>
      </c>
      <c r="R5" s="21"/>
      <c r="S5" s="21"/>
      <c r="T5" s="21"/>
      <c r="U5" s="21"/>
      <c r="V5" s="21"/>
      <c r="W5" s="21"/>
      <c r="X5" s="22" t="n">
        <v>15</v>
      </c>
      <c r="Y5" s="16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customFormat="false" ht="17.35" hidden="false" customHeight="false" outlineLevel="0" collapsed="false">
      <c r="A6" s="8" t="str">
        <f aca="false">StudendEnroll!A6</f>
        <v>Robert</v>
      </c>
      <c r="B6" s="8" t="str">
        <f aca="false">StudendEnroll!B6</f>
        <v>Hus</v>
      </c>
      <c r="C6" s="8" t="str">
        <f aca="false">StudendEnroll!C6</f>
        <v>Robertus@gmail.com</v>
      </c>
      <c r="D6" s="8" t="str">
        <f aca="false">StudendEnroll!D6</f>
        <v>Maths1</v>
      </c>
      <c r="E6" s="9" t="n">
        <f aca="false">IF(D6=$N$3,(_xlfn.XLOOKUP(C6,'Physics1.DailyAttendance'!$D$2:$D$14,'Physics1.DailyAttendance'!$R$2:$R$14)),_xlfn.XLOOKUP(C6,'Maths1.DailyAttendance'!$D$2:$D$16,'Maths1.DailyAttendance'!$R$2:$R$16,_xlfn.XLOOKUP(C6,'English Language'!$D$2:$D$16,'English Language'!$R$2:$R$16)))</f>
        <v>1</v>
      </c>
      <c r="F6" s="10" t="n">
        <f aca="false">IF(D6=$N$3,(_xlfn.XLOOKUP(C6,'Physics1.DailyAttendance'!$D$2:$D$16,'Physics1.DailyAttendance'!$S$2:$S$16)),_xlfn.XLOOKUP(C6,'Maths1.DailyAttendance'!$D$2:$D$16,'Maths1.DailyAttendance'!$S$2:$S$16,_xlfn.XLOOKUP(C6,'English Language'!D$2:$D$16,'English Language'!$S$2:$S$16)))</f>
        <v>81</v>
      </c>
      <c r="G6" s="10" t="n">
        <f aca="false">IF(D6=$N$3,(_xlfn.XLOOKUP(C6,'Physics1.DailyAttendance'!$D$2:$D$16,'Physics1.DailyAttendance'!$T$2:$T$16)),_xlfn.XLOOKUP(C6,'Maths1.DailyAttendance'!$D$2:$D$16,'Maths1.DailyAttendance'!$T$2:$T$16,_xlfn.XLOOKUP(C6,'English Language'!$D$2:$D$16,'English Language'!$T$2:$T$16)))</f>
        <v>99</v>
      </c>
      <c r="H6" s="10" t="str">
        <f aca="false">IF(D6=$N$3,(_xlfn.XLOOKUP(C6,'Physics1.DailyAttendance'!$D$2:$D$16,'Physics1.DailyAttendance'!$U$2:$U$16)),_xlfn.XLOOKUP(C6,'Maths1.DailyAttendance'!$D$2:$D$16,'Maths1.DailyAttendance'!$U$2:$U$16,_xlfn.XLOOKUP(C6,'English Language'!$D$2:F$16,'English Language'!$U$2:$U$16)))</f>
        <v>Yes</v>
      </c>
      <c r="I6" s="11" t="n">
        <f aca="false">(E6*40)+F6*0.15+G6*0.2+(IF(H6="Yes",25,0))</f>
        <v>96.95</v>
      </c>
      <c r="J6" s="8" t="str">
        <f aca="false">IF(I6&gt;87,"Excellent",IF(I6&lt;70,"Failed",IF(I6&gt;77,"Good","Pass")))</f>
        <v>Excellent</v>
      </c>
      <c r="K6" s="8"/>
      <c r="L6" s="8"/>
      <c r="M6" s="8"/>
      <c r="N6" s="8"/>
      <c r="O6" s="8"/>
      <c r="P6" s="16"/>
      <c r="Q6" s="20" t="s">
        <v>102</v>
      </c>
      <c r="R6" s="21"/>
      <c r="S6" s="21"/>
      <c r="T6" s="21"/>
      <c r="U6" s="21"/>
      <c r="V6" s="21"/>
      <c r="W6" s="21"/>
      <c r="X6" s="22" t="n">
        <v>20</v>
      </c>
      <c r="Y6" s="16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customFormat="false" ht="17.35" hidden="false" customHeight="false" outlineLevel="0" collapsed="false">
      <c r="A7" s="8" t="str">
        <f aca="false">StudendEnroll!A7</f>
        <v>Omar</v>
      </c>
      <c r="B7" s="8" t="str">
        <f aca="false">StudendEnroll!B7</f>
        <v>Kasim</v>
      </c>
      <c r="C7" s="8" t="str">
        <f aca="false">StudendEnroll!C7</f>
        <v>Omaras@gmail.com</v>
      </c>
      <c r="D7" s="8" t="str">
        <f aca="false">StudendEnroll!D7</f>
        <v>Maths1</v>
      </c>
      <c r="E7" s="9" t="n">
        <f aca="false">IF(D7=$N$3,(_xlfn.XLOOKUP(C7,'Physics1.DailyAttendance'!$D$2:$D$14,'Physics1.DailyAttendance'!$R$2:$R$14)),_xlfn.XLOOKUP(C7,'Maths1.DailyAttendance'!$D$2:$D$16,'Maths1.DailyAttendance'!$R$2:$R$16,_xlfn.XLOOKUP(C7,'English Language'!$D$2:$D$16,'English Language'!$R$2:$R$16)))</f>
        <v>0.6</v>
      </c>
      <c r="F7" s="10" t="n">
        <f aca="false">IF(D7=$N$3,(_xlfn.XLOOKUP(C7,'Physics1.DailyAttendance'!$D$2:$D$16,'Physics1.DailyAttendance'!$S$2:$S$16)),_xlfn.XLOOKUP(C7,'Maths1.DailyAttendance'!$D$2:$D$16,'Maths1.DailyAttendance'!$S$2:$S$16,_xlfn.XLOOKUP(C7,'English Language'!D$2:$D$16,'English Language'!$S$2:$S$16)))</f>
        <v>77</v>
      </c>
      <c r="G7" s="10" t="n">
        <f aca="false">IF(D7=$N$3,(_xlfn.XLOOKUP(C7,'Physics1.DailyAttendance'!$D$2:$D$16,'Physics1.DailyAttendance'!$T$2:$T$16)),_xlfn.XLOOKUP(C7,'Maths1.DailyAttendance'!$D$2:$D$16,'Maths1.DailyAttendance'!$T$2:$T$16,_xlfn.XLOOKUP(C7,'English Language'!$D$2:$D$16,'English Language'!$T$2:$T$16)))</f>
        <v>67</v>
      </c>
      <c r="H7" s="10" t="str">
        <f aca="false">IF(D7=$N$3,(_xlfn.XLOOKUP(C7,'Physics1.DailyAttendance'!$D$2:$D$16,'Physics1.DailyAttendance'!$U$2:$U$16)),_xlfn.XLOOKUP(C7,'Maths1.DailyAttendance'!$D$2:$D$16,'Maths1.DailyAttendance'!$U$2:$U$16,_xlfn.XLOOKUP(C7,'English Language'!$D$2:F$16,'English Language'!$U$2:$U$16)))</f>
        <v>Yes</v>
      </c>
      <c r="I7" s="11" t="n">
        <f aca="false">(E7*40)+F7*0.15+G7*0.2+(IF(H7="Yes",25,0))</f>
        <v>73.95</v>
      </c>
      <c r="J7" s="8" t="str">
        <f aca="false">IF(I7&gt;87,"Excellent",IF(I7&lt;70,"Failed",IF(I7&gt;77,"Good","Pass")))</f>
        <v>Pass</v>
      </c>
      <c r="K7" s="8"/>
      <c r="L7" s="8"/>
      <c r="M7" s="8"/>
      <c r="N7" s="8"/>
      <c r="O7" s="8"/>
      <c r="P7" s="16"/>
      <c r="Q7" s="23" t="s">
        <v>103</v>
      </c>
      <c r="R7" s="24"/>
      <c r="S7" s="24"/>
      <c r="T7" s="24"/>
      <c r="U7" s="24"/>
      <c r="V7" s="24"/>
      <c r="W7" s="24"/>
      <c r="X7" s="25" t="n">
        <v>25</v>
      </c>
      <c r="Y7" s="16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customFormat="false" ht="17.35" hidden="false" customHeight="false" outlineLevel="0" collapsed="false">
      <c r="A8" s="8" t="str">
        <f aca="false">StudendEnroll!A8</f>
        <v>Diana</v>
      </c>
      <c r="B8" s="8" t="str">
        <f aca="false">StudendEnroll!B8</f>
        <v>Pinto</v>
      </c>
      <c r="C8" s="8" t="str">
        <f aca="false">StudendEnroll!C8</f>
        <v>Dianain@gmail.com</v>
      </c>
      <c r="D8" s="8" t="str">
        <f aca="false">StudendEnroll!D8</f>
        <v>Physics1</v>
      </c>
      <c r="E8" s="9" t="n">
        <f aca="false">IF(D8=$N$3,(_xlfn.XLOOKUP(C8,'Physics1.DailyAttendance'!$D$2:$D$14,'Physics1.DailyAttendance'!$R$2:$R$14)),_xlfn.XLOOKUP(C8,'Maths1.DailyAttendance'!$D$2:$D$16,'Maths1.DailyAttendance'!$R$2:$R$16,_xlfn.XLOOKUP(C8,'English Language'!$D$2:$D$16,'English Language'!$R$2:$R$16)))</f>
        <v>0.4</v>
      </c>
      <c r="F8" s="10" t="n">
        <f aca="false">IF(D8=$N$3,(_xlfn.XLOOKUP(C8,'Physics1.DailyAttendance'!$D$2:$D$16,'Physics1.DailyAttendance'!$S$2:$S$16)),_xlfn.XLOOKUP(C8,'Maths1.DailyAttendance'!$D$2:$D$16,'Maths1.DailyAttendance'!$S$2:$S$16,_xlfn.XLOOKUP(C8,'English Language'!D$2:$D$16,'English Language'!$S$2:$S$16)))</f>
        <v>69</v>
      </c>
      <c r="G8" s="10" t="n">
        <f aca="false">IF(D8=$N$3,(_xlfn.XLOOKUP(C8,'Physics1.DailyAttendance'!$D$2:$D$16,'Physics1.DailyAttendance'!$T$2:$T$16)),_xlfn.XLOOKUP(C8,'Maths1.DailyAttendance'!$D$2:$D$16,'Maths1.DailyAttendance'!$T$2:$T$16,_xlfn.XLOOKUP(C8,'English Language'!$D$2:$D$16,'English Language'!$T$2:$T$16)))</f>
        <v>33</v>
      </c>
      <c r="H8" s="10" t="str">
        <f aca="false">IF(D8=$N$3,(_xlfn.XLOOKUP(C8,'Physics1.DailyAttendance'!$D$2:$D$16,'Physics1.DailyAttendance'!$U$2:$U$16)),_xlfn.XLOOKUP(C8,'Maths1.DailyAttendance'!$D$2:$D$16,'Maths1.DailyAttendance'!$U$2:$U$16,_xlfn.XLOOKUP(C8,'English Language'!$D$2:F$16,'English Language'!$U$2:$U$16)))</f>
        <v>Yes</v>
      </c>
      <c r="I8" s="11" t="n">
        <f aca="false">(E8*40)+F8*0.15+G8*0.2+(IF(H8="Yes",25,0))</f>
        <v>57.95</v>
      </c>
      <c r="J8" s="8" t="str">
        <f aca="false">IF(I8&gt;87,"Excellent",IF(I8&lt;70,"Failed",IF(I8&gt;77,"Good","Pass")))</f>
        <v>Failed</v>
      </c>
      <c r="K8" s="8"/>
      <c r="L8" s="8"/>
      <c r="M8" s="8"/>
      <c r="N8" s="8"/>
      <c r="O8" s="8"/>
      <c r="P8" s="16"/>
      <c r="Q8" s="26" t="s">
        <v>104</v>
      </c>
      <c r="R8" s="27"/>
      <c r="S8" s="27"/>
      <c r="T8" s="27"/>
      <c r="U8" s="27"/>
      <c r="V8" s="27"/>
      <c r="W8" s="27"/>
      <c r="X8" s="28" t="n">
        <v>100</v>
      </c>
      <c r="Y8" s="16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customFormat="false" ht="17.35" hidden="false" customHeight="false" outlineLevel="0" collapsed="false">
      <c r="A9" s="8" t="str">
        <f aca="false">StudendEnroll!A9</f>
        <v>Denis</v>
      </c>
      <c r="B9" s="8" t="str">
        <f aca="false">StudendEnroll!B9</f>
        <v>Rodman</v>
      </c>
      <c r="C9" s="8" t="str">
        <f aca="false">StudendEnroll!C9</f>
        <v>Denisod@gmail.com</v>
      </c>
      <c r="D9" s="8" t="str">
        <f aca="false">StudendEnroll!D9</f>
        <v>Maths1</v>
      </c>
      <c r="E9" s="9" t="n">
        <f aca="false">IF(D9=$N$3,(_xlfn.XLOOKUP(C9,'Physics1.DailyAttendance'!$D$2:$D$14,'Physics1.DailyAttendance'!$R$2:$R$14)),_xlfn.XLOOKUP(C9,'Maths1.DailyAttendance'!$D$2:$D$16,'Maths1.DailyAttendance'!$R$2:$R$16,_xlfn.XLOOKUP(C9,'English Language'!$D$2:$D$16,'English Language'!$R$2:$R$16)))</f>
        <v>0.7</v>
      </c>
      <c r="F9" s="10" t="n">
        <f aca="false">IF(D9=$N$3,(_xlfn.XLOOKUP(C9,'Physics1.DailyAttendance'!$D$2:$D$16,'Physics1.DailyAttendance'!$S$2:$S$16)),_xlfn.XLOOKUP(C9,'Maths1.DailyAttendance'!$D$2:$D$16,'Maths1.DailyAttendance'!$S$2:$S$16,_xlfn.XLOOKUP(C9,'English Language'!D$2:$D$16,'English Language'!$S$2:$S$16)))</f>
        <v>80</v>
      </c>
      <c r="G9" s="10" t="n">
        <f aca="false">IF(D9=$N$3,(_xlfn.XLOOKUP(C9,'Physics1.DailyAttendance'!$D$2:$D$16,'Physics1.DailyAttendance'!$T$2:$T$16)),_xlfn.XLOOKUP(C9,'Maths1.DailyAttendance'!$D$2:$D$16,'Maths1.DailyAttendance'!$T$2:$T$16,_xlfn.XLOOKUP(C9,'English Language'!$D$2:$D$16,'English Language'!$T$2:$T$16)))</f>
        <v>78</v>
      </c>
      <c r="H9" s="10" t="str">
        <f aca="false">IF(D9=$N$3,(_xlfn.XLOOKUP(C9,'Physics1.DailyAttendance'!$D$2:$D$16,'Physics1.DailyAttendance'!$U$2:$U$16)),_xlfn.XLOOKUP(C9,'Maths1.DailyAttendance'!$D$2:$D$16,'Maths1.DailyAttendance'!$U$2:$U$16,_xlfn.XLOOKUP(C9,'English Language'!$D$2:F$16,'English Language'!$U$2:$U$16)))</f>
        <v>Yes</v>
      </c>
      <c r="I9" s="11" t="n">
        <f aca="false">(E9*40)+F9*0.15+G9*0.2+(IF(H9="Yes",25,0))</f>
        <v>80.6</v>
      </c>
      <c r="J9" s="8" t="str">
        <f aca="false">IF(I9&gt;87,"Excellent",IF(I9&lt;70,"Failed",IF(I9&gt;77,"Good","Pass")))</f>
        <v>Good</v>
      </c>
      <c r="K9" s="8"/>
      <c r="L9" s="29"/>
      <c r="M9" s="8"/>
      <c r="N9" s="8"/>
      <c r="O9" s="8"/>
      <c r="P9" s="16"/>
      <c r="Q9" s="30" t="s">
        <v>105</v>
      </c>
      <c r="R9" s="30"/>
      <c r="S9" s="30"/>
      <c r="T9" s="30"/>
      <c r="U9" s="30"/>
      <c r="V9" s="30"/>
      <c r="W9" s="30"/>
      <c r="X9" s="31" t="s">
        <v>106</v>
      </c>
      <c r="Y9" s="16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customFormat="false" ht="17.35" hidden="false" customHeight="false" outlineLevel="0" collapsed="false">
      <c r="A10" s="8" t="str">
        <f aca="false">StudendEnroll!A10</f>
        <v>Kate</v>
      </c>
      <c r="B10" s="8" t="str">
        <f aca="false">StudendEnroll!B10</f>
        <v>Potter</v>
      </c>
      <c r="C10" s="8" t="str">
        <f aca="false">StudendEnroll!C10</f>
        <v>Kateot@gmail.com</v>
      </c>
      <c r="D10" s="8" t="str">
        <f aca="false">StudendEnroll!D10</f>
        <v>Physics1</v>
      </c>
      <c r="E10" s="9" t="n">
        <f aca="false">IF(D10=$N$3,(_xlfn.XLOOKUP(C10,'Physics1.DailyAttendance'!$D$2:$D$14,'Physics1.DailyAttendance'!$R$2:$R$14)),_xlfn.XLOOKUP(C10,'Maths1.DailyAttendance'!$D$2:$D$16,'Maths1.DailyAttendance'!$R$2:$R$16,_xlfn.XLOOKUP(C10,'English Language'!$D$2:$D$16,'English Language'!$R$2:$R$16)))</f>
        <v>1</v>
      </c>
      <c r="F10" s="10" t="n">
        <f aca="false">IF(D10=$N$3,(_xlfn.XLOOKUP(C10,'Physics1.DailyAttendance'!$D$2:$D$16,'Physics1.DailyAttendance'!$S$2:$S$16)),_xlfn.XLOOKUP(C10,'Maths1.DailyAttendance'!$D$2:$D$16,'Maths1.DailyAttendance'!$S$2:$S$16,_xlfn.XLOOKUP(C10,'English Language'!D$2:$D$16,'English Language'!$S$2:$S$16)))</f>
        <v>100</v>
      </c>
      <c r="G10" s="10" t="n">
        <f aca="false">IF(D10=$N$3,(_xlfn.XLOOKUP(C10,'Physics1.DailyAttendance'!$D$2:$D$16,'Physics1.DailyAttendance'!$T$2:$T$16)),_xlfn.XLOOKUP(C10,'Maths1.DailyAttendance'!$D$2:$D$16,'Maths1.DailyAttendance'!$T$2:$T$16,_xlfn.XLOOKUP(C10,'English Language'!$D$2:$D$16,'English Language'!$T$2:$T$16)))</f>
        <v>84</v>
      </c>
      <c r="H10" s="10" t="str">
        <f aca="false">IF(D10=$N$3,(_xlfn.XLOOKUP(C10,'Physics1.DailyAttendance'!$D$2:$D$16,'Physics1.DailyAttendance'!$U$2:$U$16)),_xlfn.XLOOKUP(C10,'Maths1.DailyAttendance'!$D$2:$D$16,'Maths1.DailyAttendance'!$U$2:$U$16,_xlfn.XLOOKUP(C10,'English Language'!$D$2:F$16,'English Language'!$U$2:$U$16)))</f>
        <v>Yes</v>
      </c>
      <c r="I10" s="11" t="n">
        <f aca="false">(E10*40)+F10*0.15+G10*0.2+(IF(H10="Yes",25,0))</f>
        <v>96.8</v>
      </c>
      <c r="J10" s="8" t="str">
        <f aca="false">IF(I10&gt;87,"Excellent",IF(I10&lt;70,"Failed",IF(I10&gt;77,"Good","Pass")))</f>
        <v>Excellent</v>
      </c>
      <c r="K10" s="8"/>
      <c r="L10" s="29"/>
      <c r="M10" s="8"/>
      <c r="N10" s="8"/>
      <c r="O10" s="8"/>
      <c r="P10" s="16"/>
      <c r="Q10" s="32" t="s">
        <v>107</v>
      </c>
      <c r="R10" s="32"/>
      <c r="S10" s="32"/>
      <c r="T10" s="32"/>
      <c r="U10" s="32"/>
      <c r="V10" s="32"/>
      <c r="W10" s="32"/>
      <c r="X10" s="33" t="s">
        <v>108</v>
      </c>
      <c r="Y10" s="16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customFormat="false" ht="17.35" hidden="false" customHeight="false" outlineLevel="0" collapsed="false">
      <c r="A11" s="8" t="str">
        <f aca="false">StudendEnroll!A11</f>
        <v>Manny</v>
      </c>
      <c r="B11" s="8" t="str">
        <f aca="false">StudendEnroll!B11</f>
        <v>Pac</v>
      </c>
      <c r="C11" s="8" t="str">
        <f aca="false">StudendEnroll!C11</f>
        <v>Mannyac@gmail.com</v>
      </c>
      <c r="D11" s="8" t="str">
        <f aca="false">StudendEnroll!D11</f>
        <v>Physics1</v>
      </c>
      <c r="E11" s="9" t="n">
        <f aca="false">IF(D11=$N$3,(_xlfn.XLOOKUP(C11,'Physics1.DailyAttendance'!$D$2:$D$14,'Physics1.DailyAttendance'!$R$2:$R$14)),_xlfn.XLOOKUP(C11,'Maths1.DailyAttendance'!$D$2:$D$16,'Maths1.DailyAttendance'!$R$2:$R$16,_xlfn.XLOOKUP(C11,'English Language'!$D$2:$D$16,'English Language'!$R$2:$R$16)))</f>
        <v>0.6</v>
      </c>
      <c r="F11" s="10" t="n">
        <f aca="false">IF(D11=$N$3,(_xlfn.XLOOKUP(C11,'Physics1.DailyAttendance'!$D$2:$D$16,'Physics1.DailyAttendance'!$S$2:$S$16)),_xlfn.XLOOKUP(C11,'Maths1.DailyAttendance'!$D$2:$D$16,'Maths1.DailyAttendance'!$S$2:$S$16,_xlfn.XLOOKUP(C11,'English Language'!D$2:$D$16,'English Language'!$S$2:$S$16)))</f>
        <v>70</v>
      </c>
      <c r="G11" s="10" t="n">
        <f aca="false">IF(D11=$N$3,(_xlfn.XLOOKUP(C11,'Physics1.DailyAttendance'!$D$2:$D$16,'Physics1.DailyAttendance'!$T$2:$T$16)),_xlfn.XLOOKUP(C11,'Maths1.DailyAttendance'!$D$2:$D$16,'Maths1.DailyAttendance'!$T$2:$T$16,_xlfn.XLOOKUP(C11,'English Language'!$D$2:$D$16,'English Language'!$T$2:$T$16)))</f>
        <v>79</v>
      </c>
      <c r="H11" s="10" t="str">
        <f aca="false">IF(D11=$N$3,(_xlfn.XLOOKUP(C11,'Physics1.DailyAttendance'!$D$2:$D$16,'Physics1.DailyAttendance'!$U$2:$U$16)),_xlfn.XLOOKUP(C11,'Maths1.DailyAttendance'!$D$2:$D$16,'Maths1.DailyAttendance'!$U$2:$U$16,_xlfn.XLOOKUP(C11,'English Language'!$D$2:F$16,'English Language'!$U$2:$U$16)))</f>
        <v>Yes</v>
      </c>
      <c r="I11" s="11" t="n">
        <f aca="false">(E11*40)+F11*0.15+G11*0.2+(IF(H11="Yes",25,0))</f>
        <v>75.3</v>
      </c>
      <c r="J11" s="8" t="str">
        <f aca="false">IF(I11&gt;87,"Excellent",IF(I11&lt;70,"Failed",IF(I11&gt;77,"Good","Pass")))</f>
        <v>Pass</v>
      </c>
      <c r="K11" s="8"/>
      <c r="L11" s="29"/>
      <c r="M11" s="8"/>
      <c r="N11" s="8"/>
      <c r="O11" s="8"/>
      <c r="P11" s="16"/>
      <c r="Q11" s="34" t="s">
        <v>109</v>
      </c>
      <c r="R11" s="34"/>
      <c r="S11" s="34"/>
      <c r="T11" s="34"/>
      <c r="U11" s="34"/>
      <c r="V11" s="34"/>
      <c r="W11" s="34"/>
      <c r="X11" s="35" t="s">
        <v>110</v>
      </c>
      <c r="Y11" s="16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customFormat="false" ht="15" hidden="false" customHeight="false" outlineLevel="0" collapsed="false">
      <c r="A12" s="8" t="str">
        <f aca="false">StudendEnroll!A12</f>
        <v>Katy</v>
      </c>
      <c r="B12" s="8" t="str">
        <f aca="false">StudendEnroll!B12</f>
        <v>Perri</v>
      </c>
      <c r="C12" s="8" t="str">
        <f aca="false">StudendEnroll!C12</f>
        <v>Katyer@gmail.com</v>
      </c>
      <c r="D12" s="8" t="str">
        <f aca="false">StudendEnroll!D12</f>
        <v>Physics1</v>
      </c>
      <c r="E12" s="9" t="n">
        <f aca="false">IF(D12=$N$3,(_xlfn.XLOOKUP(C12,'Physics1.DailyAttendance'!$D$2:$D$14,'Physics1.DailyAttendance'!$R$2:$R$14)),_xlfn.XLOOKUP(C12,'Maths1.DailyAttendance'!$D$2:$D$16,'Maths1.DailyAttendance'!$R$2:$R$16,_xlfn.XLOOKUP(C12,'English Language'!$D$2:$D$16,'English Language'!$R$2:$R$16)))</f>
        <v>1</v>
      </c>
      <c r="F12" s="10" t="n">
        <f aca="false">IF(D12=$N$3,(_xlfn.XLOOKUP(C12,'Physics1.DailyAttendance'!$D$2:$D$16,'Physics1.DailyAttendance'!$S$2:$S$16)),_xlfn.XLOOKUP(C12,'Maths1.DailyAttendance'!$D$2:$D$16,'Maths1.DailyAttendance'!$S$2:$S$16,_xlfn.XLOOKUP(C12,'English Language'!D$2:$D$16,'English Language'!$S$2:$S$16)))</f>
        <v>43</v>
      </c>
      <c r="G12" s="10" t="n">
        <f aca="false">IF(D12=$N$3,(_xlfn.XLOOKUP(C12,'Physics1.DailyAttendance'!$D$2:$D$16,'Physics1.DailyAttendance'!$T$2:$T$16)),_xlfn.XLOOKUP(C12,'Maths1.DailyAttendance'!$D$2:$D$16,'Maths1.DailyAttendance'!$T$2:$T$16,_xlfn.XLOOKUP(C12,'English Language'!$D$2:$D$16,'English Language'!$T$2:$T$16)))</f>
        <v>100</v>
      </c>
      <c r="H12" s="10" t="str">
        <f aca="false">IF(D12=$N$3,(_xlfn.XLOOKUP(C12,'Physics1.DailyAttendance'!$D$2:$D$16,'Physics1.DailyAttendance'!$U$2:$U$16)),_xlfn.XLOOKUP(C12,'Maths1.DailyAttendance'!$D$2:$D$16,'Maths1.DailyAttendance'!$U$2:$U$16,_xlfn.XLOOKUP(C12,'English Language'!$D$2:F$16,'English Language'!$U$2:$U$16)))</f>
        <v>Yes</v>
      </c>
      <c r="I12" s="11" t="n">
        <f aca="false">(E12*40)+F12*0.15+G12*0.2+(IF(H12="Yes",25,0))</f>
        <v>91.45</v>
      </c>
      <c r="J12" s="8" t="str">
        <f aca="false">IF(I12&gt;87,"Excellent",IF(I12&lt;70,"Failed",IF(I12&gt;77,"Good","Pass")))</f>
        <v>Excellent</v>
      </c>
      <c r="K12" s="8"/>
      <c r="L12" s="29"/>
      <c r="M12" s="8"/>
      <c r="N12" s="8"/>
      <c r="O12" s="8"/>
      <c r="P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customFormat="false" ht="15" hidden="false" customHeight="false" outlineLevel="0" collapsed="false">
      <c r="A13" s="8" t="str">
        <f aca="false">StudendEnroll!A13</f>
        <v>Antony</v>
      </c>
      <c r="B13" s="8" t="str">
        <f aca="false">StudendEnroll!B13</f>
        <v>Ward</v>
      </c>
      <c r="C13" s="8" t="str">
        <f aca="false">StudendEnroll!C13</f>
        <v>Antonyar@gmail.com</v>
      </c>
      <c r="D13" s="8" t="str">
        <f aca="false">StudendEnroll!D13</f>
        <v>Physics1</v>
      </c>
      <c r="E13" s="9" t="n">
        <f aca="false">IF(D13=$N$3,(_xlfn.XLOOKUP(C13,'Physics1.DailyAttendance'!$D$2:$D$14,'Physics1.DailyAttendance'!$R$2:$R$14)),_xlfn.XLOOKUP(C13,'Maths1.DailyAttendance'!$D$2:$D$16,'Maths1.DailyAttendance'!$R$2:$R$16,_xlfn.XLOOKUP(C13,'English Language'!$D$2:$D$16,'English Language'!$R$2:$R$16)))</f>
        <v>0.8</v>
      </c>
      <c r="F13" s="10" t="n">
        <f aca="false">IF(D13=$N$3,(_xlfn.XLOOKUP(C13,'Physics1.DailyAttendance'!$D$2:$D$16,'Physics1.DailyAttendance'!$S$2:$S$16)),_xlfn.XLOOKUP(C13,'Maths1.DailyAttendance'!$D$2:$D$16,'Maths1.DailyAttendance'!$S$2:$S$16,_xlfn.XLOOKUP(C13,'English Language'!D$2:$D$16,'English Language'!$S$2:$S$16)))</f>
        <v>82</v>
      </c>
      <c r="G13" s="10" t="n">
        <f aca="false">IF(D13=$N$3,(_xlfn.XLOOKUP(C13,'Physics1.DailyAttendance'!$D$2:$D$16,'Physics1.DailyAttendance'!$T$2:$T$16)),_xlfn.XLOOKUP(C13,'Maths1.DailyAttendance'!$D$2:$D$16,'Maths1.DailyAttendance'!$T$2:$T$16,_xlfn.XLOOKUP(C13,'English Language'!$D$2:$D$16,'English Language'!$T$2:$T$16)))</f>
        <v>88</v>
      </c>
      <c r="H13" s="10" t="str">
        <f aca="false">IF(D13=$N$3,(_xlfn.XLOOKUP(C13,'Physics1.DailyAttendance'!$D$2:$D$16,'Physics1.DailyAttendance'!$U$2:$U$16)),_xlfn.XLOOKUP(C13,'Maths1.DailyAttendance'!$D$2:$D$16,'Maths1.DailyAttendance'!$U$2:$U$16,_xlfn.XLOOKUP(C13,'English Language'!$D$2:F$16,'English Language'!$U$2:$U$16)))</f>
        <v>Yes</v>
      </c>
      <c r="I13" s="11" t="n">
        <f aca="false">(E13*40)+F13*0.15+G13*0.2+(IF(H13="Yes",25,0))</f>
        <v>86.9</v>
      </c>
      <c r="J13" s="8" t="str">
        <f aca="false">IF(I13&gt;87,"Excellent",IF(I13&lt;70,"Failed",IF(I13&gt;77,"Good","Pass")))</f>
        <v>Good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customFormat="false" ht="15" hidden="false" customHeight="false" outlineLevel="0" collapsed="false">
      <c r="A14" s="8" t="str">
        <f aca="false">StudendEnroll!A14</f>
        <v>Billy</v>
      </c>
      <c r="B14" s="8" t="str">
        <f aca="false">StudendEnroll!B14</f>
        <v>Sane</v>
      </c>
      <c r="C14" s="8" t="str">
        <f aca="false">StudendEnroll!C14</f>
        <v>Billyan@gmail.com</v>
      </c>
      <c r="D14" s="8" t="str">
        <f aca="false">StudendEnroll!D14</f>
        <v>Physics1</v>
      </c>
      <c r="E14" s="9" t="n">
        <f aca="false">IF(D14=$N$3,(_xlfn.XLOOKUP(C14,'Physics1.DailyAttendance'!$D$2:$D$14,'Physics1.DailyAttendance'!$R$2:$R$14)),_xlfn.XLOOKUP(C14,'Maths1.DailyAttendance'!$D$2:$D$16,'Maths1.DailyAttendance'!$R$2:$R$16,_xlfn.XLOOKUP(C14,'English Language'!$D$2:$D$16,'English Language'!$R$2:$R$16)))</f>
        <v>0.6</v>
      </c>
      <c r="F14" s="10" t="n">
        <f aca="false">IF(D14=$N$3,(_xlfn.XLOOKUP(C14,'Physics1.DailyAttendance'!$D$2:$D$16,'Physics1.DailyAttendance'!$S$2:$S$16)),_xlfn.XLOOKUP(C14,'Maths1.DailyAttendance'!$D$2:$D$16,'Maths1.DailyAttendance'!$S$2:$S$16,_xlfn.XLOOKUP(C14,'English Language'!D$2:$D$16,'English Language'!$S$2:$S$16)))</f>
        <v>75</v>
      </c>
      <c r="G14" s="10" t="n">
        <f aca="false">IF(D14=$N$3,(_xlfn.XLOOKUP(C14,'Physics1.DailyAttendance'!$D$2:$D$16,'Physics1.DailyAttendance'!$T$2:$T$16)),_xlfn.XLOOKUP(C14,'Maths1.DailyAttendance'!$D$2:$D$16,'Maths1.DailyAttendance'!$T$2:$T$16,_xlfn.XLOOKUP(C14,'English Language'!$D$2:$D$16,'English Language'!$T$2:$T$16)))</f>
        <v>81</v>
      </c>
      <c r="H14" s="10" t="str">
        <f aca="false">IF(D14=$N$3,(_xlfn.XLOOKUP(C14,'Physics1.DailyAttendance'!$D$2:$D$16,'Physics1.DailyAttendance'!$U$2:$U$16)),_xlfn.XLOOKUP(C14,'Maths1.DailyAttendance'!$D$2:$D$16,'Maths1.DailyAttendance'!$U$2:$U$16,_xlfn.XLOOKUP(C14,'English Language'!$D$2:F$16,'English Language'!$U$2:$U$16)))</f>
        <v>Yes</v>
      </c>
      <c r="I14" s="11" t="n">
        <f aca="false">(E14*40)+F14*0.15+G14*0.2+(IF(H14="Yes",25,0))</f>
        <v>76.45</v>
      </c>
      <c r="J14" s="8" t="str">
        <f aca="false">IF(I14&gt;87,"Excellent",IF(I14&lt;70,"Failed",IF(I14&gt;77,"Good","Pass")))</f>
        <v>Pass</v>
      </c>
      <c r="K14" s="8"/>
      <c r="L14" s="36"/>
      <c r="M14" s="36"/>
      <c r="N14" s="36"/>
      <c r="O14" s="3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customFormat="false" ht="15" hidden="false" customHeight="false" outlineLevel="0" collapsed="false">
      <c r="A15" s="8" t="str">
        <f aca="false">StudendEnroll!A15</f>
        <v>Ronald</v>
      </c>
      <c r="B15" s="8" t="str">
        <f aca="false">StudendEnroll!B15</f>
        <v>Connan</v>
      </c>
      <c r="C15" s="8" t="str">
        <f aca="false">StudendEnroll!C15</f>
        <v>Ronaldon@gmail.com</v>
      </c>
      <c r="D15" s="8" t="str">
        <f aca="false">StudendEnroll!D15</f>
        <v>Physics1</v>
      </c>
      <c r="E15" s="9" t="n">
        <f aca="false">IF(D15=$N$3,(_xlfn.XLOOKUP(C15,'Physics1.DailyAttendance'!$D$2:$D$14,'Physics1.DailyAttendance'!$R$2:$R$14)),_xlfn.XLOOKUP(C15,'Maths1.DailyAttendance'!$D$2:$D$16,'Maths1.DailyAttendance'!$R$2:$R$16,_xlfn.XLOOKUP(C15,'English Language'!$D$2:$D$16,'English Language'!$R$2:$R$16)))</f>
        <v>0.7</v>
      </c>
      <c r="F15" s="10" t="n">
        <f aca="false">IF(D15=$N$3,(_xlfn.XLOOKUP(C15,'Physics1.DailyAttendance'!$D$2:$D$16,'Physics1.DailyAttendance'!$S$2:$S$16)),_xlfn.XLOOKUP(C15,'Maths1.DailyAttendance'!$D$2:$D$16,'Maths1.DailyAttendance'!$S$2:$S$16,_xlfn.XLOOKUP(C15,'English Language'!D$2:$D$16,'English Language'!$S$2:$S$16)))</f>
        <v>92</v>
      </c>
      <c r="G15" s="10" t="n">
        <f aca="false">IF(D15=$N$3,(_xlfn.XLOOKUP(C15,'Physics1.DailyAttendance'!$D$2:$D$16,'Physics1.DailyAttendance'!$T$2:$T$16)),_xlfn.XLOOKUP(C15,'Maths1.DailyAttendance'!$D$2:$D$16,'Maths1.DailyAttendance'!$T$2:$T$16,_xlfn.XLOOKUP(C15,'English Language'!$D$2:$D$16,'English Language'!$T$2:$T$16)))</f>
        <v>79</v>
      </c>
      <c r="H15" s="10" t="str">
        <f aca="false">IF(D15=$N$3,(_xlfn.XLOOKUP(C15,'Physics1.DailyAttendance'!$D$2:$D$16,'Physics1.DailyAttendance'!$U$2:$U$16)),_xlfn.XLOOKUP(C15,'Maths1.DailyAttendance'!$D$2:$D$16,'Maths1.DailyAttendance'!$U$2:$U$16,_xlfn.XLOOKUP(C15,'English Language'!$D$2:F$16,'English Language'!$U$2:$U$16)))</f>
        <v>Yes</v>
      </c>
      <c r="I15" s="11" t="n">
        <f aca="false">(E15*40)+F15*0.15+G15*0.2+(IF(H15="Yes",25,0))</f>
        <v>82.6</v>
      </c>
      <c r="J15" s="8" t="str">
        <f aca="false">IF(I15&gt;87,"Excellent",IF(I15&lt;70,"Failed",IF(I15&gt;77,"Good","Pass")))</f>
        <v>Good</v>
      </c>
      <c r="K15" s="8"/>
      <c r="L15" s="36"/>
      <c r="M15" s="37"/>
      <c r="N15" s="37"/>
      <c r="O15" s="3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customFormat="false" ht="15" hidden="false" customHeight="false" outlineLevel="0" collapsed="false">
      <c r="A16" s="8" t="str">
        <f aca="false">StudendEnroll!A16</f>
        <v>John</v>
      </c>
      <c r="B16" s="8" t="str">
        <f aca="false">StudendEnroll!B16</f>
        <v>Baderas</v>
      </c>
      <c r="C16" s="8" t="str">
        <f aca="false">StudendEnroll!C16</f>
        <v>Johnad@gmail.com</v>
      </c>
      <c r="D16" s="8" t="str">
        <f aca="false">StudendEnroll!D16</f>
        <v>Maths1</v>
      </c>
      <c r="E16" s="9" t="n">
        <f aca="false">IF(D16=$N$3,(_xlfn.XLOOKUP(C16,'Physics1.DailyAttendance'!$D$2:$D$14,'Physics1.DailyAttendance'!$R$2:$R$14)),_xlfn.XLOOKUP(C16,'Maths1.DailyAttendance'!$D$2:$D$16,'Maths1.DailyAttendance'!$R$2:$R$16,_xlfn.XLOOKUP(C16,'English Language'!$D$2:$D$16,'English Language'!$R$2:$R$16)))</f>
        <v>0.9</v>
      </c>
      <c r="F16" s="10" t="n">
        <f aca="false">IF(D16=$N$3,(_xlfn.XLOOKUP(C16,'Physics1.DailyAttendance'!$D$2:$D$16,'Physics1.DailyAttendance'!$S$2:$S$16)),_xlfn.XLOOKUP(C16,'Maths1.DailyAttendance'!$D$2:$D$16,'Maths1.DailyAttendance'!$S$2:$S$16,_xlfn.XLOOKUP(C16,'English Language'!D$2:$D$16,'English Language'!$S$2:$S$16)))</f>
        <v>60</v>
      </c>
      <c r="G16" s="10" t="n">
        <f aca="false">IF(D16=$N$3,(_xlfn.XLOOKUP(C16,'Physics1.DailyAttendance'!$D$2:$D$16,'Physics1.DailyAttendance'!$T$2:$T$16)),_xlfn.XLOOKUP(C16,'Maths1.DailyAttendance'!$D$2:$D$16,'Maths1.DailyAttendance'!$T$2:$T$16,_xlfn.XLOOKUP(C16,'English Language'!$D$2:$D$16,'English Language'!$T$2:$T$16)))</f>
        <v>94</v>
      </c>
      <c r="H16" s="10" t="str">
        <f aca="false">IF(D16=$N$3,(_xlfn.XLOOKUP(C16,'Physics1.DailyAttendance'!$D$2:$D$16,'Physics1.DailyAttendance'!$U$2:$U$16)),_xlfn.XLOOKUP(C16,'Maths1.DailyAttendance'!$D$2:$D$16,'Maths1.DailyAttendance'!$U$2:$U$16,_xlfn.XLOOKUP(C16,'English Language'!$D$2:F$16,'English Language'!$U$2:$U$16)))</f>
        <v>Yes</v>
      </c>
      <c r="I16" s="11" t="n">
        <f aca="false">(E16*40)+F16*0.15+G16*0.2+(IF(H16="Yes",25,0))</f>
        <v>88.8</v>
      </c>
      <c r="J16" s="8" t="str">
        <f aca="false">IF(I16&gt;87,"Excellent",IF(I16&lt;70,"Failed",IF(I16&gt;77,"Good","Pass")))</f>
        <v>Excellent</v>
      </c>
      <c r="K16" s="8"/>
      <c r="L16" s="36"/>
      <c r="M16" s="39"/>
      <c r="N16" s="39"/>
      <c r="O16" s="40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customFormat="false" ht="15" hidden="false" customHeight="false" outlineLevel="0" collapsed="false">
      <c r="A17" s="8" t="str">
        <f aca="false">StudendEnroll!A17</f>
        <v>Ronald</v>
      </c>
      <c r="B17" s="8" t="str">
        <f aca="false">StudendEnroll!B17</f>
        <v>Connan</v>
      </c>
      <c r="C17" s="8" t="str">
        <f aca="false">StudendEnroll!C17</f>
        <v>Ronaldon@gmail.com</v>
      </c>
      <c r="D17" s="8" t="str">
        <f aca="false">StudendEnroll!D17</f>
        <v>Maths1</v>
      </c>
      <c r="E17" s="9" t="n">
        <f aca="false">IF(D17=$N$3,(_xlfn.XLOOKUP(C17,'Physics1.DailyAttendance'!$D$2:$D$14,'Physics1.DailyAttendance'!$R$2:$R$14)),_xlfn.XLOOKUP(C17,'Maths1.DailyAttendance'!$D$2:$D$16,'Maths1.DailyAttendance'!$R$2:$R$16,_xlfn.XLOOKUP(C17,'English Language'!$D$2:$D$16,'English Language'!$R$2:$R$16)))</f>
        <v>0.6</v>
      </c>
      <c r="F17" s="10" t="n">
        <f aca="false">IF(D17=$N$3,(_xlfn.XLOOKUP(C17,'Physics1.DailyAttendance'!$D$2:$D$16,'Physics1.DailyAttendance'!$S$2:$S$16)),_xlfn.XLOOKUP(C17,'Maths1.DailyAttendance'!$D$2:$D$16,'Maths1.DailyAttendance'!$S$2:$S$16,_xlfn.XLOOKUP(C17,'English Language'!D$2:$D$16,'English Language'!$S$2:$S$16)))</f>
        <v>92</v>
      </c>
      <c r="G17" s="10" t="n">
        <f aca="false">IF(D17=$N$3,(_xlfn.XLOOKUP(C17,'Physics1.DailyAttendance'!$D$2:$D$16,'Physics1.DailyAttendance'!$T$2:$T$16)),_xlfn.XLOOKUP(C17,'Maths1.DailyAttendance'!$D$2:$D$16,'Maths1.DailyAttendance'!$T$2:$T$16,_xlfn.XLOOKUP(C17,'English Language'!$D$2:$D$16,'English Language'!$T$2:$T$16)))</f>
        <v>79</v>
      </c>
      <c r="H17" s="10" t="str">
        <f aca="false">IF(D17=$N$3,(_xlfn.XLOOKUP(C17,'Physics1.DailyAttendance'!$D$2:$D$16,'Physics1.DailyAttendance'!$U$2:$U$16)),_xlfn.XLOOKUP(C17,'Maths1.DailyAttendance'!$D$2:$D$16,'Maths1.DailyAttendance'!$U$2:$U$16,_xlfn.XLOOKUP(C17,'English Language'!$D$2:F$16,'English Language'!$U$2:$U$16)))</f>
        <v>Yes</v>
      </c>
      <c r="I17" s="11" t="n">
        <f aca="false">(E17*40)+F17*0.15+G17*0.2+(IF(H17="Yes",25,0))</f>
        <v>78.6</v>
      </c>
      <c r="J17" s="8" t="str">
        <f aca="false">IF(I17&gt;87,"Excellent",IF(I17&lt;70,"Failed",IF(I17&gt;77,"Good","Pass")))</f>
        <v>Good</v>
      </c>
      <c r="K17" s="8"/>
      <c r="L17" s="36"/>
      <c r="M17" s="41"/>
      <c r="N17" s="41"/>
      <c r="O17" s="41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customFormat="false" ht="15" hidden="false" customHeight="false" outlineLevel="0" collapsed="false">
      <c r="A18" s="8" t="str">
        <f aca="false">StudendEnroll!A18</f>
        <v>Dennis</v>
      </c>
      <c r="B18" s="8" t="str">
        <f aca="false">StudendEnroll!B18</f>
        <v>Menace</v>
      </c>
      <c r="C18" s="8" t="str">
        <f aca="false">StudendEnroll!C18</f>
        <v>Dennisen@gmail.com</v>
      </c>
      <c r="D18" s="8" t="str">
        <f aca="false">StudendEnroll!D18</f>
        <v>Maths1</v>
      </c>
      <c r="E18" s="9" t="n">
        <f aca="false">IF(D18=$N$3,(_xlfn.XLOOKUP(C18,'Physics1.DailyAttendance'!$D$2:$D$14,'Physics1.DailyAttendance'!$R$2:$R$14)),_xlfn.XLOOKUP(C18,'Maths1.DailyAttendance'!$D$2:$D$16,'Maths1.DailyAttendance'!$R$2:$R$16,_xlfn.XLOOKUP(C18,'English Language'!$D$2:$D$16,'English Language'!$R$2:$R$16)))</f>
        <v>1</v>
      </c>
      <c r="F18" s="10" t="n">
        <f aca="false">IF(D18=$N$3,(_xlfn.XLOOKUP(C18,'Physics1.DailyAttendance'!$D$2:$D$16,'Physics1.DailyAttendance'!$S$2:$S$16)),_xlfn.XLOOKUP(C18,'Maths1.DailyAttendance'!$D$2:$D$16,'Maths1.DailyAttendance'!$S$2:$S$16,_xlfn.XLOOKUP(C18,'English Language'!D$2:$D$16,'English Language'!$S$2:$S$16)))</f>
        <v>73</v>
      </c>
      <c r="G18" s="10" t="n">
        <f aca="false">IF(D18=$N$3,(_xlfn.XLOOKUP(C18,'Physics1.DailyAttendance'!$D$2:$D$16,'Physics1.DailyAttendance'!$T$2:$T$16)),_xlfn.XLOOKUP(C18,'Maths1.DailyAttendance'!$D$2:$D$16,'Maths1.DailyAttendance'!$T$2:$T$16,_xlfn.XLOOKUP(C18,'English Language'!$D$2:$D$16,'English Language'!$T$2:$T$16)))</f>
        <v>99</v>
      </c>
      <c r="H18" s="10" t="str">
        <f aca="false">IF(D18=$N$3,(_xlfn.XLOOKUP(C18,'Physics1.DailyAttendance'!$D$2:$D$16,'Physics1.DailyAttendance'!$U$2:$U$16)),_xlfn.XLOOKUP(C18,'Maths1.DailyAttendance'!$D$2:$D$16,'Maths1.DailyAttendance'!$U$2:$U$16,_xlfn.XLOOKUP(C18,'English Language'!$D$2:F$16,'English Language'!$U$2:$U$16)))</f>
        <v>Yes</v>
      </c>
      <c r="I18" s="11" t="n">
        <f aca="false">(E18*40)+F18*0.15+G18*0.2+(IF(H18="Yes",25,0))</f>
        <v>95.75</v>
      </c>
      <c r="J18" s="8" t="str">
        <f aca="false">IF(I18&gt;87,"Excellent",IF(I18&lt;70,"Failed",IF(I18&gt;77,"Good","Pass")))</f>
        <v>Excellent</v>
      </c>
      <c r="K18" s="8"/>
      <c r="L18" s="36"/>
      <c r="M18" s="41"/>
      <c r="N18" s="41"/>
      <c r="O18" s="41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customFormat="false" ht="15" hidden="false" customHeight="false" outlineLevel="0" collapsed="false">
      <c r="A19" s="8" t="str">
        <f aca="false">StudendEnroll!A19</f>
        <v>Ronald</v>
      </c>
      <c r="B19" s="8" t="str">
        <f aca="false">StudendEnroll!B19</f>
        <v>Pape</v>
      </c>
      <c r="C19" s="8" t="str">
        <f aca="false">StudendEnroll!C19</f>
        <v>Ronaldap@gmail.com</v>
      </c>
      <c r="D19" s="8" t="str">
        <f aca="false">StudendEnroll!D19</f>
        <v>Maths1</v>
      </c>
      <c r="E19" s="9" t="n">
        <f aca="false">IF(D19=$N$3,(_xlfn.XLOOKUP(C19,'Physics1.DailyAttendance'!$D$2:$D$14,'Physics1.DailyAttendance'!$R$2:$R$14)),_xlfn.XLOOKUP(C19,'Maths1.DailyAttendance'!$D$2:$D$16,'Maths1.DailyAttendance'!$R$2:$R$16,_xlfn.XLOOKUP(C19,'English Language'!$D$2:$D$16,'English Language'!$R$2:$R$16)))</f>
        <v>0.7</v>
      </c>
      <c r="F19" s="10" t="n">
        <f aca="false">IF(D19=$N$3,(_xlfn.XLOOKUP(C19,'Physics1.DailyAttendance'!$D$2:$D$16,'Physics1.DailyAttendance'!$S$2:$S$16)),_xlfn.XLOOKUP(C19,'Maths1.DailyAttendance'!$D$2:$D$16,'Maths1.DailyAttendance'!$S$2:$S$16,_xlfn.XLOOKUP(C19,'English Language'!D$2:$D$16,'English Language'!$S$2:$S$16)))</f>
        <v>73</v>
      </c>
      <c r="G19" s="10" t="n">
        <f aca="false">IF(D19=$N$3,(_xlfn.XLOOKUP(C19,'Physics1.DailyAttendance'!$D$2:$D$16,'Physics1.DailyAttendance'!$T$2:$T$16)),_xlfn.XLOOKUP(C19,'Maths1.DailyAttendance'!$D$2:$D$16,'Maths1.DailyAttendance'!$T$2:$T$16,_xlfn.XLOOKUP(C19,'English Language'!$D$2:$D$16,'English Language'!$T$2:$T$16)))</f>
        <v>68</v>
      </c>
      <c r="H19" s="10" t="str">
        <f aca="false">IF(D19=$N$3,(_xlfn.XLOOKUP(C19,'Physics1.DailyAttendance'!$D$2:$D$16,'Physics1.DailyAttendance'!$U$2:$U$16)),_xlfn.XLOOKUP(C19,'Maths1.DailyAttendance'!$D$2:$D$16,'Maths1.DailyAttendance'!$U$2:$U$16,_xlfn.XLOOKUP(C19,'English Language'!$D$2:F$16,'English Language'!$U$2:$U$16)))</f>
        <v>Yes</v>
      </c>
      <c r="I19" s="11" t="n">
        <f aca="false">(E19*40)+F19*0.15+G19*0.2+(IF(H19="Yes",25,0))</f>
        <v>77.55</v>
      </c>
      <c r="J19" s="8" t="str">
        <f aca="false">IF(I19&gt;87,"Excellent",IF(I19&lt;70,"Failed",IF(I19&gt;77,"Good","Pass")))</f>
        <v>Good</v>
      </c>
      <c r="K19" s="8"/>
      <c r="L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customFormat="false" ht="15" hidden="false" customHeight="false" outlineLevel="0" collapsed="false">
      <c r="A20" s="8" t="str">
        <f aca="false">StudendEnroll!A20</f>
        <v>Walid</v>
      </c>
      <c r="B20" s="8" t="str">
        <f aca="false">StudendEnroll!B20</f>
        <v>Matip</v>
      </c>
      <c r="C20" s="8" t="str">
        <f aca="false">StudendEnroll!C20</f>
        <v>Walidat@gmail.com</v>
      </c>
      <c r="D20" s="8" t="str">
        <f aca="false">StudendEnroll!D20</f>
        <v>Maths1</v>
      </c>
      <c r="E20" s="9" t="n">
        <f aca="false">IF(D20=$N$3,(_xlfn.XLOOKUP(C20,'Physics1.DailyAttendance'!$D$2:$D$14,'Physics1.DailyAttendance'!$R$2:$R$14)),_xlfn.XLOOKUP(C20,'Maths1.DailyAttendance'!$D$2:$D$16,'Maths1.DailyAttendance'!$R$2:$R$16,_xlfn.XLOOKUP(C20,'English Language'!$D$2:$D$16,'English Language'!$R$2:$R$16)))</f>
        <v>0.9</v>
      </c>
      <c r="F20" s="10" t="n">
        <f aca="false">IF(D20=$N$3,(_xlfn.XLOOKUP(C20,'Physics1.DailyAttendance'!$D$2:$D$16,'Physics1.DailyAttendance'!$S$2:$S$16)),_xlfn.XLOOKUP(C20,'Maths1.DailyAttendance'!$D$2:$D$16,'Maths1.DailyAttendance'!$S$2:$S$16,_xlfn.XLOOKUP(C20,'English Language'!D$2:$D$16,'English Language'!$S$2:$S$16)))</f>
        <v>88</v>
      </c>
      <c r="G20" s="10" t="n">
        <f aca="false">IF(D20=$N$3,(_xlfn.XLOOKUP(C20,'Physics1.DailyAttendance'!$D$2:$D$16,'Physics1.DailyAttendance'!$T$2:$T$16)),_xlfn.XLOOKUP(C20,'Maths1.DailyAttendance'!$D$2:$D$16,'Maths1.DailyAttendance'!$T$2:$T$16,_xlfn.XLOOKUP(C20,'English Language'!$D$2:$D$16,'English Language'!$T$2:$T$16)))</f>
        <v>80</v>
      </c>
      <c r="H20" s="10" t="str">
        <f aca="false">IF(D20=$N$3,(_xlfn.XLOOKUP(C20,'Physics1.DailyAttendance'!$D$2:$D$16,'Physics1.DailyAttendance'!$U$2:$U$16)),_xlfn.XLOOKUP(C20,'Maths1.DailyAttendance'!$D$2:$D$16,'Maths1.DailyAttendance'!$U$2:$U$16,_xlfn.XLOOKUP(C20,'English Language'!$D$2:F$16,'English Language'!$U$2:$U$16)))</f>
        <v>Yes</v>
      </c>
      <c r="I20" s="11" t="n">
        <f aca="false">(E20*40)+F20*0.15+G20*0.2+(IF(H20="Yes",25,0))</f>
        <v>90.2</v>
      </c>
      <c r="J20" s="8" t="str">
        <f aca="false">IF(I20&gt;87,"Excellent",IF(I20&lt;70,"Failed",IF(I20&gt;77,"Good","Pass")))</f>
        <v>Excellent</v>
      </c>
      <c r="K20" s="8"/>
      <c r="L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customFormat="false" ht="15.75" hidden="false" customHeight="true" outlineLevel="0" collapsed="false">
      <c r="A21" s="8" t="str">
        <f aca="false">StudendEnroll!A21</f>
        <v>Donna</v>
      </c>
      <c r="B21" s="8" t="str">
        <f aca="false">StudendEnroll!B21</f>
        <v>Corleone</v>
      </c>
      <c r="C21" s="8" t="str">
        <f aca="false">StudendEnroll!C21</f>
        <v>Donnaor@gmail.com</v>
      </c>
      <c r="D21" s="8" t="str">
        <f aca="false">StudendEnroll!D21</f>
        <v>Maths1</v>
      </c>
      <c r="E21" s="9" t="n">
        <f aca="false">IF(D21=$N$3,(_xlfn.XLOOKUP(C21,'Physics1.DailyAttendance'!$D$2:$D$14,'Physics1.DailyAttendance'!$R$2:$R$14)),_xlfn.XLOOKUP(C21,'Maths1.DailyAttendance'!$D$2:$D$16,'Maths1.DailyAttendance'!$R$2:$R$16,_xlfn.XLOOKUP(C21,'English Language'!$D$2:$D$16,'English Language'!$R$2:$R$16)))</f>
        <v>0.9</v>
      </c>
      <c r="F21" s="10" t="n">
        <f aca="false">IF(D21=$N$3,(_xlfn.XLOOKUP(C21,'Physics1.DailyAttendance'!$D$2:$D$16,'Physics1.DailyAttendance'!$S$2:$S$16)),_xlfn.XLOOKUP(C21,'Maths1.DailyAttendance'!$D$2:$D$16,'Maths1.DailyAttendance'!$S$2:$S$16,_xlfn.XLOOKUP(C21,'English Language'!D$2:$D$16,'English Language'!$S$2:$S$16)))</f>
        <v>96</v>
      </c>
      <c r="G21" s="10" t="n">
        <f aca="false">IF(D21=$N$3,(_xlfn.XLOOKUP(C21,'Physics1.DailyAttendance'!$D$2:$D$16,'Physics1.DailyAttendance'!$T$2:$T$16)),_xlfn.XLOOKUP(C21,'Maths1.DailyAttendance'!$D$2:$D$16,'Maths1.DailyAttendance'!$T$2:$T$16,_xlfn.XLOOKUP(C21,'English Language'!$D$2:$D$16,'English Language'!$T$2:$T$16)))</f>
        <v>90</v>
      </c>
      <c r="H21" s="10" t="str">
        <f aca="false">IF(D21=$N$3,(_xlfn.XLOOKUP(C21,'Physics1.DailyAttendance'!$D$2:$D$16,'Physics1.DailyAttendance'!$U$2:$U$16)),_xlfn.XLOOKUP(C21,'Maths1.DailyAttendance'!$D$2:$D$16,'Maths1.DailyAttendance'!$U$2:$U$16,_xlfn.XLOOKUP(C21,'English Language'!$D$2:F$16,'English Language'!$U$2:$U$16)))</f>
        <v>Yes</v>
      </c>
      <c r="I21" s="11" t="n">
        <f aca="false">(E21*40)+F21*0.15+G21*0.2+(IF(H21="Yes",25,0))</f>
        <v>93.4</v>
      </c>
      <c r="J21" s="8" t="str">
        <f aca="false">IF(I21&gt;87,"Excellent",IF(I21&lt;70,"Failed",IF(I21&gt;77,"Good","Pass")))</f>
        <v>Excellent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customFormat="false" ht="15.75" hidden="false" customHeight="true" outlineLevel="0" collapsed="false">
      <c r="A22" s="8" t="str">
        <f aca="false">StudendEnroll!A22</f>
        <v>Mary</v>
      </c>
      <c r="B22" s="8" t="str">
        <f aca="false">StudendEnroll!B22</f>
        <v>Connan</v>
      </c>
      <c r="C22" s="8" t="str">
        <f aca="false">StudendEnroll!C22</f>
        <v>Maryon@gmail.com</v>
      </c>
      <c r="D22" s="8" t="str">
        <f aca="false">StudendEnroll!D22</f>
        <v>Maths1</v>
      </c>
      <c r="E22" s="9" t="n">
        <f aca="false">IF(D22=$N$3,(_xlfn.XLOOKUP(C22,'Physics1.DailyAttendance'!$D$2:$D$14,'Physics1.DailyAttendance'!$R$2:$R$14)),_xlfn.XLOOKUP(C22,'Maths1.DailyAttendance'!$D$2:$D$16,'Maths1.DailyAttendance'!$R$2:$R$16,_xlfn.XLOOKUP(C22,'English Language'!$D$2:$D$16,'English Language'!$R$2:$R$16)))</f>
        <v>0.6</v>
      </c>
      <c r="F22" s="10" t="n">
        <f aca="false">IF(D22=$N$3,(_xlfn.XLOOKUP(C22,'Physics1.DailyAttendance'!$D$2:$D$16,'Physics1.DailyAttendance'!$S$2:$S$16)),_xlfn.XLOOKUP(C22,'Maths1.DailyAttendance'!$D$2:$D$16,'Maths1.DailyAttendance'!$S$2:$S$16,_xlfn.XLOOKUP(C22,'English Language'!D$2:$D$16,'English Language'!$S$2:$S$16)))</f>
        <v>60</v>
      </c>
      <c r="G22" s="10" t="n">
        <f aca="false">IF(D22=$N$3,(_xlfn.XLOOKUP(C22,'Physics1.DailyAttendance'!$D$2:$D$16,'Physics1.DailyAttendance'!$T$2:$T$16)),_xlfn.XLOOKUP(C22,'Maths1.DailyAttendance'!$D$2:$D$16,'Maths1.DailyAttendance'!$T$2:$T$16,_xlfn.XLOOKUP(C22,'English Language'!$D$2:$D$16,'English Language'!$T$2:$T$16)))</f>
        <v>91</v>
      </c>
      <c r="H22" s="10" t="str">
        <f aca="false">IF(D22=$N$3,(_xlfn.XLOOKUP(C22,'Physics1.DailyAttendance'!$D$2:$D$16,'Physics1.DailyAttendance'!$U$2:$U$16)),_xlfn.XLOOKUP(C22,'Maths1.DailyAttendance'!$D$2:$D$16,'Maths1.DailyAttendance'!$U$2:$U$16,_xlfn.XLOOKUP(C22,'English Language'!$D$2:F$16,'English Language'!$U$2:$U$16)))</f>
        <v>Yes</v>
      </c>
      <c r="I22" s="11" t="n">
        <f aca="false">(E22*40)+F22*0.15+G22*0.2+(IF(H22="Yes",25,0))</f>
        <v>76.2</v>
      </c>
      <c r="J22" s="8" t="str">
        <f aca="false">IF(I22&gt;87,"Excellent",IF(I22&lt;70,"Failed",IF(I22&gt;77,"Good","Pass")))</f>
        <v>Pass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customFormat="false" ht="15.75" hidden="false" customHeight="true" outlineLevel="0" collapsed="false">
      <c r="A23" s="8" t="str">
        <f aca="false">StudendEnroll!A23</f>
        <v>Dustin</v>
      </c>
      <c r="B23" s="8" t="str">
        <f aca="false">StudendEnroll!B23</f>
        <v>Boier</v>
      </c>
      <c r="C23" s="8" t="str">
        <f aca="false">StudendEnroll!C23</f>
        <v>Dustinoi@gmail.com</v>
      </c>
      <c r="D23" s="8" t="str">
        <f aca="false">StudendEnroll!D23</f>
        <v>Maths1</v>
      </c>
      <c r="E23" s="9" t="n">
        <f aca="false">IF(D23=$N$3,(_xlfn.XLOOKUP(C23,'Physics1.DailyAttendance'!$D$2:$D$14,'Physics1.DailyAttendance'!$R$2:$R$14)),_xlfn.XLOOKUP(C23,'Maths1.DailyAttendance'!$D$2:$D$16,'Maths1.DailyAttendance'!$R$2:$R$16,_xlfn.XLOOKUP(C23,'English Language'!$D$2:$D$16,'English Language'!$R$2:$R$16)))</f>
        <v>0.2</v>
      </c>
      <c r="F23" s="10" t="n">
        <f aca="false">IF(D23=$N$3,(_xlfn.XLOOKUP(C23,'Physics1.DailyAttendance'!$D$2:$D$16,'Physics1.DailyAttendance'!$S$2:$S$16)),_xlfn.XLOOKUP(C23,'Maths1.DailyAttendance'!$D$2:$D$16,'Maths1.DailyAttendance'!$S$2:$S$16,_xlfn.XLOOKUP(C23,'English Language'!D$2:$D$16,'English Language'!$S$2:$S$16)))</f>
        <v>0</v>
      </c>
      <c r="G23" s="10" t="n">
        <f aca="false">IF(D23=$N$3,(_xlfn.XLOOKUP(C23,'Physics1.DailyAttendance'!$D$2:$D$16,'Physics1.DailyAttendance'!$T$2:$T$16)),_xlfn.XLOOKUP(C23,'Maths1.DailyAttendance'!$D$2:$D$16,'Maths1.DailyAttendance'!$T$2:$T$16,_xlfn.XLOOKUP(C23,'English Language'!$D$2:$D$16,'English Language'!$T$2:$T$16)))</f>
        <v>37</v>
      </c>
      <c r="H23" s="10" t="str">
        <f aca="false">IF(D23=$N$3,(_xlfn.XLOOKUP(C23,'Physics1.DailyAttendance'!$D$2:$D$16,'Physics1.DailyAttendance'!$U$2:$U$16)),_xlfn.XLOOKUP(C23,'Maths1.DailyAttendance'!$D$2:$D$16,'Maths1.DailyAttendance'!$U$2:$U$16,_xlfn.XLOOKUP(C23,'English Language'!$D$2:F$16,'English Language'!$U$2:$U$16)))</f>
        <v>No</v>
      </c>
      <c r="I23" s="11" t="n">
        <f aca="false">(E23*40)+F23*0.15+G23*0.2+(IF(H23="Yes",25,0))</f>
        <v>15.4</v>
      </c>
      <c r="J23" s="8" t="str">
        <f aca="false">IF(I23&gt;87,"Excellent",IF(I23&lt;70,"Failed",IF(I23&gt;77,"Good","Pass")))</f>
        <v>Failed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customFormat="false" ht="15.75" hidden="false" customHeight="true" outlineLevel="0" collapsed="false">
      <c r="A24" s="8" t="str">
        <f aca="false">StudendEnroll!A24</f>
        <v>Lana</v>
      </c>
      <c r="B24" s="8" t="str">
        <f aca="false">StudendEnroll!B24</f>
        <v>Andie</v>
      </c>
      <c r="C24" s="8" t="str">
        <f aca="false">StudendEnroll!C24</f>
        <v>Lanand@gmail.com</v>
      </c>
      <c r="D24" s="8" t="str">
        <f aca="false">StudendEnroll!D24</f>
        <v>Maths1</v>
      </c>
      <c r="E24" s="9" t="n">
        <f aca="false">IF(D24=$N$3,(_xlfn.XLOOKUP(C24,'Physics1.DailyAttendance'!$D$2:$D$14,'Physics1.DailyAttendance'!$R$2:$R$14)),_xlfn.XLOOKUP(C24,'Maths1.DailyAttendance'!$D$2:$D$16,'Maths1.DailyAttendance'!$R$2:$R$16,_xlfn.XLOOKUP(C24,'English Language'!$D$2:$D$16,'English Language'!$R$2:$R$16)))</f>
        <v>0.7</v>
      </c>
      <c r="F24" s="10" t="n">
        <f aca="false">IF(D24=$N$3,(_xlfn.XLOOKUP(C24,'Physics1.DailyAttendance'!$D$2:$D$16,'Physics1.DailyAttendance'!$S$2:$S$16)),_xlfn.XLOOKUP(C24,'Maths1.DailyAttendance'!$D$2:$D$16,'Maths1.DailyAttendance'!$S$2:$S$16,_xlfn.XLOOKUP(C24,'English Language'!D$2:$D$16,'English Language'!$S$2:$S$16)))</f>
        <v>97</v>
      </c>
      <c r="G24" s="10" t="n">
        <f aca="false">IF(D24=$N$3,(_xlfn.XLOOKUP(C24,'Physics1.DailyAttendance'!$D$2:$D$16,'Physics1.DailyAttendance'!$T$2:$T$16)),_xlfn.XLOOKUP(C24,'Maths1.DailyAttendance'!$D$2:$D$16,'Maths1.DailyAttendance'!$T$2:$T$16,_xlfn.XLOOKUP(C24,'English Language'!$D$2:$D$16,'English Language'!$T$2:$T$16)))</f>
        <v>100</v>
      </c>
      <c r="H24" s="10" t="str">
        <f aca="false">IF(D24=$N$3,(_xlfn.XLOOKUP(C24,'Physics1.DailyAttendance'!$D$2:$D$16,'Physics1.DailyAttendance'!$U$2:$U$16)),_xlfn.XLOOKUP(C24,'Maths1.DailyAttendance'!$D$2:$D$16,'Maths1.DailyAttendance'!$U$2:$U$16,_xlfn.XLOOKUP(C24,'English Language'!$D$2:F$16,'English Language'!$U$2:$U$16)))</f>
        <v>Yes</v>
      </c>
      <c r="I24" s="11" t="n">
        <f aca="false">(E24*40)+F24*0.15+G24*0.2+(IF(H24="Yes",25,0))</f>
        <v>87.55</v>
      </c>
      <c r="J24" s="8" t="str">
        <f aca="false">IF(I24&gt;87,"Excellent",IF(I24&lt;70,"Failed",IF(I24&gt;77,"Good","Pass")))</f>
        <v>Excellent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customFormat="false" ht="15.75" hidden="false" customHeight="true" outlineLevel="0" collapsed="false">
      <c r="A25" s="8" t="str">
        <f aca="false">StudendEnroll!A25</f>
        <v>Anna</v>
      </c>
      <c r="B25" s="8" t="str">
        <f aca="false">StudendEnroll!B25</f>
        <v>Tsakiris</v>
      </c>
      <c r="C25" s="8" t="str">
        <f aca="false">StudendEnroll!C25</f>
        <v>Annasa@gmail.com</v>
      </c>
      <c r="D25" s="8" t="str">
        <f aca="false">StudendEnroll!D25</f>
        <v>Physics1</v>
      </c>
      <c r="E25" s="9" t="n">
        <f aca="false">IF(D25=$N$3,(_xlfn.XLOOKUP(C25,'Physics1.DailyAttendance'!$D$2:$D$14,'Physics1.DailyAttendance'!$R$2:$R$14)),_xlfn.XLOOKUP(C25,'Maths1.DailyAttendance'!$D$2:$D$16,'Maths1.DailyAttendance'!$R$2:$R$16,_xlfn.XLOOKUP(C25,'English Language'!$D$2:$D$16,'English Language'!$R$2:$R$16)))</f>
        <v>0.8</v>
      </c>
      <c r="F25" s="10" t="n">
        <f aca="false">IF(D25=$N$3,(_xlfn.XLOOKUP(C25,'Physics1.DailyAttendance'!$D$2:$D$16,'Physics1.DailyAttendance'!$S$2:$S$16)),_xlfn.XLOOKUP(C25,'Maths1.DailyAttendance'!$D$2:$D$16,'Maths1.DailyAttendance'!$S$2:$S$16,_xlfn.XLOOKUP(C25,'English Language'!D$2:$D$16,'English Language'!$S$2:$S$16)))</f>
        <v>71</v>
      </c>
      <c r="G25" s="10" t="n">
        <f aca="false">IF(D25=$N$3,(_xlfn.XLOOKUP(C25,'Physics1.DailyAttendance'!$D$2:$D$16,'Physics1.DailyAttendance'!$T$2:$T$16)),_xlfn.XLOOKUP(C25,'Maths1.DailyAttendance'!$D$2:$D$16,'Maths1.DailyAttendance'!$T$2:$T$16,_xlfn.XLOOKUP(C25,'English Language'!$D$2:$D$16,'English Language'!$T$2:$T$16)))</f>
        <v>79</v>
      </c>
      <c r="H25" s="10" t="str">
        <f aca="false">IF(D25=$N$3,(_xlfn.XLOOKUP(C25,'Physics1.DailyAttendance'!$D$2:$D$16,'Physics1.DailyAttendance'!$U$2:$U$16)),_xlfn.XLOOKUP(C25,'Maths1.DailyAttendance'!$D$2:$D$16,'Maths1.DailyAttendance'!$U$2:$U$16,_xlfn.XLOOKUP(C25,'English Language'!$D$2:F$16,'English Language'!$U$2:$U$16)))</f>
        <v>Yes</v>
      </c>
      <c r="I25" s="11" t="n">
        <f aca="false">(E25*40)+F25*0.15+G25*0.2+(IF(H25="Yes",25,0))</f>
        <v>83.45</v>
      </c>
      <c r="J25" s="8" t="str">
        <f aca="false">IF(I25&gt;87,"Excellent",IF(I25&lt;70,"Failed",IF(I25&gt;77,"Good","Pass")))</f>
        <v>Good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customFormat="false" ht="15.75" hidden="false" customHeight="true" outlineLevel="0" collapsed="false">
      <c r="A26" s="8" t="str">
        <f aca="false">StudendEnroll!A26</f>
        <v>Neto</v>
      </c>
      <c r="B26" s="8" t="str">
        <f aca="false">StudendEnroll!B26</f>
        <v>Juninhio</v>
      </c>
      <c r="C26" s="8" t="str">
        <f aca="false">StudendEnroll!C26</f>
        <v>Netoun@gmail.com</v>
      </c>
      <c r="D26" s="8" t="str">
        <f aca="false">StudendEnroll!D26</f>
        <v>Physics1</v>
      </c>
      <c r="E26" s="9" t="n">
        <f aca="false">IF(D26=$N$3,(_xlfn.XLOOKUP(C26,'Physics1.DailyAttendance'!$D$2:$D$14,'Physics1.DailyAttendance'!$R$2:$R$14)),_xlfn.XLOOKUP(C26,'Maths1.DailyAttendance'!$D$2:$D$16,'Maths1.DailyAttendance'!$R$2:$R$16,_xlfn.XLOOKUP(C26,'English Language'!$D$2:$D$16,'English Language'!$R$2:$R$16)))</f>
        <v>0.6</v>
      </c>
      <c r="F26" s="10" t="n">
        <f aca="false">IF(D26=$N$3,(_xlfn.XLOOKUP(C26,'Physics1.DailyAttendance'!$D$2:$D$16,'Physics1.DailyAttendance'!$S$2:$S$16)),_xlfn.XLOOKUP(C26,'Maths1.DailyAttendance'!$D$2:$D$16,'Maths1.DailyAttendance'!$S$2:$S$16,_xlfn.XLOOKUP(C26,'English Language'!D$2:$D$16,'English Language'!$S$2:$S$16)))</f>
        <v>40</v>
      </c>
      <c r="G26" s="10" t="n">
        <f aca="false">IF(D26=$N$3,(_xlfn.XLOOKUP(C26,'Physics1.DailyAttendance'!$D$2:$D$16,'Physics1.DailyAttendance'!$T$2:$T$16)),_xlfn.XLOOKUP(C26,'Maths1.DailyAttendance'!$D$2:$D$16,'Maths1.DailyAttendance'!$T$2:$T$16,_xlfn.XLOOKUP(C26,'English Language'!$D$2:$D$16,'English Language'!$T$2:$T$16)))</f>
        <v>66</v>
      </c>
      <c r="H26" s="10" t="str">
        <f aca="false">IF(D26=$N$3,(_xlfn.XLOOKUP(C26,'Physics1.DailyAttendance'!$D$2:$D$16,'Physics1.DailyAttendance'!$U$2:$U$16)),_xlfn.XLOOKUP(C26,'Maths1.DailyAttendance'!$D$2:$D$16,'Maths1.DailyAttendance'!$U$2:$U$16,_xlfn.XLOOKUP(C26,'English Language'!$D$2:F$16,'English Language'!$U$2:$U$16)))</f>
        <v>No</v>
      </c>
      <c r="I26" s="11" t="n">
        <f aca="false">(E26*40)+F26*0.15+G26*0.2+(IF(H26="Yes",25,0))</f>
        <v>43.2</v>
      </c>
      <c r="J26" s="8" t="str">
        <f aca="false">IF(I26&gt;87,"Excellent",IF(I26&lt;70,"Failed",IF(I26&gt;77,"Good","Pass")))</f>
        <v>Failed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customFormat="false" ht="15.75" hidden="false" customHeight="true" outlineLevel="0" collapsed="false">
      <c r="A27" s="8" t="str">
        <f aca="false">StudendEnroll!A27</f>
        <v>Andres</v>
      </c>
      <c r="B27" s="8" t="str">
        <f aca="false">StudendEnroll!B27</f>
        <v>Iniesti</v>
      </c>
      <c r="C27" s="8" t="str">
        <f aca="false">StudendEnroll!C27</f>
        <v>Andresni@gmail.com</v>
      </c>
      <c r="D27" s="8" t="str">
        <f aca="false">StudendEnroll!D27</f>
        <v>Maths1</v>
      </c>
      <c r="E27" s="9" t="n">
        <f aca="false">IF(D27=$N$3,(_xlfn.XLOOKUP(C27,'Physics1.DailyAttendance'!$D$2:$D$14,'Physics1.DailyAttendance'!$R$2:$R$14)),_xlfn.XLOOKUP(C27,'Maths1.DailyAttendance'!$D$2:$D$16,'Maths1.DailyAttendance'!$R$2:$R$16,_xlfn.XLOOKUP(C27,'English Language'!$D$2:$D$16,'English Language'!$R$2:$R$16)))</f>
        <v>0.7</v>
      </c>
      <c r="F27" s="10" t="n">
        <f aca="false">IF(D27=$N$3,(_xlfn.XLOOKUP(C27,'Physics1.DailyAttendance'!$D$2:$D$16,'Physics1.DailyAttendance'!$S$2:$S$16)),_xlfn.XLOOKUP(C27,'Maths1.DailyAttendance'!$D$2:$D$16,'Maths1.DailyAttendance'!$S$2:$S$16,_xlfn.XLOOKUP(C27,'English Language'!D$2:$D$16,'English Language'!$S$2:$S$16)))</f>
        <v>90</v>
      </c>
      <c r="G27" s="10" t="n">
        <f aca="false">IF(D27=$N$3,(_xlfn.XLOOKUP(C27,'Physics1.DailyAttendance'!$D$2:$D$16,'Physics1.DailyAttendance'!$T$2:$T$16)),_xlfn.XLOOKUP(C27,'Maths1.DailyAttendance'!$D$2:$D$16,'Maths1.DailyAttendance'!$T$2:$T$16,_xlfn.XLOOKUP(C27,'English Language'!$D$2:$D$16,'English Language'!$T$2:$T$16)))</f>
        <v>87</v>
      </c>
      <c r="H27" s="10" t="str">
        <f aca="false">IF(D27=$N$3,(_xlfn.XLOOKUP(C27,'Physics1.DailyAttendance'!$D$2:$D$16,'Physics1.DailyAttendance'!$U$2:$U$16)),_xlfn.XLOOKUP(C27,'Maths1.DailyAttendance'!$D$2:$D$16,'Maths1.DailyAttendance'!$U$2:$U$16,_xlfn.XLOOKUP(C27,'English Language'!$D$2:F$16,'English Language'!$U$2:$U$16)))</f>
        <v>Yes</v>
      </c>
      <c r="I27" s="11" t="n">
        <f aca="false">(E27*40)+F27*0.15+G27*0.2+(IF(H27="Yes",25,0))</f>
        <v>83.9</v>
      </c>
      <c r="J27" s="8" t="str">
        <f aca="false">IF(I27&gt;87,"Excellent",IF(I27&lt;70,"Failed",IF(I27&gt;77,"Good","Pass")))</f>
        <v>Good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customFormat="false" ht="15.75" hidden="false" customHeight="true" outlineLevel="0" collapsed="false">
      <c r="A28" s="8" t="str">
        <f aca="false">StudendEnroll!A28</f>
        <v>Katie</v>
      </c>
      <c r="B28" s="8" t="str">
        <f aca="false">StudendEnroll!B28</f>
        <v>Parn</v>
      </c>
      <c r="C28" s="8" t="str">
        <f aca="false">StudendEnroll!C28</f>
        <v>Katiear@gmail.com</v>
      </c>
      <c r="D28" s="8" t="str">
        <f aca="false">StudendEnroll!D28</f>
        <v>English Language</v>
      </c>
      <c r="E28" s="9" t="n">
        <f aca="false">IF(D28=$N$3,(_xlfn.XLOOKUP(C28,'Physics1.DailyAttendance'!$D$2:$D$14,'Physics1.DailyAttendance'!$R$2:$R$14)),_xlfn.XLOOKUP(C28,'Maths1.DailyAttendance'!$D$2:$D$16,'Maths1.DailyAttendance'!$R$2:$R$16,_xlfn.XLOOKUP(C28,'English Language'!$D$2:$D$16,'English Language'!$R$2:$R$16)))</f>
        <v>0.9</v>
      </c>
      <c r="F28" s="10" t="n">
        <f aca="false">IF(D28=$N$3,(_xlfn.XLOOKUP(C28,'Physics1.DailyAttendance'!$D$2:$D$16,'Physics1.DailyAttendance'!$S$2:$S$16)),_xlfn.XLOOKUP(C28,'Maths1.DailyAttendance'!$D$2:$D$16,'Maths1.DailyAttendance'!$S$2:$S$16,_xlfn.XLOOKUP(C28,'English Language'!D$2:$D$16,'English Language'!$S$2:$S$16)))</f>
        <v>96</v>
      </c>
      <c r="G28" s="10" t="n">
        <f aca="false">IF(D28=$N$3,(_xlfn.XLOOKUP(C28,'Physics1.DailyAttendance'!$D$2:$D$16,'Physics1.DailyAttendance'!$T$2:$T$16)),_xlfn.XLOOKUP(C28,'Maths1.DailyAttendance'!$D$2:$D$16,'Maths1.DailyAttendance'!$T$2:$T$16,_xlfn.XLOOKUP(C28,'English Language'!$D$2:$D$16,'English Language'!$T$2:$T$16)))</f>
        <v>88</v>
      </c>
      <c r="H28" s="10" t="str">
        <f aca="false">IF(D28=$N$3,(_xlfn.XLOOKUP(C28,'Physics1.DailyAttendance'!$D$2:$D$16,'Physics1.DailyAttendance'!$U$2:$U$16)),_xlfn.XLOOKUP(C28,'Maths1.DailyAttendance'!$D$2:$D$16,'Maths1.DailyAttendance'!$U$2:$U$16,_xlfn.XLOOKUP(C28,'English Language'!$D$2:D$16,'English Language'!$U$2:$U$16)))</f>
        <v>Yes</v>
      </c>
      <c r="I28" s="11" t="n">
        <f aca="false">(E28*40)+F28*0.15+G28*0.2+(IF(H28="Yes",25,0))</f>
        <v>93</v>
      </c>
      <c r="J28" s="8" t="str">
        <f aca="false">IF(I28&gt;87,"Excellent",IF(I28&lt;70,"Failed",IF(I28&gt;77,"Good","Pass")))</f>
        <v>Excellent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customFormat="false" ht="15.75" hidden="false" customHeight="true" outlineLevel="0" collapsed="false">
      <c r="A29" s="8" t="str">
        <f aca="false">StudendEnroll!A29</f>
        <v>Ronaldo</v>
      </c>
      <c r="B29" s="8" t="str">
        <f aca="false">StudendEnroll!B29</f>
        <v>Felipe</v>
      </c>
      <c r="C29" s="8" t="str">
        <f aca="false">StudendEnroll!C29</f>
        <v>Ronaldoel@gmail.com</v>
      </c>
      <c r="D29" s="8" t="str">
        <f aca="false">StudendEnroll!D29</f>
        <v>English Language</v>
      </c>
      <c r="E29" s="9" t="n">
        <f aca="false">IF(D29=$N$3,(_xlfn.XLOOKUP(C29,'Physics1.DailyAttendance'!$D$2:$D$14,'Physics1.DailyAttendance'!$R$2:$R$14)),_xlfn.XLOOKUP(C29,'Maths1.DailyAttendance'!$D$2:$D$16,'Maths1.DailyAttendance'!$R$2:$R$16,_xlfn.XLOOKUP(C29,'English Language'!$D$2:$D$16,'English Language'!$R$2:$R$16)))</f>
        <v>0.8</v>
      </c>
      <c r="F29" s="10" t="n">
        <f aca="false">IF(D29=$N$3,(_xlfn.XLOOKUP(C29,'Physics1.DailyAttendance'!$D$2:$D$16,'Physics1.DailyAttendance'!$S$2:$S$16)),_xlfn.XLOOKUP(C29,'Maths1.DailyAttendance'!$D$2:$D$16,'Maths1.DailyAttendance'!$S$2:$S$16,_xlfn.XLOOKUP(C29,'English Language'!D$2:$D$16,'English Language'!$S$2:$S$16)))</f>
        <v>55</v>
      </c>
      <c r="G29" s="10" t="n">
        <f aca="false">IF(D29=$N$3,(_xlfn.XLOOKUP(C29,'Physics1.DailyAttendance'!$D$2:$D$16,'Physics1.DailyAttendance'!$T$2:$T$16)),_xlfn.XLOOKUP(C29,'Maths1.DailyAttendance'!$D$2:$D$16,'Maths1.DailyAttendance'!$T$2:$T$16,_xlfn.XLOOKUP(C29,'English Language'!$D$2:$D$16,'English Language'!$T$2:$T$16)))</f>
        <v>66</v>
      </c>
      <c r="H29" s="10" t="str">
        <f aca="false">IF(D29=$N$3,(_xlfn.XLOOKUP(C29,'Physics1.DailyAttendance'!$D$2:$D$16,'Physics1.DailyAttendance'!$U$2:$U$16)),_xlfn.XLOOKUP(C29,'Maths1.DailyAttendance'!$D$2:$D$16,'Maths1.DailyAttendance'!$U$2:$U$16,_xlfn.XLOOKUP(C29,'English Language'!$D$2:D$16,'English Language'!$U$2:$U$16)))</f>
        <v>No</v>
      </c>
      <c r="I29" s="11" t="n">
        <f aca="false">(E29*40)+F29*0.15+G29*0.2+(IF(H29="Yes",25,0))</f>
        <v>53.45</v>
      </c>
      <c r="J29" s="8" t="str">
        <f aca="false">IF(I29&gt;87,"Excellent",IF(I29&lt;70,"Failed",IF(I29&gt;77,"Good","Pass")))</f>
        <v>Failed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customFormat="false" ht="15.75" hidden="false" customHeight="true" outlineLevel="0" collapsed="false">
      <c r="A30" s="8" t="str">
        <f aca="false">StudendEnroll!A30</f>
        <v>Dean</v>
      </c>
      <c r="B30" s="8" t="str">
        <f aca="false">StudendEnroll!B30</f>
        <v>Jolie</v>
      </c>
      <c r="C30" s="8" t="str">
        <f aca="false">StudendEnroll!C30</f>
        <v>Deanol@gmail.com</v>
      </c>
      <c r="D30" s="8" t="str">
        <f aca="false">StudendEnroll!D30</f>
        <v>English Language</v>
      </c>
      <c r="E30" s="9" t="n">
        <f aca="false">IF(D30=$N$3,(_xlfn.XLOOKUP(C30,'Physics1.DailyAttendance'!$D$2:$D$14,'Physics1.DailyAttendance'!$R$2:$R$14)),_xlfn.XLOOKUP(C30,'Maths1.DailyAttendance'!$D$2:$D$16,'Maths1.DailyAttendance'!$R$2:$R$16,_xlfn.XLOOKUP(C30,'English Language'!$D$2:$D$16,'English Language'!$R$2:$R$16)))</f>
        <v>1</v>
      </c>
      <c r="F30" s="10" t="n">
        <f aca="false">IF(D30=$N$3,(_xlfn.XLOOKUP(C30,'Physics1.DailyAttendance'!$D$2:$D$16,'Physics1.DailyAttendance'!$S$2:$S$16)),_xlfn.XLOOKUP(C30,'Maths1.DailyAttendance'!$D$2:$D$16,'Maths1.DailyAttendance'!$S$2:$S$16,_xlfn.XLOOKUP(C30,'English Language'!D$2:$D$16,'English Language'!$S$2:$S$16)))</f>
        <v>81</v>
      </c>
      <c r="G30" s="10" t="n">
        <f aca="false">IF(D30=$N$3,(_xlfn.XLOOKUP(C30,'Physics1.DailyAttendance'!$D$2:$D$16,'Physics1.DailyAttendance'!$T$2:$T$16)),_xlfn.XLOOKUP(C30,'Maths1.DailyAttendance'!$D$2:$D$16,'Maths1.DailyAttendance'!$T$2:$T$16,_xlfn.XLOOKUP(C30,'English Language'!$D$2:$D$16,'English Language'!$T$2:$T$16)))</f>
        <v>99</v>
      </c>
      <c r="H30" s="10" t="str">
        <f aca="false">IF(D30=$N$3,(_xlfn.XLOOKUP(C30,'Physics1.DailyAttendance'!$D$2:$D$16,'Physics1.DailyAttendance'!$U$2:$U$16)),_xlfn.XLOOKUP(C30,'Maths1.DailyAttendance'!$D$2:$D$16,'Maths1.DailyAttendance'!$U$2:$U$16,_xlfn.XLOOKUP(C30,'English Language'!$D$2:D$16,'English Language'!$U$2:$U$16)))</f>
        <v>Yes</v>
      </c>
      <c r="I30" s="11" t="n">
        <f aca="false">(E30*40)+F30*0.15+G30*0.2+(IF(H30="Yes",25,0))</f>
        <v>96.95</v>
      </c>
      <c r="J30" s="8" t="str">
        <f aca="false">IF(I30&gt;87,"Excellent",IF(I30&lt;70,"Failed",IF(I30&gt;77,"Good","Pass")))</f>
        <v>Excellent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customFormat="false" ht="15.75" hidden="false" customHeight="true" outlineLevel="0" collapsed="false">
      <c r="A31" s="8" t="str">
        <f aca="false">StudendEnroll!A31</f>
        <v>Paolo</v>
      </c>
      <c r="B31" s="8" t="str">
        <f aca="false">StudendEnroll!B31</f>
        <v>Jasmini</v>
      </c>
      <c r="C31" s="8" t="str">
        <f aca="false">StudendEnroll!C31</f>
        <v>Paoloas@gmail.com</v>
      </c>
      <c r="D31" s="8" t="str">
        <f aca="false">StudendEnroll!D31</f>
        <v>English Language</v>
      </c>
      <c r="E31" s="9" t="n">
        <f aca="false">IF(D31=$N$3,(_xlfn.XLOOKUP(C31,'Physics1.DailyAttendance'!$D$2:$D$14,'Physics1.DailyAttendance'!$R$2:$R$14)),_xlfn.XLOOKUP(C31,'Maths1.DailyAttendance'!$D$2:$D$16,'Maths1.DailyAttendance'!$R$2:$R$16,_xlfn.XLOOKUP(C31,'English Language'!$D$2:$D$16,'English Language'!$R$2:$R$16)))</f>
        <v>0.8</v>
      </c>
      <c r="F31" s="10" t="n">
        <f aca="false">IF(D31=$N$3,(_xlfn.XLOOKUP(C31,'Physics1.DailyAttendance'!$D$2:$D$16,'Physics1.DailyAttendance'!$S$2:$S$16)),_xlfn.XLOOKUP(C31,'Maths1.DailyAttendance'!$D$2:$D$16,'Maths1.DailyAttendance'!$S$2:$S$16,_xlfn.XLOOKUP(C31,'English Language'!D$2:$D$16,'English Language'!$S$2:$S$16)))</f>
        <v>77</v>
      </c>
      <c r="G31" s="10" t="n">
        <f aca="false">IF(D31=$N$3,(_xlfn.XLOOKUP(C31,'Physics1.DailyAttendance'!$D$2:$D$16,'Physics1.DailyAttendance'!$T$2:$T$16)),_xlfn.XLOOKUP(C31,'Maths1.DailyAttendance'!$D$2:$D$16,'Maths1.DailyAttendance'!$T$2:$T$16,_xlfn.XLOOKUP(C31,'English Language'!$D$2:$D$16,'English Language'!$T$2:$T$16)))</f>
        <v>87</v>
      </c>
      <c r="H31" s="10" t="str">
        <f aca="false">IF(D31=$N$3,(_xlfn.XLOOKUP(C31,'Physics1.DailyAttendance'!$D$2:$D$16,'Physics1.DailyAttendance'!$U$2:$U$16)),_xlfn.XLOOKUP(C31,'Maths1.DailyAttendance'!$D$2:$D$16,'Maths1.DailyAttendance'!$U$2:$U$16,_xlfn.XLOOKUP(C31,'English Language'!$D$2:D$16,'English Language'!$U$2:$U$16)))</f>
        <v>Yes</v>
      </c>
      <c r="I31" s="11" t="n">
        <f aca="false">(E31*40)+F31*0.15+G31*0.2+(IF(H31="Yes",25,0))</f>
        <v>85.95</v>
      </c>
      <c r="J31" s="8" t="str">
        <f aca="false">IF(I31&gt;87,"Excellent",IF(I31&lt;70,"Failed",IF(I31&gt;77,"Good","Pass")))</f>
        <v>Good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customFormat="false" ht="15.75" hidden="false" customHeight="true" outlineLevel="0" collapsed="false">
      <c r="A32" s="8" t="str">
        <f aca="false">StudendEnroll!A32</f>
        <v>Jean </v>
      </c>
      <c r="B32" s="8" t="str">
        <f aca="false">StudendEnroll!B32</f>
        <v>Damme</v>
      </c>
      <c r="C32" s="8" t="str">
        <f aca="false">StudendEnroll!C32</f>
        <v>Jean am@gmail.com</v>
      </c>
      <c r="D32" s="8" t="str">
        <f aca="false">StudendEnroll!D32</f>
        <v>English Language</v>
      </c>
      <c r="E32" s="9" t="n">
        <f aca="false">IF(D32=$N$3,(_xlfn.XLOOKUP(C32,'Physics1.DailyAttendance'!$D$2:$D$14,'Physics1.DailyAttendance'!$R$2:$R$14)),_xlfn.XLOOKUP(C32,'Maths1.DailyAttendance'!$D$2:$D$16,'Maths1.DailyAttendance'!$R$2:$R$16,_xlfn.XLOOKUP(C32,'English Language'!$D$2:$D$16,'English Language'!$R$2:$R$16)))</f>
        <v>0.7</v>
      </c>
      <c r="F32" s="10" t="n">
        <f aca="false">IF(D32=$N$3,(_xlfn.XLOOKUP(C32,'Physics1.DailyAttendance'!$D$2:$D$16,'Physics1.DailyAttendance'!$S$2:$S$16)),_xlfn.XLOOKUP(C32,'Maths1.DailyAttendance'!$D$2:$D$16,'Maths1.DailyAttendance'!$S$2:$S$16,_xlfn.XLOOKUP(C32,'English Language'!D$2:$D$16,'English Language'!$S$2:$S$16)))</f>
        <v>80</v>
      </c>
      <c r="G32" s="10" t="n">
        <f aca="false">IF(D32=$N$3,(_xlfn.XLOOKUP(C32,'Physics1.DailyAttendance'!$D$2:$D$16,'Physics1.DailyAttendance'!$T$2:$T$16)),_xlfn.XLOOKUP(C32,'Maths1.DailyAttendance'!$D$2:$D$16,'Maths1.DailyAttendance'!$T$2:$T$16,_xlfn.XLOOKUP(C32,'English Language'!$D$2:$D$16,'English Language'!$T$2:$T$16)))</f>
        <v>78</v>
      </c>
      <c r="H32" s="10" t="str">
        <f aca="false">IF(D32=$N$3,(_xlfn.XLOOKUP(C32,'Physics1.DailyAttendance'!$D$2:$D$16,'Physics1.DailyAttendance'!$U$2:$U$16)),_xlfn.XLOOKUP(C32,'Maths1.DailyAttendance'!$D$2:$D$16,'Maths1.DailyAttendance'!$U$2:$U$16,_xlfn.XLOOKUP(C32,'English Language'!$D$2:D$16,'English Language'!$U$2:$U$16)))</f>
        <v>Yes</v>
      </c>
      <c r="I32" s="11" t="n">
        <f aca="false">(E32*40)+F32*0.15+G32*0.2+(IF(H32="Yes",25,0))</f>
        <v>80.6</v>
      </c>
      <c r="J32" s="8" t="str">
        <f aca="false">IF(I32&gt;87,"Excellent",IF(I32&lt;70,"Failed",IF(I32&gt;77,"Good","Pass")))</f>
        <v>Good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customFormat="false" ht="15.75" hidden="false" customHeight="true" outlineLevel="0" collapsed="false">
      <c r="A33" s="8" t="str">
        <f aca="false">StudendEnroll!A33</f>
        <v>Helen </v>
      </c>
      <c r="B33" s="8" t="str">
        <f aca="false">StudendEnroll!B33</f>
        <v>Birren</v>
      </c>
      <c r="C33" s="8" t="str">
        <f aca="false">StudendEnroll!C33</f>
        <v>Helen ir@gmail.com</v>
      </c>
      <c r="D33" s="8" t="str">
        <f aca="false">StudendEnroll!D33</f>
        <v>English Language</v>
      </c>
      <c r="E33" s="9" t="n">
        <f aca="false">IF(D33=$N$3,(_xlfn.XLOOKUP(C33,'Physics1.DailyAttendance'!$D$2:$D$14,'Physics1.DailyAttendance'!$R$2:$R$14)),_xlfn.XLOOKUP(C33,'Maths1.DailyAttendance'!$D$2:$D$16,'Maths1.DailyAttendance'!$R$2:$R$16,_xlfn.XLOOKUP(C33,'English Language'!$D$2:$D$16,'English Language'!$R$2:$R$16)))</f>
        <v>0.9</v>
      </c>
      <c r="F33" s="10" t="n">
        <f aca="false">IF(D33=$N$3,(_xlfn.XLOOKUP(C33,'Physics1.DailyAttendance'!$D$2:$D$16,'Physics1.DailyAttendance'!$S$2:$S$16)),_xlfn.XLOOKUP(C33,'Maths1.DailyAttendance'!$D$2:$D$16,'Maths1.DailyAttendance'!$S$2:$S$16,_xlfn.XLOOKUP(C33,'English Language'!D$2:$D$16,'English Language'!$S$2:$S$16)))</f>
        <v>60</v>
      </c>
      <c r="G33" s="10" t="n">
        <f aca="false">IF(D33=$N$3,(_xlfn.XLOOKUP(C33,'Physics1.DailyAttendance'!$D$2:$D$16,'Physics1.DailyAttendance'!$T$2:$T$16)),_xlfn.XLOOKUP(C33,'Maths1.DailyAttendance'!$D$2:$D$16,'Maths1.DailyAttendance'!$T$2:$T$16,_xlfn.XLOOKUP(C33,'English Language'!$D$2:$D$16,'English Language'!$T$2:$T$16)))</f>
        <v>94</v>
      </c>
      <c r="H33" s="10" t="str">
        <f aca="false">IF(D33=$N$3,(_xlfn.XLOOKUP(C33,'Physics1.DailyAttendance'!$D$2:$D$16,'Physics1.DailyAttendance'!$U$2:$U$16)),_xlfn.XLOOKUP(C33,'Maths1.DailyAttendance'!$D$2:$D$16,'Maths1.DailyAttendance'!$U$2:$U$16,_xlfn.XLOOKUP(C33,'English Language'!$D$2:D$16,'English Language'!$U$2:$U$16)))</f>
        <v>Yes</v>
      </c>
      <c r="I33" s="11" t="n">
        <f aca="false">(E33*40)+F33*0.15+G33*0.2+(IF(H33="Yes",25,0))</f>
        <v>88.8</v>
      </c>
      <c r="J33" s="8" t="str">
        <f aca="false">IF(I33&gt;87,"Excellent",IF(I33&lt;70,"Failed",IF(I33&gt;77,"Good","Pass")))</f>
        <v>Excellent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customFormat="false" ht="15.75" hidden="false" customHeight="true" outlineLevel="0" collapsed="false">
      <c r="A34" s="8" t="str">
        <f aca="false">StudendEnroll!A34</f>
        <v>Olivia</v>
      </c>
      <c r="B34" s="8" t="str">
        <f aca="false">StudendEnroll!B34</f>
        <v>Cander</v>
      </c>
      <c r="C34" s="8" t="str">
        <f aca="false">StudendEnroll!C34</f>
        <v>Oliviaan@gmail.com</v>
      </c>
      <c r="D34" s="8" t="str">
        <f aca="false">StudendEnroll!D34</f>
        <v>English Language</v>
      </c>
      <c r="E34" s="9" t="n">
        <f aca="false">IF(D34=$N$3,(_xlfn.XLOOKUP(C34,'Physics1.DailyAttendance'!$D$2:$D$14,'Physics1.DailyAttendance'!$R$2:$R$14)),_xlfn.XLOOKUP(C34,'Maths1.DailyAttendance'!$D$2:$D$16,'Maths1.DailyAttendance'!$R$2:$R$16,_xlfn.XLOOKUP(C34,'English Language'!$D$2:$D$16,'English Language'!$R$2:$R$16)))</f>
        <v>0.8</v>
      </c>
      <c r="F34" s="10" t="n">
        <f aca="false">IF(D34=$N$3,(_xlfn.XLOOKUP(C34,'Physics1.DailyAttendance'!$D$2:$D$16,'Physics1.DailyAttendance'!$S$2:$S$16)),_xlfn.XLOOKUP(C34,'Maths1.DailyAttendance'!$D$2:$D$16,'Maths1.DailyAttendance'!$S$2:$S$16,_xlfn.XLOOKUP(C34,'English Language'!D$2:$D$16,'English Language'!$S$2:$S$16)))</f>
        <v>92</v>
      </c>
      <c r="G34" s="10" t="n">
        <f aca="false">IF(D34=$N$3,(_xlfn.XLOOKUP(C34,'Physics1.DailyAttendance'!$D$2:$D$16,'Physics1.DailyAttendance'!$T$2:$T$16)),_xlfn.XLOOKUP(C34,'Maths1.DailyAttendance'!$D$2:$D$16,'Maths1.DailyAttendance'!$T$2:$T$16,_xlfn.XLOOKUP(C34,'English Language'!$D$2:$D$16,'English Language'!$T$2:$T$16)))</f>
        <v>79</v>
      </c>
      <c r="H34" s="10" t="str">
        <f aca="false">IF(D34=$N$3,(_xlfn.XLOOKUP(C34,'Physics1.DailyAttendance'!$D$2:$D$16,'Physics1.DailyAttendance'!$U$2:$U$16)),_xlfn.XLOOKUP(C34,'Maths1.DailyAttendance'!$D$2:$D$16,'Maths1.DailyAttendance'!$U$2:$U$16,_xlfn.XLOOKUP(C34,'English Language'!$D$2:D$16,'English Language'!$U$2:$U$16)))</f>
        <v>Yes</v>
      </c>
      <c r="I34" s="11" t="n">
        <f aca="false">(E34*40)+F34*0.15+G34*0.2+(IF(H34="Yes",25,0))</f>
        <v>86.6</v>
      </c>
      <c r="J34" s="8" t="str">
        <f aca="false">IF(I34&gt;87,"Excellent",IF(I34&lt;70,"Failed",IF(I34&gt;77,"Good","Pass")))</f>
        <v>Good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customFormat="false" ht="15.75" hidden="false" customHeight="true" outlineLevel="0" collapsed="false">
      <c r="A35" s="8" t="str">
        <f aca="false">StudendEnroll!A35</f>
        <v>Evita </v>
      </c>
      <c r="B35" s="8" t="str">
        <f aca="false">StudendEnroll!B35</f>
        <v>Saron</v>
      </c>
      <c r="C35" s="8" t="str">
        <f aca="false">StudendEnroll!C35</f>
        <v>Evita ar@gmail.com</v>
      </c>
      <c r="D35" s="8" t="str">
        <f aca="false">StudendEnroll!D35</f>
        <v>English Language</v>
      </c>
      <c r="E35" s="9" t="n">
        <f aca="false">IF(D35=$N$3,(_xlfn.XLOOKUP(C35,'Physics1.DailyAttendance'!$D$2:$D$14,'Physics1.DailyAttendance'!$R$2:$R$14)),_xlfn.XLOOKUP(C35,'Maths1.DailyAttendance'!$D$2:$D$16,'Maths1.DailyAttendance'!$R$2:$R$16,_xlfn.XLOOKUP(C35,'English Language'!$D$2:$D$16,'English Language'!$R$2:$R$16)))</f>
        <v>1</v>
      </c>
      <c r="F35" s="10" t="n">
        <f aca="false">IF(D35=$N$3,(_xlfn.XLOOKUP(C35,'Physics1.DailyAttendance'!$D$2:$D$16,'Physics1.DailyAttendance'!$S$2:$S$16)),_xlfn.XLOOKUP(C35,'Maths1.DailyAttendance'!$D$2:$D$16,'Maths1.DailyAttendance'!$S$2:$S$16,_xlfn.XLOOKUP(C35,'English Language'!D$2:$D$16,'English Language'!$S$2:$S$16)))</f>
        <v>73</v>
      </c>
      <c r="G35" s="10" t="n">
        <f aca="false">IF(D35=$N$3,(_xlfn.XLOOKUP(C35,'Physics1.DailyAttendance'!$D$2:$D$16,'Physics1.DailyAttendance'!$T$2:$T$16)),_xlfn.XLOOKUP(C35,'Maths1.DailyAttendance'!$D$2:$D$16,'Maths1.DailyAttendance'!$T$2:$T$16,_xlfn.XLOOKUP(C35,'English Language'!$D$2:$D$16,'English Language'!$T$2:$T$16)))</f>
        <v>99</v>
      </c>
      <c r="H35" s="10" t="str">
        <f aca="false">IF(D35=$N$3,(_xlfn.XLOOKUP(C35,'Physics1.DailyAttendance'!$D$2:$D$16,'Physics1.DailyAttendance'!$U$2:$U$16)),_xlfn.XLOOKUP(C35,'Maths1.DailyAttendance'!$D$2:$D$16,'Maths1.DailyAttendance'!$U$2:$U$16,_xlfn.XLOOKUP(C35,'English Language'!$D$2:D$16,'English Language'!$U$2:$U$16)))</f>
        <v>Yes</v>
      </c>
      <c r="I35" s="11" t="n">
        <f aca="false">(E35*40)+F35*0.15+G35*0.2+(IF(H35="Yes",25,0))</f>
        <v>95.75</v>
      </c>
      <c r="J35" s="8" t="str">
        <f aca="false">IF(I35&gt;87,"Excellent",IF(I35&lt;70,"Failed",IF(I35&gt;77,"Good","Pass")))</f>
        <v>Excellent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customFormat="false" ht="15.75" hidden="false" customHeight="true" outlineLevel="0" collapsed="false">
      <c r="A36" s="8" t="str">
        <f aca="false">StudendEnroll!A36</f>
        <v>Muhammed </v>
      </c>
      <c r="B36" s="8" t="str">
        <f aca="false">StudendEnroll!B36</f>
        <v>Hasan</v>
      </c>
      <c r="C36" s="8" t="str">
        <f aca="false">StudendEnroll!C36</f>
        <v>Muhammed as@gmail.com</v>
      </c>
      <c r="D36" s="8" t="str">
        <f aca="false">StudendEnroll!D36</f>
        <v>English Language</v>
      </c>
      <c r="E36" s="9" t="n">
        <f aca="false">IF(D36=$N$3,(_xlfn.XLOOKUP(C36,'Physics1.DailyAttendance'!$D$2:$D$14,'Physics1.DailyAttendance'!$R$2:$R$14)),_xlfn.XLOOKUP(C36,'Maths1.DailyAttendance'!$D$2:$D$16,'Maths1.DailyAttendance'!$R$2:$R$16,_xlfn.XLOOKUP(C36,'English Language'!$D$2:$D$16,'English Language'!$R$2:$R$16)))</f>
        <v>0.8</v>
      </c>
      <c r="F36" s="10" t="n">
        <f aca="false">IF(D36=$N$3,(_xlfn.XLOOKUP(C36,'Physics1.DailyAttendance'!$D$2:$D$16,'Physics1.DailyAttendance'!$S$2:$S$16)),_xlfn.XLOOKUP(C36,'Maths1.DailyAttendance'!$D$2:$D$16,'Maths1.DailyAttendance'!$S$2:$S$16,_xlfn.XLOOKUP(C36,'English Language'!D$2:$D$16,'English Language'!$S$2:$S$16)))</f>
        <v>73</v>
      </c>
      <c r="G36" s="10" t="n">
        <f aca="false">IF(D36=$N$3,(_xlfn.XLOOKUP(C36,'Physics1.DailyAttendance'!$D$2:$D$16,'Physics1.DailyAttendance'!$T$2:$T$16)),_xlfn.XLOOKUP(C36,'Maths1.DailyAttendance'!$D$2:$D$16,'Maths1.DailyAttendance'!$T$2:$T$16,_xlfn.XLOOKUP(C36,'English Language'!$D$2:$D$16,'English Language'!$T$2:$T$16)))</f>
        <v>68</v>
      </c>
      <c r="H36" s="10" t="str">
        <f aca="false">IF(D36=$N$3,(_xlfn.XLOOKUP(C36,'Physics1.DailyAttendance'!$D$2:$D$16,'Physics1.DailyAttendance'!$U$2:$U$16)),_xlfn.XLOOKUP(C36,'Maths1.DailyAttendance'!$D$2:$D$16,'Maths1.DailyAttendance'!$U$2:$U$16,_xlfn.XLOOKUP(C36,'English Language'!$D$2:D$16,'English Language'!$U$2:$U$16)))</f>
        <v>Yes</v>
      </c>
      <c r="I36" s="11" t="n">
        <f aca="false">(E36*40)+F36*0.15+G36*0.2+(IF(H36="Yes",25,0))</f>
        <v>81.55</v>
      </c>
      <c r="J36" s="8" t="str">
        <f aca="false">IF(I36&gt;87,"Excellent",IF(I36&lt;70,"Failed",IF(I36&gt;77,"Good","Pass")))</f>
        <v>Good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customFormat="false" ht="15.75" hidden="false" customHeight="true" outlineLevel="0" collapsed="false">
      <c r="A37" s="8" t="str">
        <f aca="false">StudendEnroll!A37</f>
        <v>Bill</v>
      </c>
      <c r="B37" s="8" t="str">
        <f aca="false">StudendEnroll!B37</f>
        <v>Kill</v>
      </c>
      <c r="C37" s="8" t="str">
        <f aca="false">StudendEnroll!C37</f>
        <v>Billil@gmail.com</v>
      </c>
      <c r="D37" s="8" t="str">
        <f aca="false">StudendEnroll!D37</f>
        <v>English Language</v>
      </c>
      <c r="E37" s="9" t="n">
        <f aca="false">IF(D37=$N$3,(_xlfn.XLOOKUP(C37,'Physics1.DailyAttendance'!$D$2:$D$14,'Physics1.DailyAttendance'!$R$2:$R$14)),_xlfn.XLOOKUP(C37,'Maths1.DailyAttendance'!$D$2:$D$16,'Maths1.DailyAttendance'!$R$2:$R$16,_xlfn.XLOOKUP(C37,'English Language'!$D$2:$D$16,'English Language'!$R$2:$R$16)))</f>
        <v>0.9</v>
      </c>
      <c r="F37" s="10" t="n">
        <f aca="false">IF(D37=$N$3,(_xlfn.XLOOKUP(C37,'Physics1.DailyAttendance'!$D$2:$D$16,'Physics1.DailyAttendance'!$S$2:$S$16)),_xlfn.XLOOKUP(C37,'Maths1.DailyAttendance'!$D$2:$D$16,'Maths1.DailyAttendance'!$S$2:$S$16,_xlfn.XLOOKUP(C37,'English Language'!D$2:$D$16,'English Language'!$S$2:$S$16)))</f>
        <v>88</v>
      </c>
      <c r="G37" s="10" t="n">
        <f aca="false">IF(D37=$N$3,(_xlfn.XLOOKUP(C37,'Physics1.DailyAttendance'!$D$2:$D$16,'Physics1.DailyAttendance'!$T$2:$T$16)),_xlfn.XLOOKUP(C37,'Maths1.DailyAttendance'!$D$2:$D$16,'Maths1.DailyAttendance'!$T$2:$T$16,_xlfn.XLOOKUP(C37,'English Language'!$D$2:$D$16,'English Language'!$T$2:$T$16)))</f>
        <v>80</v>
      </c>
      <c r="H37" s="10" t="str">
        <f aca="false">IF(D37=$N$3,(_xlfn.XLOOKUP(C37,'Physics1.DailyAttendance'!$D$2:$D$16,'Physics1.DailyAttendance'!$U$2:$U$16)),_xlfn.XLOOKUP(C37,'Maths1.DailyAttendance'!$D$2:$D$16,'Maths1.DailyAttendance'!$U$2:$U$16,_xlfn.XLOOKUP(C37,'English Language'!$D$2:D$16,'English Language'!$U$2:$U$16)))</f>
        <v>Yes</v>
      </c>
      <c r="I37" s="11" t="n">
        <f aca="false">(E37*40)+F37*0.15+G37*0.2+(IF(H37="Yes",25,0))</f>
        <v>90.2</v>
      </c>
      <c r="J37" s="8" t="str">
        <f aca="false">IF(I37&gt;87,"Excellent",IF(I37&lt;70,"Failed",IF(I37&gt;77,"Good","Pass")))</f>
        <v>Excellent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customFormat="false" ht="15.75" hidden="false" customHeight="true" outlineLevel="0" collapsed="false">
      <c r="A38" s="8" t="str">
        <f aca="false">StudendEnroll!A38</f>
        <v>Bario</v>
      </c>
      <c r="B38" s="8" t="str">
        <f aca="false">StudendEnroll!B38</f>
        <v>Sarmiento</v>
      </c>
      <c r="C38" s="8" t="str">
        <f aca="false">StudendEnroll!C38</f>
        <v>Barioar@gmail.com</v>
      </c>
      <c r="D38" s="8" t="str">
        <f aca="false">StudendEnroll!D38</f>
        <v>English Language</v>
      </c>
      <c r="E38" s="9" t="n">
        <f aca="false">IF(D38=$N$3,(_xlfn.XLOOKUP(C38,'Physics1.DailyAttendance'!$D$2:$D$14,'Physics1.DailyAttendance'!$R$2:$R$14)),_xlfn.XLOOKUP(C38,'Maths1.DailyAttendance'!$D$2:$D$16,'Maths1.DailyAttendance'!$R$2:$R$16,_xlfn.XLOOKUP(C38,'English Language'!$D$2:$D$16,'English Language'!$R$2:$R$16)))</f>
        <v>0.9</v>
      </c>
      <c r="F38" s="10" t="n">
        <f aca="false">IF(D38=$N$3,(_xlfn.XLOOKUP(C38,'Physics1.DailyAttendance'!$D$2:$D$16,'Physics1.DailyAttendance'!$S$2:$S$16)),_xlfn.XLOOKUP(C38,'Maths1.DailyAttendance'!$D$2:$D$16,'Maths1.DailyAttendance'!$S$2:$S$16,_xlfn.XLOOKUP(C38,'English Language'!D$2:$D$16,'English Language'!$S$2:$S$16)))</f>
        <v>96</v>
      </c>
      <c r="G38" s="10" t="n">
        <f aca="false">IF(D38=$N$3,(_xlfn.XLOOKUP(C38,'Physics1.DailyAttendance'!$D$2:$D$16,'Physics1.DailyAttendance'!$T$2:$T$16)),_xlfn.XLOOKUP(C38,'Maths1.DailyAttendance'!$D$2:$D$16,'Maths1.DailyAttendance'!$T$2:$T$16,_xlfn.XLOOKUP(C38,'English Language'!$D$2:$D$16,'English Language'!$T$2:$T$16)))</f>
        <v>90</v>
      </c>
      <c r="H38" s="10" t="str">
        <f aca="false">IF(D38=$N$3,(_xlfn.XLOOKUP(C38,'Physics1.DailyAttendance'!$D$2:$D$16,'Physics1.DailyAttendance'!$U$2:$U$16)),_xlfn.XLOOKUP(C38,'Maths1.DailyAttendance'!$D$2:$D$16,'Maths1.DailyAttendance'!$U$2:$U$16,_xlfn.XLOOKUP(C38,'English Language'!$D$2:D$16,'English Language'!$U$2:$U$16)))</f>
        <v>Yes</v>
      </c>
      <c r="I38" s="11" t="n">
        <f aca="false">(E38*40)+F38*0.15+G38*0.2+(IF(H38="Yes",25,0))</f>
        <v>93.4</v>
      </c>
      <c r="J38" s="8" t="str">
        <f aca="false">IF(I38&gt;87,"Excellent",IF(I38&lt;70,"Failed",IF(I38&gt;77,"Good","Pass")))</f>
        <v>Excellent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customFormat="false" ht="15.75" hidden="false" customHeight="true" outlineLevel="0" collapsed="false">
      <c r="A39" s="8" t="str">
        <f aca="false">StudendEnroll!A39</f>
        <v>Silvio</v>
      </c>
      <c r="B39" s="8" t="str">
        <f aca="false">StudendEnroll!B39</f>
        <v>Zerosconi</v>
      </c>
      <c r="C39" s="8" t="str">
        <f aca="false">StudendEnroll!C39</f>
        <v>Silvioer@gmail.com</v>
      </c>
      <c r="D39" s="8" t="str">
        <f aca="false">StudendEnroll!D39</f>
        <v>English Language</v>
      </c>
      <c r="E39" s="9" t="n">
        <f aca="false">IF(D39=$N$3,(_xlfn.XLOOKUP(C39,'Physics1.DailyAttendance'!$D$2:$D$14,'Physics1.DailyAttendance'!$R$2:$R$14)),_xlfn.XLOOKUP(C39,'Maths1.DailyAttendance'!$D$2:$D$16,'Maths1.DailyAttendance'!$R$2:$R$16,_xlfn.XLOOKUP(C39,'English Language'!$D$2:$D$16,'English Language'!$R$2:$R$16)))</f>
        <v>0.5</v>
      </c>
      <c r="F39" s="10" t="n">
        <f aca="false">IF(D39=$N$3,(_xlfn.XLOOKUP(C39,'Physics1.DailyAttendance'!$D$2:$D$16,'Physics1.DailyAttendance'!$S$2:$S$16)),_xlfn.XLOOKUP(C39,'Maths1.DailyAttendance'!$D$2:$D$16,'Maths1.DailyAttendance'!$S$2:$S$16,_xlfn.XLOOKUP(C39,'English Language'!D$2:$D$16,'English Language'!$S$2:$S$16)))</f>
        <v>70</v>
      </c>
      <c r="G39" s="10" t="n">
        <f aca="false">IF(D39=$N$3,(_xlfn.XLOOKUP(C39,'Physics1.DailyAttendance'!$D$2:$D$16,'Physics1.DailyAttendance'!$T$2:$T$16)),_xlfn.XLOOKUP(C39,'Maths1.DailyAttendance'!$D$2:$D$16,'Maths1.DailyAttendance'!$T$2:$T$16,_xlfn.XLOOKUP(C39,'English Language'!$D$2:$D$16,'English Language'!$T$2:$T$16)))</f>
        <v>0</v>
      </c>
      <c r="H39" s="10" t="str">
        <f aca="false">IF(D39=$N$3,(_xlfn.XLOOKUP(C39,'Physics1.DailyAttendance'!$D$2:$D$16,'Physics1.DailyAttendance'!$U$2:$U$16)),_xlfn.XLOOKUP(C39,'Maths1.DailyAttendance'!$D$2:$D$16,'Maths1.DailyAttendance'!$U$2:$U$16,_xlfn.XLOOKUP(C39,'English Language'!$D$2:D$16,'English Language'!$U$2:$U$16)))</f>
        <v>No</v>
      </c>
      <c r="I39" s="11" t="n">
        <f aca="false">(E39*40)+F39*0.15+G39*0.2+(IF(H39="Yes",25,0))</f>
        <v>30.5</v>
      </c>
      <c r="J39" s="8" t="str">
        <f aca="false">IF(I39&gt;87,"Excellent",IF(I39&lt;70,"Failed",IF(I39&gt;77,"Good","Pass")))</f>
        <v>Failed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customFormat="false" ht="15.75" hidden="false" customHeight="true" outlineLevel="0" collapsed="false">
      <c r="A40" s="8" t="str">
        <f aca="false">StudendEnroll!A40</f>
        <v>Suzie</v>
      </c>
      <c r="B40" s="8" t="str">
        <f aca="false">StudendEnroll!B40</f>
        <v>Partone</v>
      </c>
      <c r="C40" s="8" t="str">
        <f aca="false">StudendEnroll!C40</f>
        <v>Suziear@gmail.com</v>
      </c>
      <c r="D40" s="8" t="str">
        <f aca="false">StudendEnroll!D40</f>
        <v>English Language</v>
      </c>
      <c r="E40" s="9" t="n">
        <f aca="false">IF(D40=$N$3,(_xlfn.XLOOKUP(C40,'Physics1.DailyAttendance'!$D$2:$D$14,'Physics1.DailyAttendance'!$R$2:$R$14)),_xlfn.XLOOKUP(C40,'Maths1.DailyAttendance'!$D$2:$D$16,'Maths1.DailyAttendance'!$R$2:$R$16,_xlfn.XLOOKUP(C40,'English Language'!$D$2:$D$16,'English Language'!$R$2:$R$16)))</f>
        <v>0.5</v>
      </c>
      <c r="F40" s="10" t="n">
        <f aca="false">IF(D40=$N$3,(_xlfn.XLOOKUP(C40,'Physics1.DailyAttendance'!$D$2:$D$16,'Physics1.DailyAttendance'!$S$2:$S$16)),_xlfn.XLOOKUP(C40,'Maths1.DailyAttendance'!$D$2:$D$16,'Maths1.DailyAttendance'!$S$2:$S$16,_xlfn.XLOOKUP(C40,'English Language'!D$2:$D$16,'English Language'!$S$2:$S$16)))</f>
        <v>0</v>
      </c>
      <c r="G40" s="10" t="n">
        <f aca="false">IF(D40=$N$3,(_xlfn.XLOOKUP(C40,'Physics1.DailyAttendance'!$D$2:$D$16,'Physics1.DailyAttendance'!$T$2:$T$16)),_xlfn.XLOOKUP(C40,'Maths1.DailyAttendance'!$D$2:$D$16,'Maths1.DailyAttendance'!$T$2:$T$16,_xlfn.XLOOKUP(C40,'English Language'!$D$2:$D$16,'English Language'!$T$2:$T$16)))</f>
        <v>37</v>
      </c>
      <c r="H40" s="10" t="str">
        <f aca="false">IF(D40=$N$3,(_xlfn.XLOOKUP(C40,'Physics1.DailyAttendance'!$D$2:$D$16,'Physics1.DailyAttendance'!$U$2:$U$16)),_xlfn.XLOOKUP(C40,'Maths1.DailyAttendance'!$D$2:$D$16,'Maths1.DailyAttendance'!$U$2:$U$16,_xlfn.XLOOKUP(C40,'English Language'!$D$2:D$16,'English Language'!$U$2:$U$16)))</f>
        <v>No</v>
      </c>
      <c r="I40" s="11" t="n">
        <f aca="false">(E40*40)+F40*0.15+G40*0.2+(IF(H40="Yes",25,0))</f>
        <v>27.4</v>
      </c>
      <c r="J40" s="8" t="str">
        <f aca="false">IF(I40&gt;87,"Excellent",IF(I40&lt;70,"Failed",IF(I40&gt;77,"Good","Pass")))</f>
        <v>Failed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customFormat="false" ht="15.75" hidden="false" customHeight="true" outlineLevel="0" collapsed="false">
      <c r="A41" s="8" t="str">
        <f aca="false">StudendEnroll!A41</f>
        <v>Donald</v>
      </c>
      <c r="B41" s="8" t="str">
        <f aca="false">StudendEnroll!B41</f>
        <v>Alberto</v>
      </c>
      <c r="C41" s="8" t="str">
        <f aca="false">StudendEnroll!C41</f>
        <v>Donaldlb@gmail.com</v>
      </c>
      <c r="D41" s="8" t="str">
        <f aca="false">StudendEnroll!D41</f>
        <v>English Language</v>
      </c>
      <c r="E41" s="9" t="n">
        <f aca="false">IF(D41=$N$3,(_xlfn.XLOOKUP(C41,'Physics1.DailyAttendance'!$D$2:$D$14,'Physics1.DailyAttendance'!$R$2:$R$14)),_xlfn.XLOOKUP(C41,'Maths1.DailyAttendance'!$D$2:$D$16,'Maths1.DailyAttendance'!$R$2:$R$16,_xlfn.XLOOKUP(C41,'English Language'!$D$2:$D$16,'English Language'!$R$2:$R$16)))</f>
        <v>0.8</v>
      </c>
      <c r="F41" s="10" t="n">
        <f aca="false">IF(D41=$N$3,(_xlfn.XLOOKUP(C41,'Physics1.DailyAttendance'!$D$2:$D$16,'Physics1.DailyAttendance'!$S$2:$S$16)),_xlfn.XLOOKUP(C41,'Maths1.DailyAttendance'!$D$2:$D$16,'Maths1.DailyAttendance'!$S$2:$S$16,_xlfn.XLOOKUP(C41,'English Language'!D$2:$D$16,'English Language'!$S$2:$S$16)))</f>
        <v>97</v>
      </c>
      <c r="G41" s="10" t="n">
        <f aca="false">IF(D41=$N$3,(_xlfn.XLOOKUP(C41,'Physics1.DailyAttendance'!$D$2:$D$16,'Physics1.DailyAttendance'!$T$2:$T$16)),_xlfn.XLOOKUP(C41,'Maths1.DailyAttendance'!$D$2:$D$16,'Maths1.DailyAttendance'!$T$2:$T$16,_xlfn.XLOOKUP(C41,'English Language'!$D$2:$D$16,'English Language'!$T$2:$T$16)))</f>
        <v>100</v>
      </c>
      <c r="H41" s="10" t="str">
        <f aca="false">IF(D41=$N$3,(_xlfn.XLOOKUP(C41,'Physics1.DailyAttendance'!$D$2:$D$16,'Physics1.DailyAttendance'!$U$2:$U$16)),_xlfn.XLOOKUP(C41,'Maths1.DailyAttendance'!$D$2:$D$16,'Maths1.DailyAttendance'!$U$2:$U$16,_xlfn.XLOOKUP(C41,'English Language'!$D$2:D$16,'English Language'!$U$2:$U$16)))</f>
        <v>Yes</v>
      </c>
      <c r="I41" s="11" t="n">
        <f aca="false">(E41*40)+F41*0.15+G41*0.2+(IF(H41="Yes",25,0))</f>
        <v>91.55</v>
      </c>
      <c r="J41" s="8" t="str">
        <f aca="false">IF(I41&gt;87,"Excellent",IF(I41&lt;70,"Failed",IF(I41&gt;77,"Good","Pass")))</f>
        <v>Excellent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customFormat="false" ht="15.75" hidden="false" customHeight="true" outlineLevel="0" collapsed="false">
      <c r="A42" s="8" t="str">
        <f aca="false">StudendEnroll!A42</f>
        <v>Ina</v>
      </c>
      <c r="B42" s="8" t="str">
        <f aca="false">StudendEnroll!B42</f>
        <v>Christal</v>
      </c>
      <c r="C42" s="8" t="str">
        <f aca="false">StudendEnroll!C42</f>
        <v>Inahr@gmail.com</v>
      </c>
      <c r="D42" s="8" t="str">
        <f aca="false">StudendEnroll!D42</f>
        <v>English Language</v>
      </c>
      <c r="E42" s="9" t="n">
        <f aca="false">IF(D42=$N$3,(_xlfn.XLOOKUP(C42,'Physics1.DailyAttendance'!$D$2:$D$14,'Physics1.DailyAttendance'!$R$2:$R$14)),_xlfn.XLOOKUP(C42,'Maths1.DailyAttendance'!$D$2:$D$16,'Maths1.DailyAttendance'!$R$2:$R$16,_xlfn.XLOOKUP(C42,'English Language'!$D$2:$D$16,'English Language'!$R$2:$R$16)))</f>
        <v>0.7</v>
      </c>
      <c r="F42" s="10" t="n">
        <f aca="false">IF(D42=$N$3,(_xlfn.XLOOKUP(C42,'Physics1.DailyAttendance'!$D$2:$D$16,'Physics1.DailyAttendance'!$S$2:$S$16)),_xlfn.XLOOKUP(C42,'Maths1.DailyAttendance'!$D$2:$D$16,'Maths1.DailyAttendance'!$S$2:$S$16,_xlfn.XLOOKUP(C42,'English Language'!D$2:$D$16,'English Language'!$S$2:$S$16)))</f>
        <v>90</v>
      </c>
      <c r="G42" s="10" t="n">
        <f aca="false">IF(D42=$N$3,(_xlfn.XLOOKUP(C42,'Physics1.DailyAttendance'!$D$2:$D$16,'Physics1.DailyAttendance'!$T$2:$T$16)),_xlfn.XLOOKUP(C42,'Maths1.DailyAttendance'!$D$2:$D$16,'Maths1.DailyAttendance'!$T$2:$T$16,_xlfn.XLOOKUP(C42,'English Language'!$D$2:$D$16,'English Language'!$T$2:$T$16)))</f>
        <v>87</v>
      </c>
      <c r="H42" s="10" t="str">
        <f aca="false">IF(D42=$N$3,(_xlfn.XLOOKUP(C42,'Physics1.DailyAttendance'!$D$2:$D$16,'Physics1.DailyAttendance'!$U$2:$U$16)),_xlfn.XLOOKUP(C42,'Maths1.DailyAttendance'!$D$2:$D$16,'Maths1.DailyAttendance'!$U$2:$U$16,_xlfn.XLOOKUP(C42,'English Language'!$D$2:D$16,'English Language'!$U$2:$U$16)))</f>
        <v>Yes</v>
      </c>
      <c r="I42" s="11" t="n">
        <f aca="false">(E42*40)+F42*0.15+G42*0.2+(IF(H42="Yes",25,0))</f>
        <v>83.9</v>
      </c>
      <c r="J42" s="8" t="str">
        <f aca="false">IF(I42&gt;87,"Excellent",IF(I42&lt;70,"Failed",IF(I42&gt;77,"Good","Pass")))</f>
        <v>Good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customFormat="false" ht="15.75" hidden="false" customHeight="true" outlineLevel="0" collapsed="false">
      <c r="A43" s="8" t="str">
        <f aca="false">StudendEnroll!A43</f>
        <v>Wei</v>
      </c>
      <c r="B43" s="8" t="str">
        <f aca="false">StudendEnroll!B43</f>
        <v>Bao</v>
      </c>
      <c r="C43" s="8" t="str">
        <f aca="false">StudendEnroll!C43</f>
        <v>Weiao@gmail.com</v>
      </c>
      <c r="D43" s="8" t="str">
        <f aca="false">StudendEnroll!D43</f>
        <v>Physics1</v>
      </c>
      <c r="E43" s="9" t="n">
        <f aca="false">IF(D43=$N$3,(_xlfn.XLOOKUP(C43,'Physics1.DailyAttendance'!$D$2:$D$14,'Physics1.DailyAttendance'!$R$2:$R$14)),_xlfn.XLOOKUP(C43,'Maths1.DailyAttendance'!$D$2:$D$16,'Maths1.DailyAttendance'!$R$2:$R$16,_xlfn.XLOOKUP(C43,'English Language'!$D$2:$D$16,'English Language'!$R$2:$R$16)))</f>
        <v>0.7</v>
      </c>
      <c r="F43" s="10" t="n">
        <f aca="false">IF(D43=$N$3,(_xlfn.XLOOKUP(C43,'Physics1.DailyAttendance'!$D$2:$D$16,'Physics1.DailyAttendance'!$S$2:$S$16)),_xlfn.XLOOKUP(C43,'Maths1.DailyAttendance'!$D$2:$D$16,'Maths1.DailyAttendance'!$S$2:$S$16,_xlfn.XLOOKUP(C43,'English Language'!D$2:$D$16,'English Language'!$S$2:$S$16)))</f>
        <v>71</v>
      </c>
      <c r="G43" s="10" t="n">
        <f aca="false">IF(D43=$N$3,(_xlfn.XLOOKUP(C43,'Physics1.DailyAttendance'!$D$2:$D$16,'Physics1.DailyAttendance'!$T$2:$T$16)),_xlfn.XLOOKUP(C43,'Maths1.DailyAttendance'!$D$2:$D$16,'Maths1.DailyAttendance'!$T$2:$T$16,_xlfn.XLOOKUP(C43,'English Language'!$D$2:$D$16,'English Language'!$T$2:$T$16)))</f>
        <v>79</v>
      </c>
      <c r="H43" s="10" t="str">
        <f aca="false">IF(D43=$N$3,(_xlfn.XLOOKUP(C43,'Physics1.DailyAttendance'!$D$2:$D$16,'Physics1.DailyAttendance'!$U$2:$U$16)),_xlfn.XLOOKUP(C43,'Maths1.DailyAttendance'!$D$2:$D$16,'Maths1.DailyAttendance'!$U$2:$U$16,_xlfn.XLOOKUP(C43,'English Language'!$D$2:F$16,'English Language'!$U$2:$U$16)))</f>
        <v>Yes</v>
      </c>
      <c r="I43" s="11" t="n">
        <f aca="false">(E43*40)+F43*0.15+G43*0.2+(IF(H43="Yes",25,0))</f>
        <v>79.45</v>
      </c>
      <c r="J43" s="8" t="str">
        <f aca="false">IF(I43&gt;87,"Excellent",IF(I43&lt;70,"Failed",IF(I43&gt;77,"Good","Pass")))</f>
        <v>Good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customFormat="false" ht="15.75" hidden="false" customHeight="true" outlineLevel="0" collapsed="false">
      <c r="A44" s="8" t="str">
        <f aca="false">StudendEnroll!A44</f>
        <v>Kostas</v>
      </c>
      <c r="B44" s="8" t="str">
        <f aca="false">StudendEnroll!B44</f>
        <v>Loukas</v>
      </c>
      <c r="C44" s="8" t="str">
        <f aca="false">StudendEnroll!C44</f>
        <v>Kostasou@gmail.com</v>
      </c>
      <c r="D44" s="8" t="str">
        <f aca="false">StudendEnroll!D44</f>
        <v>Physics1</v>
      </c>
      <c r="E44" s="9" t="n">
        <f aca="false">IF(D44=$N$3,(_xlfn.XLOOKUP(C44,'Physics1.DailyAttendance'!$D$2:$D$14,'Physics1.DailyAttendance'!$R$2:$R$14)),_xlfn.XLOOKUP(C44,'Maths1.DailyAttendance'!$D$2:$D$16,'Maths1.DailyAttendance'!$R$2:$R$16,_xlfn.XLOOKUP(C44,'English Language'!$D$2:$D$16,'English Language'!$R$2:$R$16)))</f>
        <v>0.9</v>
      </c>
      <c r="F44" s="10" t="n">
        <f aca="false">IF(D44=$N$3,(_xlfn.XLOOKUP(C44,'Physics1.DailyAttendance'!$D$2:$D$16,'Physics1.DailyAttendance'!$S$2:$S$16)),_xlfn.XLOOKUP(C44,'Maths1.DailyAttendance'!$D$2:$D$16,'Maths1.DailyAttendance'!$S$2:$S$16,_xlfn.XLOOKUP(C44,'English Language'!D$2:$D$16,'English Language'!$S$2:$S$16)))</f>
        <v>77</v>
      </c>
      <c r="G44" s="10" t="n">
        <f aca="false">IF(D44=$N$3,(_xlfn.XLOOKUP(C44,'Physics1.DailyAttendance'!$D$2:$D$16,'Physics1.DailyAttendance'!$T$2:$T$16)),_xlfn.XLOOKUP(C44,'Maths1.DailyAttendance'!$D$2:$D$16,'Maths1.DailyAttendance'!$T$2:$T$16,_xlfn.XLOOKUP(C44,'English Language'!$D$2:$E$16,'English Language'!$T$2:$T$16)))</f>
        <v>100</v>
      </c>
      <c r="H44" s="10" t="str">
        <f aca="false">IF(D44=$N$3,(_xlfn.XLOOKUP(C44,'Physics1.DailyAttendance'!$D$2:$D$16,'Physics1.DailyAttendance'!$U$2:$U$16)),_xlfn.XLOOKUP(C44,'Maths1.DailyAttendance'!$D$2:$D$16,'Maths1.DailyAttendance'!$U$2:$U$16,_xlfn.XLOOKUP(C44,'English Language'!$D$2:F$16,'English Language'!$U$2:$U$16)))</f>
        <v>Yes</v>
      </c>
      <c r="I44" s="11" t="n">
        <f aca="false">(E44*40)+F44*0.15+G44*0.2+(IF(H44="Yes",25,0))</f>
        <v>92.55</v>
      </c>
      <c r="J44" s="8" t="str">
        <f aca="false">IF(I44&gt;87,"Excellent",IF(I44&lt;70,"Failed",IF(I44&gt;77,"Good","Pass")))</f>
        <v>Excellent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customFormat="false" ht="15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customFormat="false" ht="15.7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customFormat="false" ht="15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customFormat="false" ht="15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customFormat="false" ht="15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customFormat="false" ht="15.7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customFormat="false" ht="15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customFormat="false" ht="15.7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customFormat="false" ht="15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customFormat="false" ht="15.7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customFormat="false" ht="15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customFormat="false" ht="15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customFormat="false" ht="15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customFormat="false" ht="15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customFormat="false" ht="15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customFormat="false" ht="15.7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customFormat="false" ht="15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customFormat="false" ht="15.7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customFormat="false" ht="15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customFormat="false" ht="15.7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customFormat="false" ht="15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customFormat="false" ht="15.7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customFormat="false" ht="15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customFormat="false" ht="15.7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customFormat="false" ht="15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customFormat="false" ht="15.7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customFormat="false" ht="15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customFormat="false" ht="15.7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customFormat="false" ht="15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customFormat="false" ht="15.7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customFormat="false" ht="15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customFormat="false" ht="15.7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customFormat="false" ht="15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customFormat="false" ht="15.7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customFormat="false" ht="15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customFormat="false" ht="15.7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customFormat="false" ht="15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customFormat="false" ht="15.7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customFormat="false" ht="15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customFormat="false" ht="15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customFormat="false" ht="15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customFormat="false" ht="15.7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customFormat="false" ht="15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customFormat="false" ht="15.7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customFormat="false" ht="15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customFormat="false" ht="15.7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customFormat="false" ht="15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customFormat="false" ht="15.7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customFormat="false" ht="15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customFormat="false" ht="15.7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customFormat="false" ht="15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customFormat="false" ht="15.7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customFormat="false" ht="15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customFormat="false" ht="15.7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customFormat="false" ht="15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customFormat="false" ht="15.7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customFormat="false" ht="15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customFormat="false" ht="15.7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customFormat="false" ht="15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customFormat="false" ht="15.7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customFormat="false" ht="15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customFormat="false" ht="15.7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customFormat="false" ht="15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customFormat="false" ht="15.7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customFormat="false" ht="15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customFormat="false" ht="15.7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customFormat="false" ht="15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customFormat="false" ht="15.7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customFormat="false" ht="15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customFormat="false" ht="15.7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customFormat="false" ht="15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customFormat="false" ht="15.7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customFormat="false" ht="15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customFormat="false" ht="15.7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customFormat="false" ht="15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customFormat="false" ht="15.7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customFormat="false" ht="15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customFormat="false" ht="15.7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customFormat="false" ht="15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customFormat="false" ht="15.7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customFormat="false" ht="15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customFormat="false" ht="15.7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customFormat="false" ht="15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customFormat="false" ht="15.7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customFormat="false" ht="15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customFormat="false" ht="15.7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customFormat="false" ht="15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customFormat="false" ht="15.7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customFormat="false" ht="15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customFormat="false" ht="15.7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customFormat="false" ht="15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customFormat="false" ht="15.7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customFormat="false" ht="15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customFormat="false" ht="15.7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customFormat="false" ht="15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customFormat="false" ht="15.7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customFormat="false" ht="15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customFormat="false" ht="15.7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customFormat="false" ht="15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customFormat="false" ht="15.7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customFormat="false" ht="15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customFormat="false" ht="15.7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customFormat="false" ht="15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customFormat="false" ht="15.7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customFormat="false" ht="15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customFormat="false" ht="15.7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customFormat="false" ht="15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customFormat="false" ht="15.7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customFormat="false" ht="15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customFormat="false" ht="15.7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customFormat="false" ht="15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customFormat="false" ht="15.7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customFormat="false" ht="15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customFormat="false" ht="15.7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customFormat="false" ht="15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customFormat="false" ht="15.7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customFormat="false" ht="15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customFormat="false" ht="15.7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customFormat="false" ht="15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customFormat="false" ht="15.7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customFormat="false" ht="15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customFormat="false" ht="15.7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customFormat="false" ht="15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customFormat="false" ht="15.7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customFormat="false" ht="15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customFormat="false" ht="15.7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customFormat="false" ht="15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customFormat="false" ht="15.7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customFormat="false" ht="15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customFormat="false" ht="15.7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customFormat="false" ht="15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customFormat="false" ht="15.7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customFormat="false" ht="15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customFormat="false" ht="15.7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customFormat="false" ht="15.7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customFormat="false" ht="15.7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customFormat="false" ht="15.7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customFormat="false" ht="15.7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customFormat="false" ht="15.7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customFormat="false" ht="15.7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customFormat="false" ht="15.7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customFormat="false" ht="15.7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customFormat="false" ht="15.7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customFormat="false" ht="15.7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customFormat="false" ht="15.7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customFormat="false" ht="15.7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customFormat="false" ht="15.7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customFormat="false" ht="15.7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customFormat="false" ht="15.7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customFormat="false" ht="15.7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customFormat="false" ht="15.7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customFormat="false" ht="15.7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customFormat="false" ht="15.7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customFormat="false" ht="15.7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customFormat="false" ht="15.7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customFormat="false" ht="15.7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customFormat="false" ht="15.7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customFormat="false" ht="15.7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customFormat="false" ht="15.7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customFormat="false" ht="15.7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customFormat="false" ht="15.7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customFormat="false" ht="15.7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customFormat="false" ht="15.7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customFormat="false" ht="15.7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customFormat="false" ht="15.7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customFormat="false" ht="15.7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customFormat="false" ht="15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customFormat="false" ht="15.7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customFormat="false" ht="15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customFormat="false" ht="15.7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customFormat="false" ht="15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customFormat="false" ht="15.7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customFormat="false" ht="15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customFormat="false" ht="15.7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customFormat="false" ht="15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customFormat="false" ht="15.7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customFormat="false" ht="15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customFormat="false" ht="15.7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customFormat="false" ht="15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customFormat="false" ht="15.7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customFormat="false" ht="15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customFormat="false" ht="15.7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customFormat="false" ht="15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customFormat="false" ht="15.7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customFormat="false" ht="15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customFormat="false" ht="15.7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customFormat="false" ht="15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customFormat="false" ht="15.7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customFormat="false" ht="15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customFormat="false" ht="15.7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customFormat="false" ht="15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customFormat="false" ht="15.7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customFormat="false" ht="15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customFormat="false" ht="15.7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customFormat="false" ht="15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customFormat="false" ht="15.7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customFormat="false" ht="15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customFormat="false" ht="15.7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customFormat="false" ht="15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customFormat="false" ht="15.7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customFormat="false" ht="15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customFormat="false" ht="15.7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customFormat="false" ht="15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customFormat="false" ht="15.7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customFormat="false" ht="15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customFormat="false" ht="15.7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customFormat="false" ht="15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customFormat="false" ht="15.7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customFormat="false" ht="15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customFormat="false" ht="15.7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customFormat="false" ht="15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customFormat="false" ht="15.7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customFormat="false" ht="15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customFormat="false" ht="15.7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customFormat="false" ht="15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customFormat="false" ht="15.7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customFormat="false" ht="15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customFormat="false" ht="15.7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customFormat="false" ht="15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customFormat="false" ht="15.7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customFormat="false" ht="15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customFormat="false" ht="15.7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customFormat="false" ht="15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customFormat="false" ht="15.7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customFormat="false" ht="15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customFormat="false" ht="15.7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customFormat="false" ht="15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customFormat="false" ht="15.7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customFormat="false" ht="15.7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customFormat="false" ht="15.7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customFormat="false" ht="15.7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customFormat="false" ht="15.7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customFormat="false" ht="15.7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customFormat="false" ht="15.7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customFormat="false" ht="15.7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customFormat="false" ht="15.7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customFormat="false" ht="15.7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customFormat="false" ht="15.7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customFormat="false" ht="15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customFormat="false" ht="15.7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customFormat="false" ht="15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customFormat="false" ht="15.7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customFormat="false" ht="15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customFormat="false" ht="15.7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customFormat="false" ht="15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customFormat="false" ht="15.7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customFormat="false" ht="15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customFormat="false" ht="15.7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customFormat="false" ht="15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customFormat="false" ht="15.7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customFormat="false" ht="15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customFormat="false" ht="15.7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customFormat="false" ht="15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customFormat="false" ht="15.7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customFormat="false" ht="15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customFormat="false" ht="15.7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customFormat="false" ht="15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customFormat="false" ht="15.7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customFormat="false" ht="15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customFormat="false" ht="15.7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customFormat="false" ht="15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customFormat="false" ht="15.7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customFormat="false" ht="15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customFormat="false" ht="15.7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customFormat="false" ht="15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customFormat="false" ht="15.7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customFormat="false" ht="15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customFormat="false" ht="15.7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customFormat="false" ht="15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customFormat="false" ht="15.7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customFormat="false" ht="15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customFormat="false" ht="15.7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customFormat="false" ht="15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customFormat="false" ht="15.7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customFormat="false" ht="15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customFormat="false" ht="15.7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customFormat="false" ht="15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customFormat="false" ht="15.7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customFormat="false" ht="15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customFormat="false" ht="15.7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customFormat="false" ht="15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customFormat="false" ht="15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customFormat="false" ht="15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customFormat="false" ht="15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customFormat="false" ht="15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customFormat="false" ht="15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customFormat="false" ht="15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customFormat="false" ht="15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customFormat="false" ht="15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customFormat="false" ht="15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customFormat="false" ht="15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customFormat="false" ht="15.7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customFormat="false" ht="15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customFormat="false" ht="15.7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customFormat="false" ht="15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customFormat="false" ht="15.7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customFormat="false" ht="15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customFormat="false" ht="15.7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customFormat="false" ht="15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customFormat="false" ht="15.7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customFormat="false" ht="15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customFormat="false" ht="15.7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customFormat="false" ht="15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customFormat="false" ht="15.7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customFormat="false" ht="15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customFormat="false" ht="15.7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customFormat="false" ht="15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customFormat="false" ht="15.7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customFormat="false" ht="15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customFormat="false" ht="15.7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customFormat="false" ht="15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customFormat="false" ht="15.7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customFormat="false" ht="15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customFormat="false" ht="15.7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customFormat="false" ht="15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customFormat="false" ht="15.7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customFormat="false" ht="15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customFormat="false" ht="15.7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customFormat="false" ht="15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customFormat="false" ht="15.7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customFormat="false" ht="15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customFormat="false" ht="15.7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customFormat="false" ht="15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customFormat="false" ht="15.7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customFormat="false" ht="15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customFormat="false" ht="15.7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customFormat="false" ht="15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customFormat="false" ht="15.7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customFormat="false" ht="15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customFormat="false" ht="15.7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customFormat="false" ht="15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customFormat="false" ht="15.7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customFormat="false" ht="15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customFormat="false" ht="15.7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customFormat="false" ht="15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customFormat="false" ht="15.7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customFormat="false" ht="15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customFormat="false" ht="15.7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customFormat="false" ht="15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customFormat="false" ht="15.7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customFormat="false" ht="15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customFormat="false" ht="15.7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customFormat="false" ht="15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customFormat="false" ht="15.7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customFormat="false" ht="15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customFormat="false" ht="15.7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customFormat="false" ht="15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customFormat="false" ht="15.7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customFormat="false" ht="15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customFormat="false" ht="15.7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customFormat="false" ht="15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customFormat="false" ht="15.7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customFormat="false" ht="15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customFormat="false" ht="15.7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customFormat="false" ht="15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customFormat="false" ht="15.7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customFormat="false" ht="15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customFormat="false" ht="15.7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customFormat="false" ht="15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customFormat="false" ht="15.7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customFormat="false" ht="15.7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customFormat="false" ht="15.7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customFormat="false" ht="15.7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customFormat="false" ht="15.7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customFormat="false" ht="15.7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customFormat="false" ht="15.7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customFormat="false" ht="15.7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customFormat="false" ht="15.7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customFormat="false" ht="15.7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customFormat="false" ht="15.7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customFormat="false" ht="15.7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customFormat="false" ht="15.7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customFormat="false" ht="15.7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customFormat="false" ht="15.7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customFormat="false" ht="15.7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  <row r="501" customFormat="false" ht="15.7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</row>
    <row r="503" customFormat="false" ht="15.7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</row>
    <row r="505" customFormat="false" ht="15.7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</row>
    <row r="507" customFormat="false" ht="15.7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</row>
    <row r="509" customFormat="false" ht="15.7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</row>
    <row r="511" customFormat="false" ht="15.7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</row>
    <row r="513" customFormat="false" ht="15.7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</row>
    <row r="515" customFormat="false" ht="15.7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</row>
    <row r="517" customFormat="false" ht="15.7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</row>
    <row r="519" customFormat="false" ht="15.7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</row>
    <row r="521" customFormat="false" ht="15.7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</row>
    <row r="523" customFormat="false" ht="15.7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</row>
    <row r="525" customFormat="false" ht="15.7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</row>
    <row r="527" customFormat="false" ht="15.7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</row>
    <row r="529" customFormat="false" ht="15.7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</row>
    <row r="531" customFormat="false" ht="15.7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</row>
    <row r="533" customFormat="false" ht="15.7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</row>
    <row r="535" customFormat="false" ht="15.7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</row>
    <row r="537" customFormat="false" ht="15.7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</row>
    <row r="539" customFormat="false" ht="15.7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</row>
    <row r="541" customFormat="false" ht="15.7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</row>
    <row r="543" customFormat="false" ht="15.7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</row>
    <row r="545" customFormat="false" ht="15.7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</row>
    <row r="547" customFormat="false" ht="15.7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</row>
    <row r="549" customFormat="false" ht="15.7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</row>
    <row r="551" customFormat="false" ht="15.7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</row>
    <row r="553" customFormat="false" ht="15.7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</row>
    <row r="555" customFormat="false" ht="15.7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</row>
    <row r="557" customFormat="false" ht="15.7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</row>
    <row r="559" customFormat="false" ht="15.7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</row>
    <row r="561" customFormat="false" ht="15.7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</row>
    <row r="563" customFormat="false" ht="15.7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</row>
    <row r="565" customFormat="false" ht="15.7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</row>
    <row r="566" customFormat="false" ht="15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</row>
    <row r="567" customFormat="false" ht="15.7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</row>
    <row r="568" customFormat="false" ht="15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</row>
    <row r="569" customFormat="false" ht="15.7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</row>
    <row r="570" customFormat="false" ht="15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</row>
    <row r="571" customFormat="false" ht="15.7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</row>
    <row r="572" customFormat="false" ht="15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</row>
    <row r="573" customFormat="false" ht="15.7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</row>
    <row r="574" customFormat="false" ht="15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</row>
    <row r="575" customFormat="false" ht="15.7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</row>
    <row r="576" customFormat="false" ht="15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</row>
    <row r="577" customFormat="false" ht="15.7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</row>
    <row r="578" customFormat="false" ht="15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</row>
    <row r="579" customFormat="false" ht="15.7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</row>
    <row r="580" customFormat="false" ht="15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</row>
    <row r="581" customFormat="false" ht="15.7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</row>
    <row r="582" customFormat="false" ht="15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</row>
    <row r="583" customFormat="false" ht="15.7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</row>
    <row r="584" customFormat="false" ht="15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</row>
    <row r="585" customFormat="false" ht="15.7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</row>
    <row r="586" customFormat="false" ht="15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</row>
    <row r="587" customFormat="false" ht="15.7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</row>
    <row r="588" customFormat="false" ht="15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</row>
    <row r="589" customFormat="false" ht="15.7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</row>
    <row r="590" customFormat="false" ht="15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</row>
    <row r="591" customFormat="false" ht="15.7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</row>
    <row r="592" customFormat="false" ht="15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</row>
    <row r="593" customFormat="false" ht="15.7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</row>
    <row r="594" customFormat="false" ht="15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</row>
    <row r="595" customFormat="false" ht="15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</row>
    <row r="597" customFormat="false" ht="15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</row>
    <row r="599" customFormat="false" ht="15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</row>
    <row r="601" customFormat="false" ht="15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</row>
    <row r="603" customFormat="false" ht="15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</row>
    <row r="605" customFormat="false" ht="15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</row>
    <row r="607" customFormat="false" ht="15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</row>
    <row r="609" customFormat="false" ht="15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</row>
    <row r="611" customFormat="false" ht="15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</row>
    <row r="613" customFormat="false" ht="15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</row>
    <row r="615" customFormat="false" ht="15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</row>
    <row r="617" customFormat="false" ht="15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</row>
    <row r="619" customFormat="false" ht="15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</row>
    <row r="621" customFormat="false" ht="15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</row>
    <row r="623" customFormat="false" ht="15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</row>
    <row r="625" customFormat="false" ht="15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</row>
    <row r="627" customFormat="false" ht="15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</row>
    <row r="629" customFormat="false" ht="15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</row>
    <row r="631" customFormat="false" ht="15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</row>
    <row r="633" customFormat="false" ht="15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</row>
    <row r="635" customFormat="false" ht="15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</row>
    <row r="637" customFormat="false" ht="15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</row>
    <row r="639" customFormat="false" ht="15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</row>
    <row r="641" customFormat="false" ht="15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</row>
    <row r="643" customFormat="false" ht="15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</row>
    <row r="645" customFormat="false" ht="15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</row>
    <row r="647" customFormat="false" ht="15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</row>
    <row r="649" customFormat="false" ht="15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</row>
    <row r="651" customFormat="false" ht="15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</row>
    <row r="653" customFormat="false" ht="15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</row>
    <row r="655" customFormat="false" ht="15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</row>
    <row r="657" customFormat="false" ht="15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</row>
    <row r="659" customFormat="false" ht="15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</row>
    <row r="661" customFormat="false" ht="15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</row>
    <row r="662" customFormat="false" ht="15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</row>
    <row r="663" customFormat="false" ht="15.7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</row>
    <row r="664" customFormat="false" ht="15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</row>
    <row r="665" customFormat="false" ht="15.7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</row>
    <row r="666" customFormat="false" ht="15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</row>
    <row r="667" customFormat="false" ht="15.7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</row>
    <row r="668" customFormat="false" ht="15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</row>
    <row r="669" customFormat="false" ht="15.7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</row>
    <row r="670" customFormat="false" ht="15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</row>
    <row r="671" customFormat="false" ht="15.7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</row>
    <row r="672" customFormat="false" ht="15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</row>
    <row r="673" customFormat="false" ht="15.7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</row>
    <row r="674" customFormat="false" ht="15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</row>
    <row r="675" customFormat="false" ht="15.7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</row>
    <row r="676" customFormat="false" ht="15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</row>
    <row r="677" customFormat="false" ht="15.7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</row>
    <row r="678" customFormat="false" ht="15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</row>
    <row r="679" customFormat="false" ht="15.7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</row>
    <row r="680" customFormat="false" ht="15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</row>
    <row r="681" customFormat="false" ht="15.7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</row>
    <row r="682" customFormat="false" ht="15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</row>
    <row r="683" customFormat="false" ht="15.7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</row>
    <row r="684" customFormat="false" ht="15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</row>
    <row r="685" customFormat="false" ht="15.7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</row>
    <row r="686" customFormat="false" ht="15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</row>
    <row r="687" customFormat="false" ht="15.7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</row>
    <row r="688" customFormat="false" ht="15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</row>
    <row r="689" customFormat="false" ht="15.7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</row>
    <row r="690" customFormat="false" ht="15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</row>
    <row r="691" customFormat="false" ht="15.7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</row>
    <row r="692" customFormat="false" ht="15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</row>
    <row r="693" customFormat="false" ht="15.7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</row>
    <row r="694" customFormat="false" ht="15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</row>
    <row r="695" customFormat="false" ht="15.7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</row>
    <row r="696" customFormat="false" ht="15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</row>
    <row r="697" customFormat="false" ht="15.7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</row>
    <row r="698" customFormat="false" ht="15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</row>
    <row r="699" customFormat="false" ht="15.7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</row>
    <row r="700" customFormat="false" ht="15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</row>
    <row r="701" customFormat="false" ht="15.7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</row>
    <row r="702" customFormat="false" ht="15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</row>
    <row r="703" customFormat="false" ht="15.7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</row>
    <row r="704" customFormat="false" ht="15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</row>
    <row r="705" customFormat="false" ht="15.7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</row>
    <row r="706" customFormat="false" ht="15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</row>
    <row r="707" customFormat="false" ht="15.7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</row>
    <row r="708" customFormat="false" ht="15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</row>
    <row r="709" customFormat="false" ht="15.7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</row>
    <row r="710" customFormat="false" ht="15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</row>
    <row r="711" customFormat="false" ht="15.7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</row>
    <row r="712" customFormat="false" ht="15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</row>
    <row r="713" customFormat="false" ht="15.7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</row>
    <row r="714" customFormat="false" ht="15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</row>
    <row r="715" customFormat="false" ht="15.7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</row>
    <row r="716" customFormat="false" ht="15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</row>
    <row r="717" customFormat="false" ht="15.7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</row>
    <row r="718" customFormat="false" ht="15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</row>
    <row r="719" customFormat="false" ht="15.7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</row>
    <row r="720" customFormat="false" ht="15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</row>
    <row r="721" customFormat="false" ht="15.7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</row>
    <row r="722" customFormat="false" ht="15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</row>
    <row r="723" customFormat="false" ht="15.7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</row>
    <row r="724" customFormat="false" ht="15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</row>
    <row r="725" customFormat="false" ht="15.7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</row>
    <row r="726" customFormat="false" ht="15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</row>
    <row r="727" customFormat="false" ht="15.7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</row>
    <row r="728" customFormat="false" ht="15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</row>
    <row r="729" customFormat="false" ht="15.7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</row>
    <row r="730" customFormat="false" ht="15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</row>
    <row r="731" customFormat="false" ht="15.7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</row>
    <row r="732" customFormat="false" ht="15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</row>
    <row r="733" customFormat="false" ht="15.7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</row>
    <row r="734" customFormat="false" ht="15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</row>
    <row r="735" customFormat="false" ht="15.7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</row>
    <row r="736" customFormat="false" ht="15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</row>
    <row r="737" customFormat="false" ht="15.7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</row>
    <row r="738" customFormat="false" ht="15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</row>
    <row r="739" customFormat="false" ht="15.7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</row>
    <row r="740" customFormat="false" ht="15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</row>
    <row r="741" customFormat="false" ht="15.7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</row>
    <row r="742" customFormat="false" ht="15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</row>
    <row r="743" customFormat="false" ht="15.7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</row>
    <row r="744" customFormat="false" ht="15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</row>
    <row r="745" customFormat="false" ht="15.7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</row>
    <row r="746" customFormat="false" ht="15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</row>
    <row r="747" customFormat="false" ht="15.7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</row>
    <row r="748" customFormat="false" ht="15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</row>
    <row r="749" customFormat="false" ht="15.7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</row>
    <row r="750" customFormat="false" ht="15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</row>
    <row r="751" customFormat="false" ht="15.7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</row>
    <row r="752" customFormat="false" ht="15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</row>
    <row r="753" customFormat="false" ht="15.7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</row>
    <row r="754" customFormat="false" ht="15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</row>
    <row r="755" customFormat="false" ht="15.7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</row>
    <row r="756" customFormat="false" ht="15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</row>
    <row r="757" customFormat="false" ht="15.7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</row>
    <row r="758" customFormat="false" ht="15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</row>
    <row r="759" customFormat="false" ht="15.7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</row>
    <row r="760" customFormat="false" ht="15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</row>
    <row r="761" customFormat="false" ht="15.7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</row>
    <row r="762" customFormat="false" ht="15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</row>
    <row r="763" customFormat="false" ht="15.7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</row>
    <row r="764" customFormat="false" ht="15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</row>
    <row r="765" customFormat="false" ht="15.7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</row>
    <row r="766" customFormat="false" ht="15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</row>
    <row r="767" customFormat="false" ht="15.7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</row>
    <row r="768" customFormat="false" ht="15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</row>
    <row r="769" customFormat="false" ht="15.7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</row>
    <row r="770" customFormat="false" ht="15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</row>
    <row r="771" customFormat="false" ht="15.7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</row>
    <row r="772" customFormat="false" ht="15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</row>
    <row r="773" customFormat="false" ht="15.7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</row>
    <row r="774" customFormat="false" ht="15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</row>
    <row r="775" customFormat="false" ht="15.7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</row>
    <row r="776" customFormat="false" ht="15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</row>
    <row r="777" customFormat="false" ht="15.7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</row>
    <row r="778" customFormat="false" ht="15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</row>
    <row r="779" customFormat="false" ht="15.7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</row>
    <row r="780" customFormat="false" ht="15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</row>
    <row r="781" customFormat="false" ht="15.7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</row>
    <row r="782" customFormat="false" ht="15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</row>
    <row r="783" customFormat="false" ht="15.7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</row>
    <row r="784" customFormat="false" ht="15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</row>
    <row r="785" customFormat="false" ht="15.7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</row>
    <row r="786" customFormat="false" ht="15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</row>
    <row r="787" customFormat="false" ht="15.7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</row>
    <row r="788" customFormat="false" ht="15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</row>
    <row r="789" customFormat="false" ht="15.7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</row>
    <row r="790" customFormat="false" ht="15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</row>
    <row r="791" customFormat="false" ht="15.7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</row>
    <row r="792" customFormat="false" ht="15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</row>
    <row r="793" customFormat="false" ht="15.7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</row>
    <row r="794" customFormat="false" ht="15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</row>
    <row r="795" customFormat="false" ht="15.7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</row>
    <row r="796" customFormat="false" ht="15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</row>
    <row r="797" customFormat="false" ht="15.7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</row>
    <row r="798" customFormat="false" ht="15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</row>
    <row r="799" customFormat="false" ht="15.7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</row>
    <row r="800" customFormat="false" ht="15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</row>
    <row r="801" customFormat="false" ht="15.7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</row>
    <row r="802" customFormat="false" ht="15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</row>
    <row r="803" customFormat="false" ht="15.7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</row>
    <row r="804" customFormat="false" ht="15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</row>
    <row r="805" customFormat="false" ht="15.7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</row>
    <row r="806" customFormat="false" ht="15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</row>
    <row r="807" customFormat="false" ht="15.7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</row>
    <row r="808" customFormat="false" ht="15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</row>
    <row r="809" customFormat="false" ht="15.7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</row>
    <row r="810" customFormat="false" ht="15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</row>
    <row r="811" customFormat="false" ht="15.7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</row>
    <row r="812" customFormat="false" ht="15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</row>
    <row r="813" customFormat="false" ht="15.7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</row>
    <row r="814" customFormat="false" ht="15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</row>
    <row r="815" customFormat="false" ht="15.7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</row>
    <row r="816" customFormat="false" ht="15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</row>
    <row r="817" customFormat="false" ht="15.7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</row>
    <row r="818" customFormat="false" ht="15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</row>
    <row r="819" customFormat="false" ht="15.7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</row>
    <row r="820" customFormat="false" ht="15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</row>
    <row r="821" customFormat="false" ht="15.7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</row>
    <row r="822" customFormat="false" ht="15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</row>
    <row r="823" customFormat="false" ht="15.7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</row>
    <row r="824" customFormat="false" ht="15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</row>
    <row r="825" customFormat="false" ht="15.7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</row>
    <row r="826" customFormat="false" ht="15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</row>
    <row r="827" customFormat="false" ht="15.7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</row>
    <row r="828" customFormat="false" ht="15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</row>
    <row r="829" customFormat="false" ht="15.7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</row>
    <row r="830" customFormat="false" ht="15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</row>
    <row r="831" customFormat="false" ht="15.7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</row>
    <row r="832" customFormat="false" ht="15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</row>
    <row r="833" customFormat="false" ht="15.7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</row>
    <row r="834" customFormat="false" ht="15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</row>
    <row r="835" customFormat="false" ht="15.7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</row>
    <row r="836" customFormat="false" ht="15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</row>
    <row r="837" customFormat="false" ht="15.7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</row>
    <row r="838" customFormat="false" ht="15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</row>
    <row r="839" customFormat="false" ht="15.7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</row>
    <row r="840" customFormat="false" ht="15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</row>
    <row r="841" customFormat="false" ht="15.7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</row>
    <row r="842" customFormat="false" ht="15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</row>
    <row r="843" customFormat="false" ht="15.7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</row>
    <row r="844" customFormat="false" ht="15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</row>
    <row r="845" customFormat="false" ht="15.7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</row>
    <row r="846" customFormat="false" ht="15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</row>
    <row r="847" customFormat="false" ht="15.7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</row>
    <row r="848" customFormat="false" ht="15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</row>
    <row r="849" customFormat="false" ht="15.7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</row>
    <row r="850" customFormat="false" ht="15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</row>
    <row r="851" customFormat="false" ht="15.7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</row>
    <row r="852" customFormat="false" ht="15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</row>
    <row r="853" customFormat="false" ht="15.7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</row>
    <row r="854" customFormat="false" ht="15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</row>
    <row r="855" customFormat="false" ht="15.7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</row>
    <row r="856" customFormat="false" ht="15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</row>
    <row r="857" customFormat="false" ht="15.7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</row>
    <row r="858" customFormat="false" ht="15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</row>
    <row r="859" customFormat="false" ht="15.7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</row>
    <row r="860" customFormat="false" ht="15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</row>
    <row r="861" customFormat="false" ht="15.7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</row>
    <row r="863" customFormat="false" ht="15.7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</row>
    <row r="864" customFormat="false" ht="15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</row>
    <row r="865" customFormat="false" ht="15.7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</row>
    <row r="866" customFormat="false" ht="15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</row>
    <row r="867" customFormat="false" ht="15.7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</row>
    <row r="868" customFormat="false" ht="15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</row>
    <row r="869" customFormat="false" ht="15.7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</row>
    <row r="870" customFormat="false" ht="15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</row>
    <row r="871" customFormat="false" ht="15.7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</row>
    <row r="872" customFormat="false" ht="15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</row>
    <row r="873" customFormat="false" ht="15.7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</row>
    <row r="874" customFormat="false" ht="15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</row>
    <row r="875" customFormat="false" ht="15.7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</row>
    <row r="876" customFormat="false" ht="15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</row>
    <row r="877" customFormat="false" ht="15.7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</row>
    <row r="878" customFormat="false" ht="15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</row>
    <row r="879" customFormat="false" ht="15.7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</row>
    <row r="880" customFormat="false" ht="15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</row>
    <row r="881" customFormat="false" ht="15.7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</row>
    <row r="882" customFormat="false" ht="15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</row>
    <row r="883" customFormat="false" ht="15.7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</row>
    <row r="884" customFormat="false" ht="15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</row>
    <row r="885" customFormat="false" ht="15.7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</row>
    <row r="886" customFormat="false" ht="15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</row>
    <row r="887" customFormat="false" ht="15.7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</row>
    <row r="888" customFormat="false" ht="15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</row>
    <row r="889" customFormat="false" ht="15.7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</row>
    <row r="890" customFormat="false" ht="15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</row>
    <row r="891" customFormat="false" ht="15.7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</row>
    <row r="892" customFormat="false" ht="15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</row>
    <row r="893" customFormat="false" ht="15.7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</row>
    <row r="894" customFormat="false" ht="15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</row>
    <row r="895" customFormat="false" ht="15.7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</row>
    <row r="896" customFormat="false" ht="15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</row>
    <row r="897" customFormat="false" ht="15.7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</row>
    <row r="898" customFormat="false" ht="15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</row>
    <row r="899" customFormat="false" ht="15.7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</row>
    <row r="900" customFormat="false" ht="15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</row>
    <row r="901" customFormat="false" ht="15.7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</row>
    <row r="902" customFormat="false" ht="15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</row>
    <row r="903" customFormat="false" ht="15.7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</row>
    <row r="904" customFormat="false" ht="15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</row>
    <row r="905" customFormat="false" ht="15.7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</row>
    <row r="906" customFormat="false" ht="15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</row>
    <row r="907" customFormat="false" ht="15.7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</row>
    <row r="908" customFormat="false" ht="15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</row>
    <row r="909" customFormat="false" ht="15.7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</row>
    <row r="910" customFormat="false" ht="15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</row>
    <row r="911" customFormat="false" ht="15.7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</row>
    <row r="912" customFormat="false" ht="15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</row>
    <row r="913" customFormat="false" ht="15.7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</row>
    <row r="914" customFormat="false" ht="15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</row>
    <row r="915" customFormat="false" ht="15.7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</row>
    <row r="916" customFormat="false" ht="15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</row>
    <row r="917" customFormat="false" ht="15.7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</row>
    <row r="918" customFormat="false" ht="15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</row>
    <row r="919" customFormat="false" ht="15.7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</row>
    <row r="920" customFormat="false" ht="15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</row>
    <row r="921" customFormat="false" ht="15.7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</row>
    <row r="922" customFormat="false" ht="15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</row>
    <row r="923" customFormat="false" ht="15.7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</row>
    <row r="924" customFormat="false" ht="15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</row>
    <row r="925" customFormat="false" ht="15.7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</row>
    <row r="926" customFormat="false" ht="15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</row>
    <row r="927" customFormat="false" ht="15.7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</row>
    <row r="928" customFormat="false" ht="15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</row>
    <row r="929" customFormat="false" ht="15.7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</row>
    <row r="930" customFormat="false" ht="15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</row>
    <row r="931" customFormat="false" ht="15.7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</row>
    <row r="932" customFormat="false" ht="15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</row>
    <row r="933" customFormat="false" ht="15.7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</row>
    <row r="934" customFormat="false" ht="15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</row>
    <row r="935" customFormat="false" ht="15.7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</row>
    <row r="936" customFormat="false" ht="15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</row>
    <row r="937" customFormat="false" ht="15.7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</row>
    <row r="938" customFormat="false" ht="15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</row>
    <row r="939" customFormat="false" ht="15.7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</row>
    <row r="940" customFormat="false" ht="15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</row>
    <row r="941" customFormat="false" ht="15.7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</row>
    <row r="942" customFormat="false" ht="15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</row>
    <row r="943" customFormat="false" ht="15.7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</row>
    <row r="944" customFormat="false" ht="15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</row>
    <row r="945" customFormat="false" ht="15.7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</row>
    <row r="946" customFormat="false" ht="15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</row>
    <row r="947" customFormat="false" ht="15.7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</row>
    <row r="948" customFormat="false" ht="15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</row>
    <row r="949" customFormat="false" ht="15.7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</row>
    <row r="950" customFormat="false" ht="15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</row>
    <row r="951" customFormat="false" ht="15.7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</row>
    <row r="952" customFormat="false" ht="15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</row>
    <row r="953" customFormat="false" ht="15.7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</row>
    <row r="954" customFormat="false" ht="15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</row>
    <row r="955" customFormat="false" ht="15.7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</row>
    <row r="956" customFormat="false" ht="15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</row>
    <row r="957" customFormat="false" ht="15.7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</row>
    <row r="958" customFormat="false" ht="15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</row>
    <row r="959" customFormat="false" ht="15.7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</row>
    <row r="960" customFormat="false" ht="15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</row>
    <row r="961" customFormat="false" ht="15.7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</row>
    <row r="962" customFormat="false" ht="15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</row>
    <row r="963" customFormat="false" ht="15.7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</row>
    <row r="964" customFormat="false" ht="15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</row>
    <row r="965" customFormat="false" ht="15.7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</row>
    <row r="966" customFormat="false" ht="15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</row>
    <row r="967" customFormat="false" ht="15.7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</row>
    <row r="968" customFormat="false" ht="15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</row>
    <row r="969" customFormat="false" ht="15.7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</row>
    <row r="970" customFormat="false" ht="15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</row>
    <row r="971" customFormat="false" ht="15.7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</row>
    <row r="972" customFormat="false" ht="15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</row>
    <row r="973" customFormat="false" ht="15.7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</row>
    <row r="974" customFormat="false" ht="15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</row>
    <row r="975" customFormat="false" ht="15.7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</row>
    <row r="976" customFormat="false" ht="15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</row>
    <row r="977" customFormat="false" ht="15.7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</row>
    <row r="978" customFormat="false" ht="15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</row>
    <row r="979" customFormat="false" ht="15.7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</row>
    <row r="980" customFormat="false" ht="15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</row>
    <row r="981" customFormat="false" ht="15.7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</row>
    <row r="982" customFormat="false" ht="15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</row>
    <row r="983" customFormat="false" ht="15.7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</row>
    <row r="984" customFormat="false" ht="15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</row>
    <row r="985" customFormat="false" ht="15.7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</row>
    <row r="986" customFormat="false" ht="15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</row>
    <row r="987" customFormat="false" ht="15.7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</row>
    <row r="988" customFormat="false" ht="15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</row>
    <row r="989" customFormat="false" ht="15.7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</row>
    <row r="990" customFormat="false" ht="15.7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</row>
    <row r="991" customFormat="false" ht="15.7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</row>
    <row r="992" customFormat="false" ht="15.7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</row>
    <row r="993" customFormat="false" ht="15.7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</row>
    <row r="994" customFormat="false" ht="15.7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</row>
    <row r="995" customFormat="false" ht="15.7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</row>
    <row r="996" customFormat="false" ht="15.7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</row>
    <row r="997" customFormat="false" ht="15.7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</row>
    <row r="998" customFormat="false" ht="15.7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</row>
    <row r="999" customFormat="false" ht="15.7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</row>
    <row r="1000" customFormat="false" ht="15.7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</row>
  </sheetData>
  <autoFilter ref="A1:S27"/>
  <mergeCells count="1">
    <mergeCell ref="P2:Y2"/>
  </mergeCells>
  <conditionalFormatting sqref="A2:D44">
    <cfRule type="expression" priority="2" aboveAverage="0" equalAverage="0" bottom="0" percent="0" rank="0" text="" dxfId="12">
      <formula>$I2:$I27="Fail"</formula>
    </cfRule>
    <cfRule type="expression" priority="3" aboveAverage="0" equalAverage="0" bottom="0" percent="0" rank="0" text="" dxfId="13">
      <formula>$I2:$I27="Excellent"</formula>
    </cfRule>
  </conditionalFormatting>
  <conditionalFormatting sqref="A2:D44">
    <cfRule type="expression" priority="4" aboveAverage="0" equalAverage="0" bottom="0" percent="0" rank="0" text="" dxfId="14">
      <formula>$I2:$I27="Good"</formula>
    </cfRule>
  </conditionalFormatting>
  <conditionalFormatting sqref="Y27">
    <cfRule type="expression" priority="5" aboveAverage="0" equalAverage="0" bottom="0" percent="0" rank="0" text="" dxfId="15">
      <formula>LEN(TRIM(Y27))&gt;0</formula>
    </cfRule>
  </conditionalFormatting>
  <conditionalFormatting sqref="I2:I44">
    <cfRule type="expression" priority="6" aboveAverage="0" equalAverage="0" bottom="0" percent="0" rank="0" text="" dxfId="12">
      <formula>$I2:$I27="Fail"</formula>
    </cfRule>
    <cfRule type="expression" priority="7" aboveAverage="0" equalAverage="0" bottom="0" percent="0" rank="0" text="" dxfId="13">
      <formula>$I2:$I27="Excellent"</formula>
    </cfRule>
  </conditionalFormatting>
  <conditionalFormatting sqref="I2:I44">
    <cfRule type="expression" priority="8" aboveAverage="0" equalAverage="0" bottom="0" percent="0" rank="0" text="" dxfId="14">
      <formula>$I2:$I27="Good"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T17" activeCellId="0" sqref="T17"/>
    </sheetView>
  </sheetViews>
  <sheetFormatPr defaultColWidth="12.63671875" defaultRowHeight="15" zeroHeight="false" outlineLevelRow="0" outlineLevelCol="0"/>
  <cols>
    <col collapsed="false" customWidth="true" hidden="false" outlineLevel="0" max="1" min="1" style="42" width="4.25"/>
    <col collapsed="false" customWidth="true" hidden="false" outlineLevel="0" max="2" min="2" style="42" width="7.38"/>
    <col collapsed="false" customWidth="true" hidden="false" outlineLevel="0" max="3" min="3" style="42" width="11"/>
    <col collapsed="false" customWidth="true" hidden="false" outlineLevel="0" max="4" min="4" style="42" width="23.38"/>
    <col collapsed="false" customWidth="true" hidden="false" outlineLevel="0" max="5" min="5" style="42" width="8.38"/>
    <col collapsed="false" customWidth="true" hidden="false" outlineLevel="0" max="15" min="6" style="42" width="14.73"/>
    <col collapsed="false" customWidth="true" hidden="false" outlineLevel="0" max="17" min="16" style="42" width="14"/>
    <col collapsed="false" customWidth="true" hidden="false" outlineLevel="0" max="18" min="18" style="42" width="12.75"/>
    <col collapsed="false" customWidth="true" hidden="false" outlineLevel="0" max="19" min="19" style="42" width="12.38"/>
    <col collapsed="false" customWidth="true" hidden="false" outlineLevel="0" max="20" min="20" style="42" width="11.12"/>
    <col collapsed="false" customWidth="true" hidden="false" outlineLevel="0" max="21" min="21" style="42" width="11.75"/>
    <col collapsed="false" customWidth="true" hidden="false" outlineLevel="0" max="22" min="22" style="0" width="16"/>
    <col collapsed="false" customWidth="true" hidden="false" outlineLevel="0" max="27" min="23" style="0" width="7.63"/>
  </cols>
  <sheetData>
    <row r="1" customFormat="false" ht="46.5" hidden="false" customHeight="true" outlineLevel="0" collapsed="false">
      <c r="A1" s="43" t="s">
        <v>11</v>
      </c>
      <c r="B1" s="44" t="s">
        <v>0</v>
      </c>
      <c r="C1" s="44" t="s">
        <v>1</v>
      </c>
      <c r="D1" s="44" t="s">
        <v>2</v>
      </c>
      <c r="E1" s="44" t="s">
        <v>3</v>
      </c>
      <c r="F1" s="45" t="s">
        <v>111</v>
      </c>
      <c r="G1" s="46" t="s">
        <v>112</v>
      </c>
      <c r="H1" s="46" t="s">
        <v>113</v>
      </c>
      <c r="I1" s="46" t="s">
        <v>114</v>
      </c>
      <c r="J1" s="47" t="s">
        <v>115</v>
      </c>
      <c r="K1" s="45" t="s">
        <v>116</v>
      </c>
      <c r="L1" s="46" t="s">
        <v>117</v>
      </c>
      <c r="M1" s="46" t="s">
        <v>118</v>
      </c>
      <c r="N1" s="46" t="s">
        <v>119</v>
      </c>
      <c r="O1" s="47" t="s">
        <v>120</v>
      </c>
      <c r="P1" s="48" t="s">
        <v>121</v>
      </c>
      <c r="Q1" s="49" t="s">
        <v>122</v>
      </c>
      <c r="R1" s="50" t="s">
        <v>123</v>
      </c>
      <c r="S1" s="51" t="s">
        <v>92</v>
      </c>
      <c r="T1" s="51" t="s">
        <v>93</v>
      </c>
      <c r="U1" s="6" t="s">
        <v>124</v>
      </c>
      <c r="W1" s="1"/>
      <c r="X1" s="1"/>
      <c r="Y1" s="1"/>
      <c r="Z1" s="1"/>
      <c r="AA1" s="1"/>
    </row>
    <row r="2" customFormat="false" ht="26.25" hidden="false" customHeight="true" outlineLevel="0" collapsed="false">
      <c r="A2" s="43"/>
      <c r="B2" s="42" t="str">
        <f aca="false" t="array" ref="B2:E14">_xlfn._xlws.FILTER(StudendEnroll!A2:D44,StudendEnroll!D2:D44=$A$1)</f>
        <v>John</v>
      </c>
      <c r="C2" s="42" t="str">
        <v>Makaron</v>
      </c>
      <c r="D2" s="42" t="str">
        <v>Johnak@gmail.com</v>
      </c>
      <c r="E2" s="42" t="str">
        <v>Physics1</v>
      </c>
      <c r="F2" s="52" t="s">
        <v>125</v>
      </c>
      <c r="G2" s="42" t="s">
        <v>125</v>
      </c>
      <c r="H2" s="42" t="s">
        <v>125</v>
      </c>
      <c r="I2" s="42" t="s">
        <v>126</v>
      </c>
      <c r="J2" s="53" t="s">
        <v>125</v>
      </c>
      <c r="K2" s="52" t="s">
        <v>125</v>
      </c>
      <c r="L2" s="42" t="s">
        <v>125</v>
      </c>
      <c r="M2" s="42" t="s">
        <v>125</v>
      </c>
      <c r="N2" s="42" t="s">
        <v>126</v>
      </c>
      <c r="O2" s="53" t="s">
        <v>125</v>
      </c>
      <c r="P2" s="54" t="n">
        <f aca="false">COUNTIF(F2:J2,"P")/COUNTA(F2:J2)</f>
        <v>0.8</v>
      </c>
      <c r="Q2" s="55" t="n">
        <f aca="false">COUNTIF(K2:O2,"P")/COUNTA(K2:O2)</f>
        <v>0.8</v>
      </c>
      <c r="R2" s="56" t="n">
        <f aca="false">SUM(P2:Q2)/2</f>
        <v>0.8</v>
      </c>
      <c r="S2" s="57" t="n">
        <v>85</v>
      </c>
      <c r="T2" s="57" t="n">
        <v>87</v>
      </c>
      <c r="U2" s="57" t="s">
        <v>127</v>
      </c>
    </row>
    <row r="3" customFormat="false" ht="26.25" hidden="false" customHeight="true" outlineLevel="0" collapsed="false">
      <c r="A3" s="43"/>
      <c r="B3" s="42" t="str">
        <v>Olivia</v>
      </c>
      <c r="C3" s="42" t="str">
        <v>Matt</v>
      </c>
      <c r="D3" s="42" t="str">
        <v>Oliviaat@gmail.com</v>
      </c>
      <c r="E3" s="42" t="str">
        <v>Physics1</v>
      </c>
      <c r="F3" s="52" t="s">
        <v>125</v>
      </c>
      <c r="G3" s="42" t="s">
        <v>125</v>
      </c>
      <c r="H3" s="42" t="s">
        <v>125</v>
      </c>
      <c r="I3" s="42" t="s">
        <v>125</v>
      </c>
      <c r="J3" s="53" t="s">
        <v>126</v>
      </c>
      <c r="K3" s="52" t="s">
        <v>125</v>
      </c>
      <c r="L3" s="42" t="s">
        <v>125</v>
      </c>
      <c r="M3" s="42" t="s">
        <v>125</v>
      </c>
      <c r="N3" s="42" t="s">
        <v>125</v>
      </c>
      <c r="O3" s="53" t="s">
        <v>126</v>
      </c>
      <c r="P3" s="54" t="n">
        <f aca="false">COUNTIF(F3:J3,"P")/COUNTA(F3:J3)</f>
        <v>0.8</v>
      </c>
      <c r="Q3" s="55" t="n">
        <f aca="false">COUNTIF(K3:O3,"P")/COUNTA(K3:O3)</f>
        <v>0.8</v>
      </c>
      <c r="R3" s="56" t="n">
        <f aca="false">SUM(P3:Q3)/2</f>
        <v>0.8</v>
      </c>
      <c r="S3" s="57" t="n">
        <v>88</v>
      </c>
      <c r="T3" s="57" t="n">
        <v>75</v>
      </c>
      <c r="U3" s="57" t="s">
        <v>127</v>
      </c>
    </row>
    <row r="4" customFormat="false" ht="26.25" hidden="false" customHeight="true" outlineLevel="0" collapsed="false">
      <c r="A4" s="43"/>
      <c r="B4" s="42" t="str">
        <v>Diana</v>
      </c>
      <c r="C4" s="42" t="str">
        <v>Pinto</v>
      </c>
      <c r="D4" s="42" t="str">
        <v>Dianain@gmail.com</v>
      </c>
      <c r="E4" s="42" t="str">
        <v>Physics1</v>
      </c>
      <c r="F4" s="52" t="s">
        <v>126</v>
      </c>
      <c r="G4" s="42" t="s">
        <v>126</v>
      </c>
      <c r="H4" s="42" t="s">
        <v>125</v>
      </c>
      <c r="I4" s="42" t="s">
        <v>126</v>
      </c>
      <c r="J4" s="53" t="s">
        <v>125</v>
      </c>
      <c r="K4" s="52" t="s">
        <v>126</v>
      </c>
      <c r="L4" s="42" t="s">
        <v>126</v>
      </c>
      <c r="M4" s="42" t="s">
        <v>125</v>
      </c>
      <c r="N4" s="42" t="s">
        <v>126</v>
      </c>
      <c r="O4" s="53" t="s">
        <v>125</v>
      </c>
      <c r="P4" s="54" t="n">
        <f aca="false">COUNTIF(F4:J4,"P")/COUNTA(F4:J4)</f>
        <v>0.4</v>
      </c>
      <c r="Q4" s="55" t="n">
        <f aca="false">COUNTIF(K4:O4,"P")/COUNTA(K4:O4)</f>
        <v>0.4</v>
      </c>
      <c r="R4" s="56" t="n">
        <f aca="false">SUM(P4:Q4)/2</f>
        <v>0.4</v>
      </c>
      <c r="S4" s="57" t="n">
        <v>69</v>
      </c>
      <c r="T4" s="57" t="n">
        <v>33</v>
      </c>
      <c r="U4" s="57" t="s">
        <v>127</v>
      </c>
    </row>
    <row r="5" customFormat="false" ht="26.25" hidden="false" customHeight="true" outlineLevel="0" collapsed="false">
      <c r="A5" s="43"/>
      <c r="B5" s="42" t="str">
        <v>Kate</v>
      </c>
      <c r="C5" s="42" t="str">
        <v>Potter</v>
      </c>
      <c r="D5" s="42" t="str">
        <v>Kateot@gmail.com</v>
      </c>
      <c r="E5" s="42" t="str">
        <v>Physics1</v>
      </c>
      <c r="F5" s="52" t="s">
        <v>125</v>
      </c>
      <c r="G5" s="42" t="s">
        <v>125</v>
      </c>
      <c r="H5" s="42" t="s">
        <v>125</v>
      </c>
      <c r="I5" s="42" t="s">
        <v>125</v>
      </c>
      <c r="J5" s="53" t="s">
        <v>125</v>
      </c>
      <c r="K5" s="52" t="s">
        <v>125</v>
      </c>
      <c r="L5" s="42" t="s">
        <v>125</v>
      </c>
      <c r="M5" s="42" t="s">
        <v>125</v>
      </c>
      <c r="N5" s="42" t="s">
        <v>125</v>
      </c>
      <c r="O5" s="53" t="s">
        <v>125</v>
      </c>
      <c r="P5" s="54" t="n">
        <f aca="false">COUNTIF(F5:J5,"P")/COUNTA(F5:J5)</f>
        <v>1</v>
      </c>
      <c r="Q5" s="55" t="n">
        <f aca="false">COUNTIF(K5:O5,"P")/COUNTA(K5:O5)</f>
        <v>1</v>
      </c>
      <c r="R5" s="56" t="n">
        <f aca="false">SUM(P5:Q5)/2</f>
        <v>1</v>
      </c>
      <c r="S5" s="57" t="n">
        <v>100</v>
      </c>
      <c r="T5" s="57" t="n">
        <v>84</v>
      </c>
      <c r="U5" s="57" t="s">
        <v>127</v>
      </c>
    </row>
    <row r="6" customFormat="false" ht="26.25" hidden="false" customHeight="true" outlineLevel="0" collapsed="false">
      <c r="A6" s="43"/>
      <c r="B6" s="42" t="str">
        <v>Manny</v>
      </c>
      <c r="C6" s="42" t="str">
        <v>Pac</v>
      </c>
      <c r="D6" s="42" t="str">
        <v>Mannyac@gmail.com</v>
      </c>
      <c r="E6" s="42" t="str">
        <v>Physics1</v>
      </c>
      <c r="F6" s="52" t="s">
        <v>126</v>
      </c>
      <c r="G6" s="42" t="s">
        <v>125</v>
      </c>
      <c r="H6" s="42" t="s">
        <v>125</v>
      </c>
      <c r="I6" s="42" t="s">
        <v>125</v>
      </c>
      <c r="J6" s="53" t="s">
        <v>126</v>
      </c>
      <c r="K6" s="52" t="s">
        <v>126</v>
      </c>
      <c r="L6" s="42" t="s">
        <v>125</v>
      </c>
      <c r="M6" s="42" t="s">
        <v>125</v>
      </c>
      <c r="N6" s="42" t="s">
        <v>125</v>
      </c>
      <c r="O6" s="53" t="s">
        <v>126</v>
      </c>
      <c r="P6" s="54" t="n">
        <f aca="false">COUNTIF(F6:J6,"P")/COUNTA(F6:J6)</f>
        <v>0.6</v>
      </c>
      <c r="Q6" s="55" t="n">
        <f aca="false">COUNTIF(K6:O6,"P")/COUNTA(K6:O6)</f>
        <v>0.6</v>
      </c>
      <c r="R6" s="56" t="n">
        <f aca="false">SUM(P6:Q6)/2</f>
        <v>0.6</v>
      </c>
      <c r="S6" s="57" t="n">
        <v>70</v>
      </c>
      <c r="T6" s="57" t="n">
        <v>79</v>
      </c>
      <c r="U6" s="57" t="s">
        <v>127</v>
      </c>
    </row>
    <row r="7" customFormat="false" ht="26.25" hidden="false" customHeight="true" outlineLevel="0" collapsed="false">
      <c r="A7" s="43"/>
      <c r="B7" s="42" t="str">
        <v>Katy</v>
      </c>
      <c r="C7" s="42" t="str">
        <v>Perri</v>
      </c>
      <c r="D7" s="42" t="str">
        <v>Katyer@gmail.com</v>
      </c>
      <c r="E7" s="42" t="str">
        <v>Physics1</v>
      </c>
      <c r="F7" s="52" t="s">
        <v>125</v>
      </c>
      <c r="G7" s="42" t="s">
        <v>125</v>
      </c>
      <c r="H7" s="42" t="s">
        <v>125</v>
      </c>
      <c r="I7" s="42" t="s">
        <v>125</v>
      </c>
      <c r="J7" s="53" t="s">
        <v>125</v>
      </c>
      <c r="K7" s="52" t="s">
        <v>125</v>
      </c>
      <c r="L7" s="42" t="s">
        <v>125</v>
      </c>
      <c r="M7" s="42" t="s">
        <v>125</v>
      </c>
      <c r="N7" s="42" t="s">
        <v>125</v>
      </c>
      <c r="O7" s="53" t="s">
        <v>125</v>
      </c>
      <c r="P7" s="54" t="n">
        <f aca="false">COUNTIF(F7:J7,"P")/COUNTA(F7:J7)</f>
        <v>1</v>
      </c>
      <c r="Q7" s="55" t="n">
        <f aca="false">COUNTIF(K7:O7,"P")/COUNTA(K7:O7)</f>
        <v>1</v>
      </c>
      <c r="R7" s="56" t="n">
        <f aca="false">SUM(P7:Q7)/2</f>
        <v>1</v>
      </c>
      <c r="S7" s="57" t="n">
        <v>43</v>
      </c>
      <c r="T7" s="57" t="n">
        <v>100</v>
      </c>
      <c r="U7" s="57" t="s">
        <v>127</v>
      </c>
    </row>
    <row r="8" customFormat="false" ht="26.25" hidden="false" customHeight="true" outlineLevel="0" collapsed="false">
      <c r="A8" s="43"/>
      <c r="B8" s="42" t="str">
        <v>Antony</v>
      </c>
      <c r="C8" s="42" t="str">
        <v>Ward</v>
      </c>
      <c r="D8" s="42" t="str">
        <v>Antonyar@gmail.com</v>
      </c>
      <c r="E8" s="42" t="str">
        <v>Physics1</v>
      </c>
      <c r="F8" s="52" t="s">
        <v>125</v>
      </c>
      <c r="G8" s="42" t="s">
        <v>125</v>
      </c>
      <c r="H8" s="42" t="s">
        <v>125</v>
      </c>
      <c r="I8" s="42" t="s">
        <v>125</v>
      </c>
      <c r="J8" s="53" t="s">
        <v>126</v>
      </c>
      <c r="K8" s="52" t="s">
        <v>125</v>
      </c>
      <c r="L8" s="42" t="s">
        <v>125</v>
      </c>
      <c r="M8" s="42" t="s">
        <v>125</v>
      </c>
      <c r="N8" s="42" t="s">
        <v>125</v>
      </c>
      <c r="O8" s="53" t="s">
        <v>126</v>
      </c>
      <c r="P8" s="54" t="n">
        <f aca="false">COUNTIF(F8:J8,"P")/COUNTA(F8:J8)</f>
        <v>0.8</v>
      </c>
      <c r="Q8" s="55" t="n">
        <f aca="false">COUNTIF(K8:O8,"P")/COUNTA(K8:O8)</f>
        <v>0.8</v>
      </c>
      <c r="R8" s="56" t="n">
        <f aca="false">SUM(P8:Q8)/2</f>
        <v>0.8</v>
      </c>
      <c r="S8" s="57" t="n">
        <v>82</v>
      </c>
      <c r="T8" s="57" t="n">
        <v>88</v>
      </c>
      <c r="U8" s="57" t="s">
        <v>127</v>
      </c>
    </row>
    <row r="9" customFormat="false" ht="26.25" hidden="false" customHeight="true" outlineLevel="0" collapsed="false">
      <c r="A9" s="43"/>
      <c r="B9" s="42" t="str">
        <v>Billy</v>
      </c>
      <c r="C9" s="42" t="str">
        <v>Sane</v>
      </c>
      <c r="D9" s="42" t="str">
        <v>Billyan@gmail.com</v>
      </c>
      <c r="E9" s="42" t="str">
        <v>Physics1</v>
      </c>
      <c r="F9" s="52" t="s">
        <v>125</v>
      </c>
      <c r="G9" s="42" t="s">
        <v>126</v>
      </c>
      <c r="H9" s="42" t="s">
        <v>125</v>
      </c>
      <c r="I9" s="42" t="s">
        <v>126</v>
      </c>
      <c r="J9" s="53" t="s">
        <v>125</v>
      </c>
      <c r="K9" s="52" t="s">
        <v>125</v>
      </c>
      <c r="L9" s="42" t="s">
        <v>126</v>
      </c>
      <c r="M9" s="42" t="s">
        <v>125</v>
      </c>
      <c r="N9" s="42" t="s">
        <v>126</v>
      </c>
      <c r="O9" s="53" t="s">
        <v>125</v>
      </c>
      <c r="P9" s="54" t="n">
        <f aca="false">COUNTIF(F9:J9,"P")/COUNTA(F9:J9)</f>
        <v>0.6</v>
      </c>
      <c r="Q9" s="55" t="n">
        <f aca="false">COUNTIF(K9:O9,"P")/COUNTA(K9:O9)</f>
        <v>0.6</v>
      </c>
      <c r="R9" s="56" t="n">
        <f aca="false">SUM(P9:Q9)/2</f>
        <v>0.6</v>
      </c>
      <c r="S9" s="57" t="n">
        <v>75</v>
      </c>
      <c r="T9" s="57" t="n">
        <v>81</v>
      </c>
      <c r="U9" s="57" t="s">
        <v>127</v>
      </c>
    </row>
    <row r="10" customFormat="false" ht="26.25" hidden="false" customHeight="true" outlineLevel="0" collapsed="false">
      <c r="A10" s="43"/>
      <c r="B10" s="42" t="str">
        <v>Ronald</v>
      </c>
      <c r="C10" s="42" t="str">
        <v>Connan</v>
      </c>
      <c r="D10" s="42" t="str">
        <v>Ronaldon@gmail.com</v>
      </c>
      <c r="E10" s="42" t="str">
        <v>Physics1</v>
      </c>
      <c r="F10" s="52" t="s">
        <v>126</v>
      </c>
      <c r="G10" s="42" t="s">
        <v>126</v>
      </c>
      <c r="H10" s="42" t="s">
        <v>126</v>
      </c>
      <c r="I10" s="42" t="s">
        <v>125</v>
      </c>
      <c r="J10" s="58" t="s">
        <v>125</v>
      </c>
      <c r="K10" s="59" t="s">
        <v>125</v>
      </c>
      <c r="L10" s="60" t="s">
        <v>125</v>
      </c>
      <c r="M10" s="60" t="s">
        <v>125</v>
      </c>
      <c r="N10" s="60" t="s">
        <v>125</v>
      </c>
      <c r="O10" s="58" t="s">
        <v>125</v>
      </c>
      <c r="P10" s="54" t="n">
        <f aca="false">COUNTIF(F10:J10,"P")/COUNTA(F10:J10)</f>
        <v>0.4</v>
      </c>
      <c r="Q10" s="55" t="n">
        <f aca="false">COUNTIF(K10:O10,"P")/COUNTA(K10:O10)</f>
        <v>1</v>
      </c>
      <c r="R10" s="56" t="n">
        <f aca="false">SUM(P10:Q10)/2</f>
        <v>0.7</v>
      </c>
      <c r="S10" s="57" t="n">
        <v>92</v>
      </c>
      <c r="T10" s="57" t="n">
        <v>79</v>
      </c>
      <c r="U10" s="57" t="s">
        <v>127</v>
      </c>
    </row>
    <row r="11" customFormat="false" ht="26.25" hidden="false" customHeight="true" outlineLevel="0" collapsed="false">
      <c r="A11" s="43"/>
      <c r="B11" s="42" t="str">
        <v>Anna</v>
      </c>
      <c r="C11" s="42" t="str">
        <v>Tsakiris</v>
      </c>
      <c r="D11" s="42" t="str">
        <v>Annasa@gmail.com</v>
      </c>
      <c r="E11" s="42" t="str">
        <v>Physics1</v>
      </c>
      <c r="F11" s="52" t="s">
        <v>125</v>
      </c>
      <c r="G11" s="42" t="s">
        <v>125</v>
      </c>
      <c r="H11" s="42" t="s">
        <v>126</v>
      </c>
      <c r="I11" s="42" t="s">
        <v>125</v>
      </c>
      <c r="J11" s="53" t="s">
        <v>125</v>
      </c>
      <c r="K11" s="52" t="s">
        <v>125</v>
      </c>
      <c r="L11" s="42" t="s">
        <v>125</v>
      </c>
      <c r="M11" s="42" t="s">
        <v>126</v>
      </c>
      <c r="N11" s="42" t="s">
        <v>125</v>
      </c>
      <c r="O11" s="53" t="s">
        <v>125</v>
      </c>
      <c r="P11" s="54" t="n">
        <f aca="false">COUNTIF(F11:J11,"P")/COUNTA(F11:J11)</f>
        <v>0.8</v>
      </c>
      <c r="Q11" s="55" t="n">
        <f aca="false">COUNTIF(K11:O11,"P")/COUNTA(K11:O11)</f>
        <v>0.8</v>
      </c>
      <c r="R11" s="56" t="n">
        <f aca="false">SUM(P11:Q11)/2</f>
        <v>0.8</v>
      </c>
      <c r="S11" s="57" t="n">
        <v>71</v>
      </c>
      <c r="T11" s="57" t="n">
        <v>79</v>
      </c>
      <c r="U11" s="57" t="s">
        <v>127</v>
      </c>
    </row>
    <row r="12" customFormat="false" ht="26.25" hidden="false" customHeight="true" outlineLevel="0" collapsed="false">
      <c r="A12" s="43"/>
      <c r="B12" s="42" t="str">
        <v>Neto</v>
      </c>
      <c r="C12" s="42" t="str">
        <v>Juninhio</v>
      </c>
      <c r="D12" s="42" t="str">
        <v>Netoun@gmail.com</v>
      </c>
      <c r="E12" s="42" t="str">
        <v>Physics1</v>
      </c>
      <c r="F12" s="61" t="s">
        <v>125</v>
      </c>
      <c r="G12" s="62" t="s">
        <v>126</v>
      </c>
      <c r="H12" s="62" t="s">
        <v>126</v>
      </c>
      <c r="I12" s="62" t="s">
        <v>125</v>
      </c>
      <c r="J12" s="63" t="s">
        <v>125</v>
      </c>
      <c r="K12" s="61" t="s">
        <v>125</v>
      </c>
      <c r="L12" s="62" t="s">
        <v>126</v>
      </c>
      <c r="M12" s="62" t="s">
        <v>126</v>
      </c>
      <c r="N12" s="62" t="s">
        <v>125</v>
      </c>
      <c r="O12" s="63" t="s">
        <v>125</v>
      </c>
      <c r="P12" s="54" t="n">
        <f aca="false">COUNTIF(F12:J12,"P")/COUNTA(F12:J12)</f>
        <v>0.6</v>
      </c>
      <c r="Q12" s="55" t="n">
        <f aca="false">COUNTIF(K12:O12,"P")/COUNTA(K12:O12)</f>
        <v>0.6</v>
      </c>
      <c r="R12" s="56" t="n">
        <f aca="false">SUM(P12:Q12)/2</f>
        <v>0.6</v>
      </c>
      <c r="S12" s="57" t="n">
        <v>40</v>
      </c>
      <c r="T12" s="57" t="n">
        <v>66</v>
      </c>
      <c r="U12" s="57" t="s">
        <v>128</v>
      </c>
    </row>
    <row r="13" customFormat="false" ht="26.25" hidden="false" customHeight="true" outlineLevel="0" collapsed="false">
      <c r="A13" s="43"/>
      <c r="B13" s="42" t="str">
        <v>Wei</v>
      </c>
      <c r="C13" s="42" t="str">
        <v>Bao</v>
      </c>
      <c r="D13" s="42" t="str">
        <v>Weiao@gmail.com</v>
      </c>
      <c r="E13" s="42" t="str">
        <v>Physics1</v>
      </c>
      <c r="F13" s="52" t="s">
        <v>126</v>
      </c>
      <c r="G13" s="42" t="s">
        <v>126</v>
      </c>
      <c r="H13" s="53" t="s">
        <v>125</v>
      </c>
      <c r="I13" s="62" t="s">
        <v>125</v>
      </c>
      <c r="J13" s="63" t="s">
        <v>125</v>
      </c>
      <c r="K13" s="61" t="s">
        <v>125</v>
      </c>
      <c r="L13" s="42" t="s">
        <v>125</v>
      </c>
      <c r="M13" s="53" t="s">
        <v>125</v>
      </c>
      <c r="N13" s="52" t="s">
        <v>125</v>
      </c>
      <c r="O13" s="53" t="s">
        <v>126</v>
      </c>
      <c r="P13" s="54" t="n">
        <f aca="false">COUNTIF(F13:J13,"P")/COUNTA(F13:J13)</f>
        <v>0.6</v>
      </c>
      <c r="Q13" s="55" t="n">
        <f aca="false">COUNTIF(K13:O13,"P")/COUNTA(K13:O13)</f>
        <v>0.8</v>
      </c>
      <c r="R13" s="56" t="n">
        <f aca="false">SUM(P13:Q13)/2</f>
        <v>0.7</v>
      </c>
      <c r="S13" s="57" t="n">
        <v>71</v>
      </c>
      <c r="T13" s="57" t="n">
        <v>79</v>
      </c>
      <c r="U13" s="57" t="s">
        <v>127</v>
      </c>
    </row>
    <row r="14" customFormat="false" ht="26.25" hidden="false" customHeight="true" outlineLevel="0" collapsed="false">
      <c r="A14" s="43"/>
      <c r="B14" s="42" t="str">
        <v>Kostas</v>
      </c>
      <c r="C14" s="42" t="str">
        <v>Loukas</v>
      </c>
      <c r="D14" s="42" t="str">
        <v>Kostasou@gmail.com</v>
      </c>
      <c r="E14" s="42" t="str">
        <v>Physics1</v>
      </c>
      <c r="F14" s="52" t="s">
        <v>125</v>
      </c>
      <c r="G14" s="42" t="s">
        <v>125</v>
      </c>
      <c r="H14" s="53" t="s">
        <v>125</v>
      </c>
      <c r="I14" s="62" t="s">
        <v>125</v>
      </c>
      <c r="J14" s="63" t="s">
        <v>125</v>
      </c>
      <c r="K14" s="61" t="s">
        <v>125</v>
      </c>
      <c r="L14" s="42" t="s">
        <v>125</v>
      </c>
      <c r="M14" s="53" t="s">
        <v>126</v>
      </c>
      <c r="N14" s="52" t="s">
        <v>125</v>
      </c>
      <c r="O14" s="53" t="s">
        <v>125</v>
      </c>
      <c r="P14" s="54" t="n">
        <f aca="false">COUNTIF(F14:J14,"P")/COUNTA(F14:J14)</f>
        <v>1</v>
      </c>
      <c r="Q14" s="55" t="n">
        <f aca="false">COUNTIF(K14:O14,"P")/COUNTA(K14:O14)</f>
        <v>0.8</v>
      </c>
      <c r="R14" s="56" t="n">
        <f aca="false">SUM(P14:Q14)/2</f>
        <v>0.9</v>
      </c>
      <c r="S14" s="57" t="n">
        <v>77</v>
      </c>
      <c r="T14" s="57" t="n">
        <v>100</v>
      </c>
      <c r="U14" s="57" t="s">
        <v>127</v>
      </c>
    </row>
    <row r="15" customFormat="false" ht="26.25" hidden="false" customHeight="true" outlineLevel="0" collapsed="false">
      <c r="A15" s="43"/>
      <c r="M15" s="53"/>
      <c r="N15" s="52"/>
      <c r="V15" s="64"/>
    </row>
    <row r="16" customFormat="false" ht="26.25" hidden="false" customHeight="true" outlineLevel="0" collapsed="false">
      <c r="A16" s="43"/>
      <c r="V16" s="64"/>
    </row>
    <row r="17" customFormat="false" ht="26.25" hidden="false" customHeight="true" outlineLevel="0" collapsed="false">
      <c r="A17" s="43"/>
      <c r="V17" s="64"/>
    </row>
    <row r="18" customFormat="false" ht="26.25" hidden="false" customHeight="true" outlineLevel="0" collapsed="false">
      <c r="A18" s="43"/>
      <c r="V18" s="64"/>
    </row>
    <row r="19" customFormat="false" ht="26.25" hidden="false" customHeight="true" outlineLevel="0" collapsed="false">
      <c r="A19" s="43"/>
      <c r="V19" s="64"/>
    </row>
    <row r="20" customFormat="false" ht="26.25" hidden="false" customHeight="true" outlineLevel="0" collapsed="false">
      <c r="A20" s="43"/>
      <c r="V20" s="64"/>
    </row>
    <row r="21" customFormat="false" ht="26.25" hidden="false" customHeight="true" outlineLevel="0" collapsed="false">
      <c r="A21" s="43"/>
      <c r="V21" s="64"/>
    </row>
    <row r="22" customFormat="false" ht="26.25" hidden="false" customHeight="true" outlineLevel="0" collapsed="false">
      <c r="A22" s="43"/>
      <c r="V22" s="64"/>
    </row>
    <row r="23" customFormat="false" ht="26.25" hidden="false" customHeight="true" outlineLevel="0" collapsed="false">
      <c r="A23" s="43"/>
      <c r="V23" s="64"/>
    </row>
    <row r="24" customFormat="false" ht="26.25" hidden="false" customHeight="true" outlineLevel="0" collapsed="false">
      <c r="A24" s="43"/>
      <c r="V24" s="64"/>
    </row>
    <row r="25" customFormat="false" ht="26.25" hidden="false" customHeight="true" outlineLevel="0" collapsed="false">
      <c r="A25" s="43"/>
      <c r="V25" s="64"/>
    </row>
    <row r="26" customFormat="false" ht="26.25" hidden="false" customHeight="true" outlineLevel="0" collapsed="false">
      <c r="A26" s="43"/>
      <c r="V26" s="64"/>
    </row>
    <row r="27" customFormat="false" ht="26.25" hidden="false" customHeight="true" outlineLevel="0" collapsed="false">
      <c r="A27" s="43"/>
      <c r="V27" s="64"/>
    </row>
    <row r="28" customFormat="false" ht="26.25" hidden="false" customHeight="true" outlineLevel="0" collapsed="false">
      <c r="A28" s="43"/>
      <c r="V28" s="64"/>
    </row>
    <row r="29" customFormat="false" ht="26.25" hidden="false" customHeight="true" outlineLevel="0" collapsed="false">
      <c r="A29" s="43"/>
      <c r="V29" s="64"/>
    </row>
    <row r="30" customFormat="false" ht="26.25" hidden="false" customHeight="true" outlineLevel="0" collapsed="false">
      <c r="A30" s="65"/>
      <c r="V30" s="64"/>
    </row>
    <row r="31" customFormat="false" ht="26.25" hidden="false" customHeight="true" outlineLevel="0" collapsed="false">
      <c r="A31" s="65"/>
      <c r="V31" s="64"/>
    </row>
    <row r="32" customFormat="false" ht="26.25" hidden="false" customHeight="true" outlineLevel="0" collapsed="false">
      <c r="A32" s="65"/>
      <c r="V32" s="64"/>
    </row>
    <row r="33" customFormat="false" ht="26.25" hidden="false" customHeight="true" outlineLevel="0" collapsed="false">
      <c r="A33" s="65"/>
      <c r="V33" s="64"/>
    </row>
    <row r="34" customFormat="false" ht="26.25" hidden="false" customHeight="true" outlineLevel="0" collapsed="false">
      <c r="A34" s="65"/>
      <c r="V34" s="64"/>
    </row>
    <row r="35" customFormat="false" ht="26.25" hidden="false" customHeight="true" outlineLevel="0" collapsed="false">
      <c r="A35" s="65"/>
      <c r="V35" s="64"/>
    </row>
    <row r="36" customFormat="false" ht="26.25" hidden="false" customHeight="true" outlineLevel="0" collapsed="false">
      <c r="A36" s="65"/>
      <c r="V36" s="64"/>
    </row>
    <row r="37" customFormat="false" ht="26.25" hidden="false" customHeight="true" outlineLevel="0" collapsed="false">
      <c r="A37" s="65"/>
      <c r="V37" s="64"/>
    </row>
    <row r="38" customFormat="false" ht="26.25" hidden="false" customHeight="true" outlineLevel="0" collapsed="false">
      <c r="A38" s="65"/>
      <c r="V38" s="64"/>
    </row>
    <row r="39" customFormat="false" ht="26.25" hidden="false" customHeight="true" outlineLevel="0" collapsed="false">
      <c r="A39" s="65"/>
      <c r="V39" s="64"/>
    </row>
    <row r="40" customFormat="false" ht="26.25" hidden="false" customHeight="true" outlineLevel="0" collapsed="false">
      <c r="A40" s="65"/>
      <c r="V40" s="64"/>
    </row>
    <row r="41" customFormat="false" ht="26.25" hidden="false" customHeight="true" outlineLevel="0" collapsed="false">
      <c r="A41" s="65"/>
      <c r="V41" s="64"/>
    </row>
    <row r="42" customFormat="false" ht="26.25" hidden="false" customHeight="true" outlineLevel="0" collapsed="false">
      <c r="A42" s="65"/>
      <c r="V42" s="64"/>
    </row>
    <row r="43" customFormat="false" ht="26.25" hidden="false" customHeight="true" outlineLevel="0" collapsed="false">
      <c r="A43" s="65"/>
      <c r="V43" s="64"/>
    </row>
    <row r="44" customFormat="false" ht="26.25" hidden="false" customHeight="true" outlineLevel="0" collapsed="false">
      <c r="A44" s="65"/>
      <c r="V44" s="64"/>
    </row>
    <row r="45" customFormat="false" ht="26.25" hidden="false" customHeight="true" outlineLevel="0" collapsed="false">
      <c r="A45" s="65"/>
      <c r="V45" s="64"/>
    </row>
    <row r="46" customFormat="false" ht="26.25" hidden="false" customHeight="true" outlineLevel="0" collapsed="false">
      <c r="A46" s="65"/>
      <c r="V46" s="64"/>
    </row>
    <row r="47" customFormat="false" ht="26.25" hidden="false" customHeight="true" outlineLevel="0" collapsed="false">
      <c r="A47" s="65"/>
      <c r="V47" s="64"/>
    </row>
    <row r="48" customFormat="false" ht="26.25" hidden="false" customHeight="true" outlineLevel="0" collapsed="false">
      <c r="A48" s="65"/>
      <c r="V48" s="64"/>
    </row>
    <row r="49" customFormat="false" ht="26.25" hidden="false" customHeight="true" outlineLevel="0" collapsed="false">
      <c r="A49" s="65"/>
      <c r="V49" s="64"/>
    </row>
    <row r="50" customFormat="false" ht="26.25" hidden="false" customHeight="true" outlineLevel="0" collapsed="false">
      <c r="A50" s="65"/>
      <c r="V50" s="64"/>
    </row>
    <row r="51" customFormat="false" ht="26.25" hidden="false" customHeight="true" outlineLevel="0" collapsed="false">
      <c r="A51" s="65"/>
      <c r="V51" s="64"/>
    </row>
    <row r="52" customFormat="false" ht="26.25" hidden="false" customHeight="true" outlineLevel="0" collapsed="false">
      <c r="A52" s="65"/>
      <c r="V52" s="64"/>
    </row>
    <row r="53" customFormat="false" ht="26.25" hidden="false" customHeight="true" outlineLevel="0" collapsed="false">
      <c r="A53" s="65"/>
      <c r="V53" s="64"/>
    </row>
    <row r="54" customFormat="false" ht="26.25" hidden="false" customHeight="true" outlineLevel="0" collapsed="false">
      <c r="A54" s="65"/>
      <c r="V54" s="64"/>
    </row>
    <row r="55" customFormat="false" ht="26.25" hidden="false" customHeight="true" outlineLevel="0" collapsed="false">
      <c r="A55" s="65"/>
      <c r="V55" s="64"/>
    </row>
    <row r="56" customFormat="false" ht="26.25" hidden="false" customHeight="true" outlineLevel="0" collapsed="false">
      <c r="A56" s="65"/>
      <c r="V56" s="64"/>
    </row>
    <row r="57" customFormat="false" ht="26.25" hidden="false" customHeight="true" outlineLevel="0" collapsed="false">
      <c r="A57" s="65"/>
      <c r="V57" s="64"/>
    </row>
    <row r="58" customFormat="false" ht="26.25" hidden="false" customHeight="true" outlineLevel="0" collapsed="false">
      <c r="A58" s="65"/>
      <c r="V58" s="64"/>
    </row>
    <row r="59" customFormat="false" ht="26.25" hidden="false" customHeight="true" outlineLevel="0" collapsed="false">
      <c r="A59" s="65"/>
      <c r="V59" s="64"/>
    </row>
    <row r="60" customFormat="false" ht="26.25" hidden="false" customHeight="true" outlineLevel="0" collapsed="false">
      <c r="A60" s="65"/>
      <c r="V60" s="64"/>
    </row>
    <row r="61" customFormat="false" ht="26.25" hidden="false" customHeight="true" outlineLevel="0" collapsed="false">
      <c r="A61" s="65"/>
      <c r="V61" s="64"/>
    </row>
    <row r="62" customFormat="false" ht="26.25" hidden="false" customHeight="true" outlineLevel="0" collapsed="false">
      <c r="A62" s="65"/>
      <c r="V62" s="64"/>
    </row>
    <row r="63" customFormat="false" ht="26.25" hidden="false" customHeight="true" outlineLevel="0" collapsed="false">
      <c r="A63" s="65"/>
      <c r="V63" s="64"/>
    </row>
    <row r="64" customFormat="false" ht="26.25" hidden="false" customHeight="true" outlineLevel="0" collapsed="false">
      <c r="A64" s="65"/>
      <c r="V64" s="64"/>
    </row>
    <row r="65" customFormat="false" ht="26.25" hidden="false" customHeight="true" outlineLevel="0" collapsed="false">
      <c r="A65" s="65"/>
      <c r="V65" s="64"/>
    </row>
    <row r="66" customFormat="false" ht="26.25" hidden="false" customHeight="true" outlineLevel="0" collapsed="false">
      <c r="A66" s="65"/>
      <c r="V66" s="64"/>
    </row>
    <row r="67" customFormat="false" ht="26.25" hidden="false" customHeight="true" outlineLevel="0" collapsed="false">
      <c r="A67" s="65"/>
      <c r="V67" s="64"/>
    </row>
    <row r="68" customFormat="false" ht="26.25" hidden="false" customHeight="true" outlineLevel="0" collapsed="false">
      <c r="A68" s="65"/>
      <c r="V68" s="64"/>
    </row>
    <row r="69" customFormat="false" ht="26.25" hidden="false" customHeight="true" outlineLevel="0" collapsed="false">
      <c r="A69" s="65"/>
      <c r="V69" s="64"/>
    </row>
    <row r="70" customFormat="false" ht="26.25" hidden="false" customHeight="true" outlineLevel="0" collapsed="false">
      <c r="A70" s="65"/>
      <c r="V70" s="64"/>
    </row>
    <row r="71" customFormat="false" ht="26.25" hidden="false" customHeight="true" outlineLevel="0" collapsed="false">
      <c r="A71" s="65"/>
      <c r="V71" s="64"/>
    </row>
    <row r="72" customFormat="false" ht="26.25" hidden="false" customHeight="true" outlineLevel="0" collapsed="false">
      <c r="A72" s="65"/>
      <c r="V72" s="64"/>
    </row>
    <row r="73" customFormat="false" ht="26.25" hidden="false" customHeight="true" outlineLevel="0" collapsed="false">
      <c r="A73" s="65"/>
      <c r="V73" s="64"/>
    </row>
    <row r="74" customFormat="false" ht="26.25" hidden="false" customHeight="true" outlineLevel="0" collapsed="false">
      <c r="A74" s="65"/>
      <c r="V74" s="64"/>
    </row>
    <row r="75" customFormat="false" ht="26.25" hidden="false" customHeight="true" outlineLevel="0" collapsed="false">
      <c r="A75" s="65"/>
      <c r="V75" s="64"/>
    </row>
    <row r="76" customFormat="false" ht="26.25" hidden="false" customHeight="true" outlineLevel="0" collapsed="false">
      <c r="A76" s="65"/>
      <c r="V76" s="64"/>
    </row>
    <row r="77" customFormat="false" ht="26.25" hidden="false" customHeight="true" outlineLevel="0" collapsed="false">
      <c r="A77" s="65"/>
      <c r="V77" s="64"/>
    </row>
    <row r="78" customFormat="false" ht="26.25" hidden="false" customHeight="true" outlineLevel="0" collapsed="false">
      <c r="A78" s="65"/>
      <c r="V78" s="64"/>
    </row>
    <row r="79" customFormat="false" ht="26.25" hidden="false" customHeight="true" outlineLevel="0" collapsed="false">
      <c r="A79" s="65"/>
      <c r="V79" s="64"/>
    </row>
    <row r="80" customFormat="false" ht="26.25" hidden="false" customHeight="true" outlineLevel="0" collapsed="false">
      <c r="A80" s="65"/>
      <c r="V80" s="64"/>
    </row>
    <row r="81" customFormat="false" ht="26.25" hidden="false" customHeight="true" outlineLevel="0" collapsed="false">
      <c r="A81" s="65"/>
      <c r="V81" s="64"/>
    </row>
    <row r="82" customFormat="false" ht="26.25" hidden="false" customHeight="true" outlineLevel="0" collapsed="false">
      <c r="A82" s="65"/>
      <c r="V82" s="64"/>
    </row>
    <row r="83" customFormat="false" ht="26.25" hidden="false" customHeight="true" outlineLevel="0" collapsed="false">
      <c r="A83" s="65"/>
      <c r="V83" s="64"/>
    </row>
    <row r="84" customFormat="false" ht="26.25" hidden="false" customHeight="true" outlineLevel="0" collapsed="false">
      <c r="A84" s="65"/>
      <c r="V84" s="64"/>
    </row>
    <row r="85" customFormat="false" ht="26.25" hidden="false" customHeight="true" outlineLevel="0" collapsed="false">
      <c r="A85" s="65"/>
      <c r="V85" s="64"/>
    </row>
    <row r="86" customFormat="false" ht="26.25" hidden="false" customHeight="true" outlineLevel="0" collapsed="false">
      <c r="A86" s="65"/>
      <c r="V86" s="64"/>
    </row>
    <row r="87" customFormat="false" ht="26.25" hidden="false" customHeight="true" outlineLevel="0" collapsed="false">
      <c r="A87" s="65"/>
      <c r="V87" s="64"/>
    </row>
    <row r="88" customFormat="false" ht="26.25" hidden="false" customHeight="true" outlineLevel="0" collapsed="false">
      <c r="A88" s="65"/>
      <c r="V88" s="64"/>
    </row>
    <row r="89" customFormat="false" ht="26.25" hidden="false" customHeight="true" outlineLevel="0" collapsed="false">
      <c r="A89" s="65"/>
      <c r="V89" s="64"/>
    </row>
    <row r="90" customFormat="false" ht="26.25" hidden="false" customHeight="true" outlineLevel="0" collapsed="false">
      <c r="A90" s="65"/>
      <c r="V90" s="64"/>
    </row>
    <row r="91" customFormat="false" ht="26.25" hidden="false" customHeight="true" outlineLevel="0" collapsed="false">
      <c r="A91" s="65"/>
      <c r="V91" s="64"/>
    </row>
    <row r="92" customFormat="false" ht="26.25" hidden="false" customHeight="true" outlineLevel="0" collapsed="false">
      <c r="A92" s="65"/>
      <c r="V92" s="64"/>
    </row>
    <row r="93" customFormat="false" ht="26.25" hidden="false" customHeight="true" outlineLevel="0" collapsed="false">
      <c r="A93" s="65"/>
      <c r="V93" s="64"/>
    </row>
    <row r="94" customFormat="false" ht="26.25" hidden="false" customHeight="true" outlineLevel="0" collapsed="false">
      <c r="A94" s="65"/>
      <c r="V94" s="64"/>
    </row>
    <row r="95" customFormat="false" ht="26.25" hidden="false" customHeight="true" outlineLevel="0" collapsed="false">
      <c r="A95" s="65"/>
      <c r="V95" s="64"/>
    </row>
    <row r="96" customFormat="false" ht="26.25" hidden="false" customHeight="true" outlineLevel="0" collapsed="false">
      <c r="A96" s="65"/>
      <c r="V96" s="64"/>
    </row>
    <row r="97" customFormat="false" ht="26.25" hidden="false" customHeight="true" outlineLevel="0" collapsed="false">
      <c r="A97" s="65"/>
      <c r="V97" s="64"/>
    </row>
    <row r="98" customFormat="false" ht="26.25" hidden="false" customHeight="true" outlineLevel="0" collapsed="false">
      <c r="A98" s="65"/>
      <c r="V98" s="64"/>
    </row>
    <row r="99" customFormat="false" ht="26.25" hidden="false" customHeight="true" outlineLevel="0" collapsed="false">
      <c r="A99" s="65"/>
      <c r="V99" s="64"/>
    </row>
    <row r="100" customFormat="false" ht="26.25" hidden="false" customHeight="true" outlineLevel="0" collapsed="false">
      <c r="A100" s="65"/>
      <c r="V100" s="64"/>
    </row>
    <row r="101" customFormat="false" ht="26.25" hidden="false" customHeight="true" outlineLevel="0" collapsed="false">
      <c r="A101" s="65"/>
      <c r="V101" s="64"/>
    </row>
    <row r="102" customFormat="false" ht="26.25" hidden="false" customHeight="true" outlineLevel="0" collapsed="false">
      <c r="A102" s="65"/>
      <c r="V102" s="64"/>
    </row>
    <row r="103" customFormat="false" ht="26.25" hidden="false" customHeight="true" outlineLevel="0" collapsed="false">
      <c r="A103" s="65"/>
      <c r="V103" s="64"/>
    </row>
    <row r="104" customFormat="false" ht="26.25" hidden="false" customHeight="true" outlineLevel="0" collapsed="false">
      <c r="A104" s="65"/>
      <c r="V104" s="64"/>
    </row>
    <row r="105" customFormat="false" ht="26.25" hidden="false" customHeight="true" outlineLevel="0" collapsed="false">
      <c r="A105" s="65"/>
      <c r="V105" s="64"/>
    </row>
    <row r="106" customFormat="false" ht="26.25" hidden="false" customHeight="true" outlineLevel="0" collapsed="false">
      <c r="A106" s="65"/>
      <c r="V106" s="64"/>
    </row>
    <row r="107" customFormat="false" ht="26.25" hidden="false" customHeight="true" outlineLevel="0" collapsed="false">
      <c r="A107" s="65"/>
      <c r="V107" s="64"/>
    </row>
    <row r="108" customFormat="false" ht="26.25" hidden="false" customHeight="true" outlineLevel="0" collapsed="false">
      <c r="A108" s="65"/>
      <c r="V108" s="64"/>
    </row>
    <row r="109" customFormat="false" ht="26.25" hidden="false" customHeight="true" outlineLevel="0" collapsed="false">
      <c r="A109" s="65"/>
      <c r="V109" s="64"/>
    </row>
    <row r="110" customFormat="false" ht="26.25" hidden="false" customHeight="true" outlineLevel="0" collapsed="false">
      <c r="A110" s="65"/>
      <c r="V110" s="64"/>
    </row>
    <row r="111" customFormat="false" ht="26.25" hidden="false" customHeight="true" outlineLevel="0" collapsed="false">
      <c r="A111" s="65"/>
      <c r="V111" s="64"/>
    </row>
    <row r="112" customFormat="false" ht="26.25" hidden="false" customHeight="true" outlineLevel="0" collapsed="false">
      <c r="A112" s="65"/>
      <c r="V112" s="64"/>
    </row>
    <row r="113" customFormat="false" ht="26.25" hidden="false" customHeight="true" outlineLevel="0" collapsed="false">
      <c r="A113" s="65"/>
      <c r="V113" s="64"/>
    </row>
    <row r="114" customFormat="false" ht="26.25" hidden="false" customHeight="true" outlineLevel="0" collapsed="false">
      <c r="A114" s="65"/>
      <c r="V114" s="64"/>
    </row>
    <row r="115" customFormat="false" ht="26.25" hidden="false" customHeight="true" outlineLevel="0" collapsed="false">
      <c r="A115" s="65"/>
      <c r="V115" s="64"/>
    </row>
    <row r="116" customFormat="false" ht="26.25" hidden="false" customHeight="true" outlineLevel="0" collapsed="false">
      <c r="A116" s="65"/>
      <c r="V116" s="64"/>
    </row>
    <row r="117" customFormat="false" ht="26.25" hidden="false" customHeight="true" outlineLevel="0" collapsed="false">
      <c r="A117" s="65"/>
      <c r="V117" s="64"/>
    </row>
    <row r="118" customFormat="false" ht="26.25" hidden="false" customHeight="true" outlineLevel="0" collapsed="false">
      <c r="A118" s="65"/>
      <c r="V118" s="64"/>
    </row>
    <row r="119" customFormat="false" ht="26.25" hidden="false" customHeight="true" outlineLevel="0" collapsed="false">
      <c r="A119" s="65"/>
      <c r="V119" s="64"/>
    </row>
    <row r="120" customFormat="false" ht="26.25" hidden="false" customHeight="true" outlineLevel="0" collapsed="false">
      <c r="A120" s="65"/>
      <c r="V120" s="64"/>
    </row>
    <row r="121" customFormat="false" ht="26.25" hidden="false" customHeight="true" outlineLevel="0" collapsed="false">
      <c r="A121" s="65"/>
      <c r="V121" s="64"/>
    </row>
    <row r="122" customFormat="false" ht="26.25" hidden="false" customHeight="true" outlineLevel="0" collapsed="false">
      <c r="A122" s="65"/>
      <c r="V122" s="64"/>
    </row>
    <row r="123" customFormat="false" ht="26.25" hidden="false" customHeight="true" outlineLevel="0" collapsed="false">
      <c r="A123" s="65"/>
      <c r="V123" s="64"/>
    </row>
    <row r="124" customFormat="false" ht="26.25" hidden="false" customHeight="true" outlineLevel="0" collapsed="false">
      <c r="A124" s="65"/>
      <c r="V124" s="64"/>
    </row>
    <row r="125" customFormat="false" ht="26.25" hidden="false" customHeight="true" outlineLevel="0" collapsed="false">
      <c r="A125" s="65"/>
      <c r="V125" s="64"/>
    </row>
    <row r="126" customFormat="false" ht="26.25" hidden="false" customHeight="true" outlineLevel="0" collapsed="false">
      <c r="A126" s="65"/>
      <c r="V126" s="64"/>
    </row>
    <row r="127" customFormat="false" ht="26.25" hidden="false" customHeight="true" outlineLevel="0" collapsed="false">
      <c r="A127" s="65"/>
      <c r="V127" s="64"/>
    </row>
    <row r="128" customFormat="false" ht="26.25" hidden="false" customHeight="true" outlineLevel="0" collapsed="false">
      <c r="A128" s="65"/>
      <c r="V128" s="64"/>
    </row>
    <row r="129" customFormat="false" ht="26.25" hidden="false" customHeight="true" outlineLevel="0" collapsed="false">
      <c r="A129" s="65"/>
      <c r="V129" s="64"/>
    </row>
    <row r="130" customFormat="false" ht="26.25" hidden="false" customHeight="true" outlineLevel="0" collapsed="false">
      <c r="A130" s="65"/>
      <c r="V130" s="64"/>
    </row>
    <row r="131" customFormat="false" ht="26.25" hidden="false" customHeight="true" outlineLevel="0" collapsed="false">
      <c r="A131" s="65"/>
      <c r="V131" s="64"/>
    </row>
    <row r="132" customFormat="false" ht="26.25" hidden="false" customHeight="true" outlineLevel="0" collapsed="false">
      <c r="A132" s="65"/>
      <c r="V132" s="64"/>
    </row>
    <row r="133" customFormat="false" ht="26.25" hidden="false" customHeight="true" outlineLevel="0" collapsed="false">
      <c r="A133" s="65"/>
      <c r="V133" s="64"/>
    </row>
    <row r="134" customFormat="false" ht="26.25" hidden="false" customHeight="true" outlineLevel="0" collapsed="false">
      <c r="A134" s="65"/>
      <c r="V134" s="64"/>
    </row>
    <row r="135" customFormat="false" ht="26.25" hidden="false" customHeight="true" outlineLevel="0" collapsed="false">
      <c r="A135" s="65"/>
      <c r="V135" s="64"/>
    </row>
    <row r="136" customFormat="false" ht="26.25" hidden="false" customHeight="true" outlineLevel="0" collapsed="false">
      <c r="A136" s="65"/>
      <c r="V136" s="64"/>
    </row>
    <row r="137" customFormat="false" ht="26.25" hidden="false" customHeight="true" outlineLevel="0" collapsed="false">
      <c r="A137" s="65"/>
      <c r="V137" s="64"/>
    </row>
    <row r="138" customFormat="false" ht="26.25" hidden="false" customHeight="true" outlineLevel="0" collapsed="false">
      <c r="A138" s="65"/>
      <c r="V138" s="64"/>
    </row>
    <row r="139" customFormat="false" ht="26.25" hidden="false" customHeight="true" outlineLevel="0" collapsed="false">
      <c r="A139" s="65"/>
      <c r="V139" s="64"/>
    </row>
    <row r="140" customFormat="false" ht="26.25" hidden="false" customHeight="true" outlineLevel="0" collapsed="false">
      <c r="A140" s="65"/>
      <c r="V140" s="64"/>
    </row>
    <row r="141" customFormat="false" ht="26.25" hidden="false" customHeight="true" outlineLevel="0" collapsed="false">
      <c r="A141" s="65"/>
      <c r="V141" s="64"/>
    </row>
    <row r="142" customFormat="false" ht="26.25" hidden="false" customHeight="true" outlineLevel="0" collapsed="false">
      <c r="A142" s="65"/>
      <c r="V142" s="64"/>
    </row>
    <row r="143" customFormat="false" ht="26.25" hidden="false" customHeight="true" outlineLevel="0" collapsed="false">
      <c r="A143" s="65"/>
      <c r="V143" s="64"/>
    </row>
    <row r="144" customFormat="false" ht="26.25" hidden="false" customHeight="true" outlineLevel="0" collapsed="false">
      <c r="A144" s="65"/>
      <c r="V144" s="64"/>
    </row>
    <row r="145" customFormat="false" ht="26.25" hidden="false" customHeight="true" outlineLevel="0" collapsed="false">
      <c r="A145" s="65"/>
      <c r="V145" s="64"/>
    </row>
    <row r="146" customFormat="false" ht="26.25" hidden="false" customHeight="true" outlineLevel="0" collapsed="false">
      <c r="A146" s="65"/>
      <c r="V146" s="64"/>
    </row>
    <row r="147" customFormat="false" ht="26.25" hidden="false" customHeight="true" outlineLevel="0" collapsed="false">
      <c r="A147" s="65"/>
      <c r="V147" s="64"/>
    </row>
    <row r="148" customFormat="false" ht="26.25" hidden="false" customHeight="true" outlineLevel="0" collapsed="false">
      <c r="A148" s="65"/>
      <c r="V148" s="64"/>
    </row>
    <row r="149" customFormat="false" ht="26.25" hidden="false" customHeight="true" outlineLevel="0" collapsed="false">
      <c r="A149" s="65"/>
      <c r="V149" s="64"/>
    </row>
    <row r="150" customFormat="false" ht="26.25" hidden="false" customHeight="true" outlineLevel="0" collapsed="false">
      <c r="A150" s="65"/>
      <c r="V150" s="64"/>
    </row>
    <row r="151" customFormat="false" ht="26.25" hidden="false" customHeight="true" outlineLevel="0" collapsed="false">
      <c r="A151" s="65"/>
      <c r="V151" s="64"/>
    </row>
    <row r="152" customFormat="false" ht="26.25" hidden="false" customHeight="true" outlineLevel="0" collapsed="false">
      <c r="A152" s="65"/>
      <c r="V152" s="64"/>
    </row>
    <row r="153" customFormat="false" ht="26.25" hidden="false" customHeight="true" outlineLevel="0" collapsed="false">
      <c r="A153" s="65"/>
      <c r="V153" s="64"/>
    </row>
    <row r="154" customFormat="false" ht="26.25" hidden="false" customHeight="true" outlineLevel="0" collapsed="false">
      <c r="A154" s="65"/>
      <c r="V154" s="64"/>
    </row>
    <row r="155" customFormat="false" ht="26.25" hidden="false" customHeight="true" outlineLevel="0" collapsed="false">
      <c r="A155" s="65"/>
      <c r="V155" s="64"/>
    </row>
    <row r="156" customFormat="false" ht="26.25" hidden="false" customHeight="true" outlineLevel="0" collapsed="false">
      <c r="A156" s="65"/>
      <c r="V156" s="64"/>
    </row>
    <row r="157" customFormat="false" ht="26.25" hidden="false" customHeight="true" outlineLevel="0" collapsed="false">
      <c r="A157" s="65"/>
      <c r="V157" s="64"/>
    </row>
    <row r="158" customFormat="false" ht="26.25" hidden="false" customHeight="true" outlineLevel="0" collapsed="false">
      <c r="A158" s="65"/>
      <c r="V158" s="64"/>
    </row>
    <row r="159" customFormat="false" ht="26.25" hidden="false" customHeight="true" outlineLevel="0" collapsed="false">
      <c r="A159" s="65"/>
      <c r="V159" s="64"/>
    </row>
    <row r="160" customFormat="false" ht="26.25" hidden="false" customHeight="true" outlineLevel="0" collapsed="false">
      <c r="A160" s="65"/>
      <c r="V160" s="64"/>
    </row>
    <row r="161" customFormat="false" ht="26.25" hidden="false" customHeight="true" outlineLevel="0" collapsed="false">
      <c r="A161" s="65"/>
      <c r="V161" s="64"/>
    </row>
    <row r="162" customFormat="false" ht="26.25" hidden="false" customHeight="true" outlineLevel="0" collapsed="false">
      <c r="A162" s="65"/>
      <c r="V162" s="64"/>
    </row>
    <row r="163" customFormat="false" ht="26.25" hidden="false" customHeight="true" outlineLevel="0" collapsed="false">
      <c r="A163" s="65"/>
      <c r="V163" s="64"/>
    </row>
    <row r="164" customFormat="false" ht="26.25" hidden="false" customHeight="true" outlineLevel="0" collapsed="false">
      <c r="A164" s="65"/>
      <c r="V164" s="64"/>
    </row>
    <row r="165" customFormat="false" ht="26.25" hidden="false" customHeight="true" outlineLevel="0" collapsed="false">
      <c r="A165" s="65"/>
      <c r="V165" s="64"/>
    </row>
    <row r="166" customFormat="false" ht="26.25" hidden="false" customHeight="true" outlineLevel="0" collapsed="false">
      <c r="A166" s="65"/>
      <c r="V166" s="64"/>
    </row>
    <row r="167" customFormat="false" ht="26.25" hidden="false" customHeight="true" outlineLevel="0" collapsed="false">
      <c r="A167" s="65"/>
      <c r="V167" s="64"/>
    </row>
    <row r="168" customFormat="false" ht="26.25" hidden="false" customHeight="true" outlineLevel="0" collapsed="false">
      <c r="A168" s="65"/>
      <c r="V168" s="64"/>
    </row>
    <row r="169" customFormat="false" ht="26.25" hidden="false" customHeight="true" outlineLevel="0" collapsed="false">
      <c r="A169" s="65"/>
      <c r="V169" s="64"/>
    </row>
    <row r="170" customFormat="false" ht="26.25" hidden="false" customHeight="true" outlineLevel="0" collapsed="false">
      <c r="A170" s="65"/>
      <c r="V170" s="64"/>
    </row>
    <row r="171" customFormat="false" ht="26.25" hidden="false" customHeight="true" outlineLevel="0" collapsed="false">
      <c r="A171" s="65"/>
      <c r="V171" s="64"/>
    </row>
    <row r="172" customFormat="false" ht="26.25" hidden="false" customHeight="true" outlineLevel="0" collapsed="false">
      <c r="A172" s="65"/>
      <c r="V172" s="64"/>
    </row>
    <row r="173" customFormat="false" ht="26.25" hidden="false" customHeight="true" outlineLevel="0" collapsed="false">
      <c r="A173" s="65"/>
      <c r="V173" s="64"/>
    </row>
    <row r="174" customFormat="false" ht="26.25" hidden="false" customHeight="true" outlineLevel="0" collapsed="false">
      <c r="A174" s="65"/>
      <c r="V174" s="64"/>
    </row>
    <row r="175" customFormat="false" ht="26.25" hidden="false" customHeight="true" outlineLevel="0" collapsed="false">
      <c r="A175" s="65"/>
      <c r="V175" s="64"/>
    </row>
    <row r="176" customFormat="false" ht="26.25" hidden="false" customHeight="true" outlineLevel="0" collapsed="false">
      <c r="A176" s="65"/>
      <c r="V176" s="64"/>
    </row>
    <row r="177" customFormat="false" ht="26.25" hidden="false" customHeight="true" outlineLevel="0" collapsed="false">
      <c r="A177" s="65"/>
      <c r="V177" s="64"/>
    </row>
    <row r="178" customFormat="false" ht="26.25" hidden="false" customHeight="true" outlineLevel="0" collapsed="false">
      <c r="A178" s="65"/>
      <c r="V178" s="64"/>
    </row>
    <row r="179" customFormat="false" ht="26.25" hidden="false" customHeight="true" outlineLevel="0" collapsed="false">
      <c r="A179" s="65"/>
      <c r="V179" s="64"/>
    </row>
    <row r="180" customFormat="false" ht="26.25" hidden="false" customHeight="true" outlineLevel="0" collapsed="false">
      <c r="A180" s="65"/>
      <c r="V180" s="64"/>
    </row>
    <row r="181" customFormat="false" ht="26.25" hidden="false" customHeight="true" outlineLevel="0" collapsed="false">
      <c r="A181" s="65"/>
      <c r="V181" s="64"/>
    </row>
    <row r="182" customFormat="false" ht="26.25" hidden="false" customHeight="true" outlineLevel="0" collapsed="false">
      <c r="A182" s="65"/>
      <c r="V182" s="64"/>
    </row>
    <row r="183" customFormat="false" ht="26.25" hidden="false" customHeight="true" outlineLevel="0" collapsed="false">
      <c r="A183" s="65"/>
      <c r="V183" s="64"/>
    </row>
    <row r="184" customFormat="false" ht="26.25" hidden="false" customHeight="true" outlineLevel="0" collapsed="false">
      <c r="A184" s="65"/>
      <c r="V184" s="64"/>
    </row>
    <row r="185" customFormat="false" ht="26.25" hidden="false" customHeight="true" outlineLevel="0" collapsed="false">
      <c r="A185" s="65"/>
      <c r="V185" s="64"/>
    </row>
    <row r="186" customFormat="false" ht="26.25" hidden="false" customHeight="true" outlineLevel="0" collapsed="false">
      <c r="A186" s="65"/>
      <c r="V186" s="64"/>
    </row>
    <row r="187" customFormat="false" ht="26.25" hidden="false" customHeight="true" outlineLevel="0" collapsed="false">
      <c r="A187" s="65"/>
      <c r="V187" s="64"/>
    </row>
    <row r="188" customFormat="false" ht="26.25" hidden="false" customHeight="true" outlineLevel="0" collapsed="false">
      <c r="A188" s="65"/>
      <c r="V188" s="64"/>
    </row>
    <row r="189" customFormat="false" ht="26.25" hidden="false" customHeight="true" outlineLevel="0" collapsed="false">
      <c r="A189" s="65"/>
      <c r="V189" s="64"/>
    </row>
    <row r="190" customFormat="false" ht="26.25" hidden="false" customHeight="true" outlineLevel="0" collapsed="false">
      <c r="A190" s="65"/>
      <c r="V190" s="64"/>
    </row>
    <row r="191" customFormat="false" ht="26.25" hidden="false" customHeight="true" outlineLevel="0" collapsed="false">
      <c r="A191" s="65"/>
      <c r="V191" s="64"/>
    </row>
    <row r="192" customFormat="false" ht="26.25" hidden="false" customHeight="true" outlineLevel="0" collapsed="false">
      <c r="A192" s="65"/>
      <c r="V192" s="64"/>
    </row>
    <row r="193" customFormat="false" ht="26.25" hidden="false" customHeight="true" outlineLevel="0" collapsed="false">
      <c r="A193" s="65"/>
      <c r="V193" s="64"/>
    </row>
    <row r="194" customFormat="false" ht="26.25" hidden="false" customHeight="true" outlineLevel="0" collapsed="false">
      <c r="A194" s="65"/>
      <c r="V194" s="64"/>
    </row>
    <row r="195" customFormat="false" ht="26.25" hidden="false" customHeight="true" outlineLevel="0" collapsed="false">
      <c r="A195" s="65"/>
      <c r="V195" s="64"/>
    </row>
    <row r="196" customFormat="false" ht="26.25" hidden="false" customHeight="true" outlineLevel="0" collapsed="false">
      <c r="A196" s="65"/>
      <c r="V196" s="64"/>
    </row>
    <row r="197" customFormat="false" ht="26.25" hidden="false" customHeight="true" outlineLevel="0" collapsed="false">
      <c r="A197" s="65"/>
      <c r="V197" s="64"/>
    </row>
    <row r="198" customFormat="false" ht="26.25" hidden="false" customHeight="true" outlineLevel="0" collapsed="false">
      <c r="A198" s="65"/>
      <c r="V198" s="64"/>
    </row>
    <row r="199" customFormat="false" ht="26.25" hidden="false" customHeight="true" outlineLevel="0" collapsed="false">
      <c r="A199" s="65"/>
      <c r="V199" s="64"/>
    </row>
    <row r="200" customFormat="false" ht="26.25" hidden="false" customHeight="true" outlineLevel="0" collapsed="false">
      <c r="A200" s="65"/>
      <c r="V200" s="64"/>
    </row>
    <row r="201" customFormat="false" ht="26.25" hidden="false" customHeight="true" outlineLevel="0" collapsed="false">
      <c r="A201" s="65"/>
      <c r="V201" s="64"/>
    </row>
    <row r="202" customFormat="false" ht="26.25" hidden="false" customHeight="true" outlineLevel="0" collapsed="false">
      <c r="A202" s="65"/>
      <c r="V202" s="64"/>
    </row>
    <row r="203" customFormat="false" ht="26.25" hidden="false" customHeight="true" outlineLevel="0" collapsed="false">
      <c r="A203" s="65"/>
      <c r="V203" s="64"/>
    </row>
    <row r="204" customFormat="false" ht="26.25" hidden="false" customHeight="true" outlineLevel="0" collapsed="false">
      <c r="A204" s="65"/>
      <c r="V204" s="64"/>
    </row>
    <row r="205" customFormat="false" ht="26.25" hidden="false" customHeight="true" outlineLevel="0" collapsed="false">
      <c r="A205" s="65"/>
      <c r="V205" s="64"/>
    </row>
    <row r="206" customFormat="false" ht="26.25" hidden="false" customHeight="true" outlineLevel="0" collapsed="false">
      <c r="A206" s="65"/>
      <c r="V206" s="64"/>
    </row>
    <row r="207" customFormat="false" ht="26.25" hidden="false" customHeight="true" outlineLevel="0" collapsed="false">
      <c r="A207" s="65"/>
      <c r="V207" s="64"/>
    </row>
    <row r="208" customFormat="false" ht="26.25" hidden="false" customHeight="true" outlineLevel="0" collapsed="false">
      <c r="A208" s="65"/>
      <c r="V208" s="64"/>
    </row>
    <row r="209" customFormat="false" ht="26.25" hidden="false" customHeight="true" outlineLevel="0" collapsed="false">
      <c r="A209" s="65"/>
      <c r="V209" s="64"/>
    </row>
    <row r="210" customFormat="false" ht="26.25" hidden="false" customHeight="true" outlineLevel="0" collapsed="false">
      <c r="A210" s="65"/>
      <c r="V210" s="64"/>
    </row>
    <row r="211" customFormat="false" ht="26.25" hidden="false" customHeight="true" outlineLevel="0" collapsed="false">
      <c r="A211" s="65"/>
      <c r="V211" s="64"/>
    </row>
    <row r="212" customFormat="false" ht="26.25" hidden="false" customHeight="true" outlineLevel="0" collapsed="false">
      <c r="A212" s="65"/>
      <c r="V212" s="64"/>
    </row>
    <row r="213" customFormat="false" ht="26.25" hidden="false" customHeight="true" outlineLevel="0" collapsed="false">
      <c r="A213" s="65"/>
      <c r="V213" s="64"/>
    </row>
    <row r="214" customFormat="false" ht="26.25" hidden="false" customHeight="true" outlineLevel="0" collapsed="false">
      <c r="A214" s="65"/>
      <c r="V214" s="64"/>
    </row>
    <row r="215" customFormat="false" ht="26.25" hidden="false" customHeight="true" outlineLevel="0" collapsed="false">
      <c r="A215" s="65"/>
      <c r="V215" s="64"/>
    </row>
    <row r="216" customFormat="false" ht="26.25" hidden="false" customHeight="true" outlineLevel="0" collapsed="false">
      <c r="A216" s="65"/>
      <c r="V216" s="64"/>
    </row>
    <row r="217" customFormat="false" ht="26.25" hidden="false" customHeight="true" outlineLevel="0" collapsed="false">
      <c r="A217" s="65"/>
      <c r="V217" s="64"/>
    </row>
    <row r="218" customFormat="false" ht="26.25" hidden="false" customHeight="true" outlineLevel="0" collapsed="false">
      <c r="A218" s="65"/>
      <c r="V218" s="64"/>
    </row>
    <row r="219" customFormat="false" ht="26.25" hidden="false" customHeight="true" outlineLevel="0" collapsed="false">
      <c r="A219" s="65"/>
      <c r="V219" s="64"/>
    </row>
    <row r="220" customFormat="false" ht="26.25" hidden="false" customHeight="true" outlineLevel="0" collapsed="false">
      <c r="A220" s="65"/>
      <c r="V220" s="64"/>
    </row>
    <row r="221" customFormat="false" ht="26.25" hidden="false" customHeight="true" outlineLevel="0" collapsed="false">
      <c r="A221" s="65"/>
      <c r="V221" s="64"/>
    </row>
    <row r="222" customFormat="false" ht="26.25" hidden="false" customHeight="true" outlineLevel="0" collapsed="false">
      <c r="A222" s="65"/>
      <c r="V222" s="64"/>
    </row>
    <row r="223" customFormat="false" ht="26.25" hidden="false" customHeight="true" outlineLevel="0" collapsed="false">
      <c r="A223" s="65"/>
      <c r="V223" s="64"/>
    </row>
    <row r="224" customFormat="false" ht="26.25" hidden="false" customHeight="true" outlineLevel="0" collapsed="false">
      <c r="A224" s="65"/>
      <c r="V224" s="64"/>
    </row>
    <row r="225" customFormat="false" ht="26.25" hidden="false" customHeight="true" outlineLevel="0" collapsed="false">
      <c r="A225" s="65"/>
      <c r="V225" s="64"/>
    </row>
    <row r="226" customFormat="false" ht="26.25" hidden="false" customHeight="true" outlineLevel="0" collapsed="false">
      <c r="A226" s="65"/>
      <c r="V226" s="64"/>
    </row>
    <row r="227" customFormat="false" ht="26.25" hidden="false" customHeight="true" outlineLevel="0" collapsed="false">
      <c r="A227" s="65"/>
      <c r="V227" s="64"/>
    </row>
    <row r="228" customFormat="false" ht="26.25" hidden="false" customHeight="true" outlineLevel="0" collapsed="false">
      <c r="A228" s="65"/>
      <c r="V228" s="64"/>
    </row>
    <row r="229" customFormat="false" ht="26.25" hidden="false" customHeight="true" outlineLevel="0" collapsed="false">
      <c r="A229" s="65"/>
      <c r="V229" s="64"/>
    </row>
    <row r="230" customFormat="false" ht="26.25" hidden="false" customHeight="true" outlineLevel="0" collapsed="false">
      <c r="A230" s="65"/>
      <c r="V230" s="64"/>
    </row>
    <row r="231" customFormat="false" ht="26.25" hidden="false" customHeight="true" outlineLevel="0" collapsed="false">
      <c r="A231" s="65"/>
      <c r="V231" s="64"/>
    </row>
    <row r="232" customFormat="false" ht="26.25" hidden="false" customHeight="true" outlineLevel="0" collapsed="false">
      <c r="A232" s="65"/>
      <c r="V232" s="64"/>
    </row>
    <row r="233" customFormat="false" ht="26.25" hidden="false" customHeight="true" outlineLevel="0" collapsed="false">
      <c r="A233" s="65"/>
      <c r="V233" s="64"/>
    </row>
    <row r="234" customFormat="false" ht="26.25" hidden="false" customHeight="true" outlineLevel="0" collapsed="false">
      <c r="A234" s="65"/>
      <c r="V234" s="64"/>
    </row>
    <row r="235" customFormat="false" ht="26.25" hidden="false" customHeight="true" outlineLevel="0" collapsed="false">
      <c r="A235" s="65"/>
      <c r="V235" s="64"/>
    </row>
    <row r="236" customFormat="false" ht="26.25" hidden="false" customHeight="true" outlineLevel="0" collapsed="false">
      <c r="A236" s="65"/>
      <c r="V236" s="64"/>
    </row>
    <row r="237" customFormat="false" ht="26.25" hidden="false" customHeight="true" outlineLevel="0" collapsed="false">
      <c r="A237" s="65"/>
      <c r="V237" s="64"/>
    </row>
    <row r="238" customFormat="false" ht="26.25" hidden="false" customHeight="true" outlineLevel="0" collapsed="false">
      <c r="A238" s="65"/>
      <c r="V238" s="64"/>
    </row>
    <row r="239" customFormat="false" ht="26.25" hidden="false" customHeight="true" outlineLevel="0" collapsed="false">
      <c r="A239" s="65"/>
      <c r="V239" s="64"/>
    </row>
    <row r="240" customFormat="false" ht="26.25" hidden="false" customHeight="true" outlineLevel="0" collapsed="false">
      <c r="A240" s="65"/>
      <c r="V240" s="64"/>
    </row>
    <row r="241" customFormat="false" ht="26.25" hidden="false" customHeight="true" outlineLevel="0" collapsed="false">
      <c r="A241" s="65"/>
      <c r="V241" s="64"/>
    </row>
    <row r="242" customFormat="false" ht="26.25" hidden="false" customHeight="true" outlineLevel="0" collapsed="false">
      <c r="A242" s="65"/>
      <c r="V242" s="64"/>
    </row>
    <row r="243" customFormat="false" ht="26.25" hidden="false" customHeight="true" outlineLevel="0" collapsed="false">
      <c r="A243" s="65"/>
      <c r="V243" s="64"/>
    </row>
    <row r="244" customFormat="false" ht="26.25" hidden="false" customHeight="true" outlineLevel="0" collapsed="false">
      <c r="A244" s="65"/>
      <c r="V244" s="64"/>
    </row>
    <row r="245" customFormat="false" ht="26.25" hidden="false" customHeight="true" outlineLevel="0" collapsed="false">
      <c r="A245" s="65"/>
      <c r="V245" s="64"/>
    </row>
    <row r="246" customFormat="false" ht="26.25" hidden="false" customHeight="true" outlineLevel="0" collapsed="false">
      <c r="A246" s="65"/>
      <c r="V246" s="64"/>
    </row>
    <row r="247" customFormat="false" ht="26.25" hidden="false" customHeight="true" outlineLevel="0" collapsed="false">
      <c r="A247" s="65"/>
      <c r="V247" s="64"/>
    </row>
    <row r="248" customFormat="false" ht="26.25" hidden="false" customHeight="true" outlineLevel="0" collapsed="false">
      <c r="A248" s="65"/>
      <c r="V248" s="64"/>
    </row>
    <row r="249" customFormat="false" ht="26.25" hidden="false" customHeight="true" outlineLevel="0" collapsed="false">
      <c r="A249" s="65"/>
      <c r="V249" s="64"/>
    </row>
    <row r="250" customFormat="false" ht="26.25" hidden="false" customHeight="true" outlineLevel="0" collapsed="false">
      <c r="A250" s="65"/>
      <c r="V250" s="64"/>
    </row>
    <row r="251" customFormat="false" ht="26.25" hidden="false" customHeight="true" outlineLevel="0" collapsed="false">
      <c r="A251" s="65"/>
      <c r="V251" s="64"/>
    </row>
    <row r="252" customFormat="false" ht="26.25" hidden="false" customHeight="true" outlineLevel="0" collapsed="false">
      <c r="A252" s="65"/>
      <c r="V252" s="64"/>
    </row>
    <row r="253" customFormat="false" ht="26.25" hidden="false" customHeight="true" outlineLevel="0" collapsed="false">
      <c r="A253" s="65"/>
      <c r="V253" s="64"/>
    </row>
    <row r="254" customFormat="false" ht="26.25" hidden="false" customHeight="true" outlineLevel="0" collapsed="false">
      <c r="A254" s="65"/>
      <c r="V254" s="64"/>
    </row>
    <row r="255" customFormat="false" ht="26.25" hidden="false" customHeight="true" outlineLevel="0" collapsed="false">
      <c r="A255" s="65"/>
      <c r="V255" s="64"/>
    </row>
    <row r="256" customFormat="false" ht="26.25" hidden="false" customHeight="true" outlineLevel="0" collapsed="false">
      <c r="A256" s="65"/>
      <c r="V256" s="64"/>
    </row>
    <row r="257" customFormat="false" ht="26.25" hidden="false" customHeight="true" outlineLevel="0" collapsed="false">
      <c r="A257" s="65"/>
      <c r="V257" s="64"/>
    </row>
    <row r="258" customFormat="false" ht="26.25" hidden="false" customHeight="true" outlineLevel="0" collapsed="false">
      <c r="A258" s="65"/>
      <c r="V258" s="64"/>
    </row>
    <row r="259" customFormat="false" ht="26.25" hidden="false" customHeight="true" outlineLevel="0" collapsed="false">
      <c r="A259" s="65"/>
      <c r="V259" s="64"/>
    </row>
    <row r="260" customFormat="false" ht="26.25" hidden="false" customHeight="true" outlineLevel="0" collapsed="false">
      <c r="A260" s="65"/>
      <c r="V260" s="64"/>
    </row>
    <row r="261" customFormat="false" ht="26.25" hidden="false" customHeight="true" outlineLevel="0" collapsed="false">
      <c r="A261" s="65"/>
      <c r="V261" s="64"/>
    </row>
    <row r="262" customFormat="false" ht="26.25" hidden="false" customHeight="true" outlineLevel="0" collapsed="false">
      <c r="A262" s="65"/>
      <c r="V262" s="64"/>
    </row>
    <row r="263" customFormat="false" ht="26.25" hidden="false" customHeight="true" outlineLevel="0" collapsed="false">
      <c r="A263" s="65"/>
      <c r="V263" s="64"/>
    </row>
    <row r="264" customFormat="false" ht="26.25" hidden="false" customHeight="true" outlineLevel="0" collapsed="false">
      <c r="A264" s="65"/>
      <c r="V264" s="64"/>
    </row>
    <row r="265" customFormat="false" ht="26.25" hidden="false" customHeight="true" outlineLevel="0" collapsed="false">
      <c r="A265" s="65"/>
      <c r="V265" s="64"/>
    </row>
    <row r="266" customFormat="false" ht="26.25" hidden="false" customHeight="true" outlineLevel="0" collapsed="false">
      <c r="A266" s="65"/>
      <c r="V266" s="64"/>
    </row>
    <row r="267" customFormat="false" ht="26.25" hidden="false" customHeight="true" outlineLevel="0" collapsed="false">
      <c r="A267" s="65"/>
      <c r="V267" s="64"/>
    </row>
    <row r="268" customFormat="false" ht="26.25" hidden="false" customHeight="true" outlineLevel="0" collapsed="false">
      <c r="A268" s="65"/>
      <c r="V268" s="64"/>
    </row>
    <row r="269" customFormat="false" ht="26.25" hidden="false" customHeight="true" outlineLevel="0" collapsed="false">
      <c r="A269" s="65"/>
      <c r="V269" s="64"/>
    </row>
    <row r="270" customFormat="false" ht="26.25" hidden="false" customHeight="true" outlineLevel="0" collapsed="false">
      <c r="A270" s="65"/>
      <c r="V270" s="64"/>
    </row>
    <row r="271" customFormat="false" ht="26.25" hidden="false" customHeight="true" outlineLevel="0" collapsed="false">
      <c r="A271" s="65"/>
      <c r="V271" s="64"/>
    </row>
    <row r="272" customFormat="false" ht="26.25" hidden="false" customHeight="true" outlineLevel="0" collapsed="false">
      <c r="A272" s="65"/>
      <c r="V272" s="64"/>
    </row>
    <row r="273" customFormat="false" ht="26.25" hidden="false" customHeight="true" outlineLevel="0" collapsed="false">
      <c r="A273" s="65"/>
      <c r="V273" s="64"/>
    </row>
    <row r="274" customFormat="false" ht="26.25" hidden="false" customHeight="true" outlineLevel="0" collapsed="false">
      <c r="A274" s="65"/>
      <c r="V274" s="64"/>
    </row>
    <row r="275" customFormat="false" ht="26.25" hidden="false" customHeight="true" outlineLevel="0" collapsed="false">
      <c r="A275" s="65"/>
      <c r="V275" s="64"/>
    </row>
    <row r="276" customFormat="false" ht="26.25" hidden="false" customHeight="true" outlineLevel="0" collapsed="false">
      <c r="A276" s="65"/>
      <c r="V276" s="64"/>
    </row>
    <row r="277" customFormat="false" ht="26.25" hidden="false" customHeight="true" outlineLevel="0" collapsed="false">
      <c r="A277" s="65"/>
      <c r="V277" s="64"/>
    </row>
    <row r="278" customFormat="false" ht="26.25" hidden="false" customHeight="true" outlineLevel="0" collapsed="false">
      <c r="A278" s="65"/>
      <c r="V278" s="64"/>
    </row>
    <row r="279" customFormat="false" ht="26.25" hidden="false" customHeight="true" outlineLevel="0" collapsed="false">
      <c r="A279" s="65"/>
      <c r="V279" s="64"/>
    </row>
    <row r="280" customFormat="false" ht="26.25" hidden="false" customHeight="true" outlineLevel="0" collapsed="false">
      <c r="A280" s="65"/>
      <c r="V280" s="64"/>
    </row>
    <row r="281" customFormat="false" ht="26.25" hidden="false" customHeight="true" outlineLevel="0" collapsed="false">
      <c r="A281" s="65"/>
      <c r="V281" s="64"/>
    </row>
    <row r="282" customFormat="false" ht="26.25" hidden="false" customHeight="true" outlineLevel="0" collapsed="false">
      <c r="A282" s="65"/>
      <c r="V282" s="64"/>
    </row>
    <row r="283" customFormat="false" ht="26.25" hidden="false" customHeight="true" outlineLevel="0" collapsed="false">
      <c r="A283" s="65"/>
      <c r="V283" s="64"/>
    </row>
    <row r="284" customFormat="false" ht="26.25" hidden="false" customHeight="true" outlineLevel="0" collapsed="false">
      <c r="A284" s="65"/>
      <c r="V284" s="64"/>
    </row>
    <row r="285" customFormat="false" ht="26.25" hidden="false" customHeight="true" outlineLevel="0" collapsed="false">
      <c r="A285" s="65"/>
      <c r="V285" s="64"/>
    </row>
    <row r="286" customFormat="false" ht="26.25" hidden="false" customHeight="true" outlineLevel="0" collapsed="false">
      <c r="A286" s="65"/>
      <c r="V286" s="64"/>
    </row>
    <row r="287" customFormat="false" ht="26.25" hidden="false" customHeight="true" outlineLevel="0" collapsed="false">
      <c r="A287" s="65"/>
      <c r="V287" s="64"/>
    </row>
    <row r="288" customFormat="false" ht="26.25" hidden="false" customHeight="true" outlineLevel="0" collapsed="false">
      <c r="A288" s="65"/>
      <c r="V288" s="64"/>
    </row>
    <row r="289" customFormat="false" ht="26.25" hidden="false" customHeight="true" outlineLevel="0" collapsed="false">
      <c r="A289" s="65"/>
      <c r="V289" s="64"/>
    </row>
    <row r="290" customFormat="false" ht="26.25" hidden="false" customHeight="true" outlineLevel="0" collapsed="false">
      <c r="A290" s="65"/>
      <c r="V290" s="64"/>
    </row>
    <row r="291" customFormat="false" ht="26.25" hidden="false" customHeight="true" outlineLevel="0" collapsed="false">
      <c r="A291" s="65"/>
      <c r="V291" s="64"/>
    </row>
    <row r="292" customFormat="false" ht="26.25" hidden="false" customHeight="true" outlineLevel="0" collapsed="false">
      <c r="A292" s="65"/>
      <c r="V292" s="64"/>
    </row>
    <row r="293" customFormat="false" ht="26.25" hidden="false" customHeight="true" outlineLevel="0" collapsed="false">
      <c r="A293" s="65"/>
      <c r="V293" s="64"/>
    </row>
    <row r="294" customFormat="false" ht="26.25" hidden="false" customHeight="true" outlineLevel="0" collapsed="false">
      <c r="A294" s="65"/>
      <c r="V294" s="64"/>
    </row>
    <row r="295" customFormat="false" ht="26.25" hidden="false" customHeight="true" outlineLevel="0" collapsed="false">
      <c r="A295" s="65"/>
      <c r="V295" s="64"/>
    </row>
    <row r="296" customFormat="false" ht="26.25" hidden="false" customHeight="true" outlineLevel="0" collapsed="false">
      <c r="A296" s="65"/>
      <c r="V296" s="64"/>
    </row>
    <row r="297" customFormat="false" ht="26.25" hidden="false" customHeight="true" outlineLevel="0" collapsed="false">
      <c r="A297" s="65"/>
      <c r="V297" s="64"/>
    </row>
    <row r="298" customFormat="false" ht="26.25" hidden="false" customHeight="true" outlineLevel="0" collapsed="false">
      <c r="A298" s="65"/>
      <c r="V298" s="64"/>
    </row>
    <row r="299" customFormat="false" ht="26.25" hidden="false" customHeight="true" outlineLevel="0" collapsed="false">
      <c r="A299" s="65"/>
      <c r="V299" s="64"/>
    </row>
    <row r="300" customFormat="false" ht="26.25" hidden="false" customHeight="true" outlineLevel="0" collapsed="false">
      <c r="A300" s="65"/>
      <c r="V300" s="64"/>
    </row>
    <row r="301" customFormat="false" ht="26.25" hidden="false" customHeight="true" outlineLevel="0" collapsed="false">
      <c r="A301" s="65"/>
      <c r="V301" s="64"/>
    </row>
    <row r="302" customFormat="false" ht="26.25" hidden="false" customHeight="true" outlineLevel="0" collapsed="false">
      <c r="A302" s="65"/>
      <c r="V302" s="64"/>
    </row>
    <row r="303" customFormat="false" ht="26.25" hidden="false" customHeight="true" outlineLevel="0" collapsed="false">
      <c r="A303" s="65"/>
      <c r="V303" s="64"/>
    </row>
    <row r="304" customFormat="false" ht="26.25" hidden="false" customHeight="true" outlineLevel="0" collapsed="false">
      <c r="A304" s="65"/>
      <c r="V304" s="64"/>
    </row>
    <row r="305" customFormat="false" ht="26.25" hidden="false" customHeight="true" outlineLevel="0" collapsed="false">
      <c r="A305" s="65"/>
      <c r="V305" s="64"/>
    </row>
    <row r="306" customFormat="false" ht="26.25" hidden="false" customHeight="true" outlineLevel="0" collapsed="false">
      <c r="A306" s="65"/>
      <c r="V306" s="64"/>
    </row>
    <row r="307" customFormat="false" ht="26.25" hidden="false" customHeight="true" outlineLevel="0" collapsed="false">
      <c r="A307" s="65"/>
      <c r="V307" s="64"/>
    </row>
    <row r="308" customFormat="false" ht="26.25" hidden="false" customHeight="true" outlineLevel="0" collapsed="false">
      <c r="A308" s="65"/>
      <c r="V308" s="64"/>
    </row>
    <row r="309" customFormat="false" ht="26.25" hidden="false" customHeight="true" outlineLevel="0" collapsed="false">
      <c r="A309" s="65"/>
      <c r="V309" s="64"/>
    </row>
    <row r="310" customFormat="false" ht="26.25" hidden="false" customHeight="true" outlineLevel="0" collapsed="false">
      <c r="A310" s="65"/>
      <c r="V310" s="64"/>
    </row>
    <row r="311" customFormat="false" ht="26.25" hidden="false" customHeight="true" outlineLevel="0" collapsed="false">
      <c r="A311" s="65"/>
      <c r="V311" s="64"/>
    </row>
    <row r="312" customFormat="false" ht="26.25" hidden="false" customHeight="true" outlineLevel="0" collapsed="false">
      <c r="A312" s="65"/>
      <c r="V312" s="64"/>
    </row>
    <row r="313" customFormat="false" ht="26.25" hidden="false" customHeight="true" outlineLevel="0" collapsed="false">
      <c r="A313" s="65"/>
      <c r="V313" s="64"/>
    </row>
    <row r="314" customFormat="false" ht="26.25" hidden="false" customHeight="true" outlineLevel="0" collapsed="false">
      <c r="A314" s="65"/>
      <c r="V314" s="64"/>
    </row>
    <row r="315" customFormat="false" ht="26.25" hidden="false" customHeight="true" outlineLevel="0" collapsed="false">
      <c r="A315" s="65"/>
      <c r="V315" s="64"/>
    </row>
    <row r="316" customFormat="false" ht="26.25" hidden="false" customHeight="true" outlineLevel="0" collapsed="false">
      <c r="A316" s="65"/>
      <c r="V316" s="64"/>
    </row>
    <row r="317" customFormat="false" ht="26.25" hidden="false" customHeight="true" outlineLevel="0" collapsed="false">
      <c r="A317" s="65"/>
      <c r="V317" s="64"/>
    </row>
    <row r="318" customFormat="false" ht="26.25" hidden="false" customHeight="true" outlineLevel="0" collapsed="false">
      <c r="A318" s="65"/>
      <c r="V318" s="64"/>
    </row>
    <row r="319" customFormat="false" ht="26.25" hidden="false" customHeight="true" outlineLevel="0" collapsed="false">
      <c r="A319" s="65"/>
      <c r="V319" s="64"/>
    </row>
    <row r="320" customFormat="false" ht="26.25" hidden="false" customHeight="true" outlineLevel="0" collapsed="false">
      <c r="A320" s="65"/>
      <c r="V320" s="64"/>
    </row>
    <row r="321" customFormat="false" ht="26.25" hidden="false" customHeight="true" outlineLevel="0" collapsed="false">
      <c r="A321" s="65"/>
      <c r="V321" s="64"/>
    </row>
    <row r="322" customFormat="false" ht="26.25" hidden="false" customHeight="true" outlineLevel="0" collapsed="false">
      <c r="A322" s="65"/>
      <c r="V322" s="64"/>
    </row>
    <row r="323" customFormat="false" ht="26.25" hidden="false" customHeight="true" outlineLevel="0" collapsed="false">
      <c r="A323" s="65"/>
      <c r="V323" s="64"/>
    </row>
    <row r="324" customFormat="false" ht="26.25" hidden="false" customHeight="true" outlineLevel="0" collapsed="false">
      <c r="A324" s="65"/>
      <c r="V324" s="64"/>
    </row>
    <row r="325" customFormat="false" ht="26.25" hidden="false" customHeight="true" outlineLevel="0" collapsed="false">
      <c r="A325" s="65"/>
      <c r="V325" s="64"/>
    </row>
    <row r="326" customFormat="false" ht="26.25" hidden="false" customHeight="true" outlineLevel="0" collapsed="false">
      <c r="A326" s="65"/>
      <c r="V326" s="64"/>
    </row>
    <row r="327" customFormat="false" ht="26.25" hidden="false" customHeight="true" outlineLevel="0" collapsed="false">
      <c r="A327" s="65"/>
      <c r="V327" s="64"/>
    </row>
    <row r="328" customFormat="false" ht="26.25" hidden="false" customHeight="true" outlineLevel="0" collapsed="false">
      <c r="A328" s="65"/>
      <c r="V328" s="64"/>
    </row>
    <row r="329" customFormat="false" ht="26.25" hidden="false" customHeight="true" outlineLevel="0" collapsed="false">
      <c r="A329" s="65"/>
      <c r="V329" s="64"/>
    </row>
    <row r="330" customFormat="false" ht="26.25" hidden="false" customHeight="true" outlineLevel="0" collapsed="false">
      <c r="A330" s="65"/>
      <c r="V330" s="64"/>
    </row>
    <row r="331" customFormat="false" ht="26.25" hidden="false" customHeight="true" outlineLevel="0" collapsed="false">
      <c r="A331" s="65"/>
      <c r="V331" s="64"/>
    </row>
    <row r="332" customFormat="false" ht="26.25" hidden="false" customHeight="true" outlineLevel="0" collapsed="false">
      <c r="A332" s="65"/>
      <c r="V332" s="64"/>
    </row>
    <row r="333" customFormat="false" ht="26.25" hidden="false" customHeight="true" outlineLevel="0" collapsed="false">
      <c r="A333" s="65"/>
      <c r="V333" s="64"/>
    </row>
    <row r="334" customFormat="false" ht="26.25" hidden="false" customHeight="true" outlineLevel="0" collapsed="false">
      <c r="A334" s="65"/>
      <c r="V334" s="64"/>
    </row>
    <row r="335" customFormat="false" ht="26.25" hidden="false" customHeight="true" outlineLevel="0" collapsed="false">
      <c r="A335" s="65"/>
      <c r="V335" s="64"/>
    </row>
    <row r="336" customFormat="false" ht="26.25" hidden="false" customHeight="true" outlineLevel="0" collapsed="false">
      <c r="A336" s="65"/>
      <c r="V336" s="64"/>
    </row>
    <row r="337" customFormat="false" ht="26.25" hidden="false" customHeight="true" outlineLevel="0" collapsed="false">
      <c r="A337" s="65"/>
      <c r="V337" s="64"/>
    </row>
    <row r="338" customFormat="false" ht="26.25" hidden="false" customHeight="true" outlineLevel="0" collapsed="false">
      <c r="A338" s="65"/>
      <c r="V338" s="64"/>
    </row>
    <row r="339" customFormat="false" ht="26.25" hidden="false" customHeight="true" outlineLevel="0" collapsed="false">
      <c r="A339" s="65"/>
      <c r="V339" s="64"/>
    </row>
    <row r="340" customFormat="false" ht="26.25" hidden="false" customHeight="true" outlineLevel="0" collapsed="false">
      <c r="A340" s="65"/>
      <c r="V340" s="64"/>
    </row>
    <row r="341" customFormat="false" ht="26.25" hidden="false" customHeight="true" outlineLevel="0" collapsed="false">
      <c r="A341" s="65"/>
      <c r="V341" s="64"/>
    </row>
    <row r="342" customFormat="false" ht="26.25" hidden="false" customHeight="true" outlineLevel="0" collapsed="false">
      <c r="A342" s="65"/>
      <c r="V342" s="64"/>
    </row>
    <row r="343" customFormat="false" ht="26.25" hidden="false" customHeight="true" outlineLevel="0" collapsed="false">
      <c r="A343" s="65"/>
      <c r="V343" s="64"/>
    </row>
    <row r="344" customFormat="false" ht="26.25" hidden="false" customHeight="true" outlineLevel="0" collapsed="false">
      <c r="A344" s="65"/>
      <c r="V344" s="64"/>
    </row>
    <row r="345" customFormat="false" ht="26.25" hidden="false" customHeight="true" outlineLevel="0" collapsed="false">
      <c r="A345" s="65"/>
      <c r="V345" s="64"/>
    </row>
    <row r="346" customFormat="false" ht="26.25" hidden="false" customHeight="true" outlineLevel="0" collapsed="false">
      <c r="A346" s="65"/>
      <c r="V346" s="64"/>
    </row>
    <row r="347" customFormat="false" ht="26.25" hidden="false" customHeight="true" outlineLevel="0" collapsed="false">
      <c r="A347" s="65"/>
      <c r="V347" s="64"/>
    </row>
    <row r="348" customFormat="false" ht="26.25" hidden="false" customHeight="true" outlineLevel="0" collapsed="false">
      <c r="A348" s="65"/>
      <c r="V348" s="64"/>
    </row>
    <row r="349" customFormat="false" ht="26.25" hidden="false" customHeight="true" outlineLevel="0" collapsed="false">
      <c r="A349" s="65"/>
      <c r="V349" s="64"/>
    </row>
    <row r="350" customFormat="false" ht="26.25" hidden="false" customHeight="true" outlineLevel="0" collapsed="false">
      <c r="A350" s="65"/>
      <c r="V350" s="64"/>
    </row>
    <row r="351" customFormat="false" ht="26.25" hidden="false" customHeight="true" outlineLevel="0" collapsed="false">
      <c r="A351" s="65"/>
      <c r="V351" s="64"/>
    </row>
    <row r="352" customFormat="false" ht="26.25" hidden="false" customHeight="true" outlineLevel="0" collapsed="false">
      <c r="A352" s="65"/>
      <c r="V352" s="64"/>
    </row>
    <row r="353" customFormat="false" ht="26.25" hidden="false" customHeight="true" outlineLevel="0" collapsed="false">
      <c r="A353" s="65"/>
      <c r="V353" s="64"/>
    </row>
    <row r="354" customFormat="false" ht="26.25" hidden="false" customHeight="true" outlineLevel="0" collapsed="false">
      <c r="A354" s="65"/>
      <c r="V354" s="64"/>
    </row>
    <row r="355" customFormat="false" ht="26.25" hidden="false" customHeight="true" outlineLevel="0" collapsed="false">
      <c r="A355" s="65"/>
      <c r="V355" s="64"/>
    </row>
    <row r="356" customFormat="false" ht="26.25" hidden="false" customHeight="true" outlineLevel="0" collapsed="false">
      <c r="A356" s="65"/>
      <c r="V356" s="64"/>
    </row>
    <row r="357" customFormat="false" ht="26.25" hidden="false" customHeight="true" outlineLevel="0" collapsed="false">
      <c r="A357" s="65"/>
      <c r="V357" s="64"/>
    </row>
    <row r="358" customFormat="false" ht="26.25" hidden="false" customHeight="true" outlineLevel="0" collapsed="false">
      <c r="A358" s="65"/>
      <c r="V358" s="64"/>
    </row>
    <row r="359" customFormat="false" ht="26.25" hidden="false" customHeight="true" outlineLevel="0" collapsed="false">
      <c r="A359" s="65"/>
      <c r="V359" s="64"/>
    </row>
    <row r="360" customFormat="false" ht="26.25" hidden="false" customHeight="true" outlineLevel="0" collapsed="false">
      <c r="A360" s="65"/>
      <c r="V360" s="64"/>
    </row>
    <row r="361" customFormat="false" ht="26.25" hidden="false" customHeight="true" outlineLevel="0" collapsed="false">
      <c r="A361" s="65"/>
      <c r="V361" s="64"/>
    </row>
    <row r="362" customFormat="false" ht="26.25" hidden="false" customHeight="true" outlineLevel="0" collapsed="false">
      <c r="A362" s="65"/>
      <c r="V362" s="64"/>
    </row>
    <row r="363" customFormat="false" ht="26.25" hidden="false" customHeight="true" outlineLevel="0" collapsed="false">
      <c r="A363" s="65"/>
      <c r="V363" s="64"/>
    </row>
    <row r="364" customFormat="false" ht="26.25" hidden="false" customHeight="true" outlineLevel="0" collapsed="false">
      <c r="A364" s="65"/>
      <c r="V364" s="64"/>
    </row>
    <row r="365" customFormat="false" ht="26.25" hidden="false" customHeight="true" outlineLevel="0" collapsed="false">
      <c r="A365" s="65"/>
      <c r="V365" s="64"/>
    </row>
    <row r="366" customFormat="false" ht="26.25" hidden="false" customHeight="true" outlineLevel="0" collapsed="false">
      <c r="A366" s="65"/>
      <c r="V366" s="64"/>
    </row>
    <row r="367" customFormat="false" ht="26.25" hidden="false" customHeight="true" outlineLevel="0" collapsed="false">
      <c r="A367" s="65"/>
      <c r="V367" s="64"/>
    </row>
    <row r="368" customFormat="false" ht="26.25" hidden="false" customHeight="true" outlineLevel="0" collapsed="false">
      <c r="A368" s="65"/>
      <c r="V368" s="64"/>
    </row>
    <row r="369" customFormat="false" ht="26.25" hidden="false" customHeight="true" outlineLevel="0" collapsed="false">
      <c r="A369" s="65"/>
      <c r="V369" s="64"/>
    </row>
    <row r="370" customFormat="false" ht="26.25" hidden="false" customHeight="true" outlineLevel="0" collapsed="false">
      <c r="A370" s="65"/>
      <c r="V370" s="64"/>
    </row>
    <row r="371" customFormat="false" ht="26.25" hidden="false" customHeight="true" outlineLevel="0" collapsed="false">
      <c r="A371" s="65"/>
      <c r="V371" s="64"/>
    </row>
    <row r="372" customFormat="false" ht="26.25" hidden="false" customHeight="true" outlineLevel="0" collapsed="false">
      <c r="A372" s="65"/>
      <c r="V372" s="64"/>
    </row>
    <row r="373" customFormat="false" ht="26.25" hidden="false" customHeight="true" outlineLevel="0" collapsed="false">
      <c r="A373" s="65"/>
      <c r="V373" s="64"/>
    </row>
    <row r="374" customFormat="false" ht="26.25" hidden="false" customHeight="true" outlineLevel="0" collapsed="false">
      <c r="A374" s="65"/>
      <c r="V374" s="64"/>
    </row>
    <row r="375" customFormat="false" ht="26.25" hidden="false" customHeight="true" outlineLevel="0" collapsed="false">
      <c r="A375" s="65"/>
      <c r="V375" s="64"/>
    </row>
    <row r="376" customFormat="false" ht="26.25" hidden="false" customHeight="true" outlineLevel="0" collapsed="false">
      <c r="A376" s="65"/>
      <c r="V376" s="64"/>
    </row>
    <row r="377" customFormat="false" ht="26.25" hidden="false" customHeight="true" outlineLevel="0" collapsed="false">
      <c r="A377" s="65"/>
      <c r="V377" s="64"/>
    </row>
    <row r="378" customFormat="false" ht="26.25" hidden="false" customHeight="true" outlineLevel="0" collapsed="false">
      <c r="A378" s="65"/>
      <c r="V378" s="64"/>
    </row>
    <row r="379" customFormat="false" ht="26.25" hidden="false" customHeight="true" outlineLevel="0" collapsed="false">
      <c r="A379" s="65"/>
      <c r="V379" s="64"/>
    </row>
    <row r="380" customFormat="false" ht="26.25" hidden="false" customHeight="true" outlineLevel="0" collapsed="false">
      <c r="A380" s="65"/>
      <c r="V380" s="64"/>
    </row>
    <row r="381" customFormat="false" ht="26.25" hidden="false" customHeight="true" outlineLevel="0" collapsed="false">
      <c r="A381" s="65"/>
      <c r="V381" s="64"/>
    </row>
    <row r="382" customFormat="false" ht="26.25" hidden="false" customHeight="true" outlineLevel="0" collapsed="false">
      <c r="A382" s="65"/>
      <c r="V382" s="64"/>
    </row>
    <row r="383" customFormat="false" ht="26.25" hidden="false" customHeight="true" outlineLevel="0" collapsed="false">
      <c r="A383" s="65"/>
      <c r="V383" s="64"/>
    </row>
    <row r="384" customFormat="false" ht="26.25" hidden="false" customHeight="true" outlineLevel="0" collapsed="false">
      <c r="A384" s="65"/>
      <c r="V384" s="64"/>
    </row>
    <row r="385" customFormat="false" ht="26.25" hidden="false" customHeight="true" outlineLevel="0" collapsed="false">
      <c r="A385" s="65"/>
      <c r="V385" s="64"/>
    </row>
    <row r="386" customFormat="false" ht="26.25" hidden="false" customHeight="true" outlineLevel="0" collapsed="false">
      <c r="A386" s="65"/>
      <c r="V386" s="64"/>
    </row>
    <row r="387" customFormat="false" ht="26.25" hidden="false" customHeight="true" outlineLevel="0" collapsed="false">
      <c r="A387" s="65"/>
      <c r="V387" s="64"/>
    </row>
    <row r="388" customFormat="false" ht="26.25" hidden="false" customHeight="true" outlineLevel="0" collapsed="false">
      <c r="A388" s="65"/>
      <c r="V388" s="64"/>
    </row>
    <row r="389" customFormat="false" ht="26.25" hidden="false" customHeight="true" outlineLevel="0" collapsed="false">
      <c r="A389" s="65"/>
      <c r="V389" s="64"/>
    </row>
    <row r="390" customFormat="false" ht="26.25" hidden="false" customHeight="true" outlineLevel="0" collapsed="false">
      <c r="A390" s="65"/>
      <c r="V390" s="64"/>
    </row>
    <row r="391" customFormat="false" ht="26.25" hidden="false" customHeight="true" outlineLevel="0" collapsed="false">
      <c r="A391" s="65"/>
      <c r="V391" s="64"/>
    </row>
    <row r="392" customFormat="false" ht="26.25" hidden="false" customHeight="true" outlineLevel="0" collapsed="false">
      <c r="A392" s="65"/>
      <c r="V392" s="64"/>
    </row>
    <row r="393" customFormat="false" ht="26.25" hidden="false" customHeight="true" outlineLevel="0" collapsed="false">
      <c r="A393" s="65"/>
      <c r="V393" s="64"/>
    </row>
    <row r="394" customFormat="false" ht="26.25" hidden="false" customHeight="true" outlineLevel="0" collapsed="false">
      <c r="A394" s="65"/>
      <c r="V394" s="64"/>
    </row>
    <row r="395" customFormat="false" ht="26.25" hidden="false" customHeight="true" outlineLevel="0" collapsed="false">
      <c r="A395" s="65"/>
      <c r="V395" s="64"/>
    </row>
    <row r="396" customFormat="false" ht="26.25" hidden="false" customHeight="true" outlineLevel="0" collapsed="false">
      <c r="A396" s="65"/>
      <c r="V396" s="64"/>
    </row>
    <row r="397" customFormat="false" ht="26.25" hidden="false" customHeight="true" outlineLevel="0" collapsed="false">
      <c r="A397" s="65"/>
      <c r="V397" s="64"/>
    </row>
    <row r="398" customFormat="false" ht="26.25" hidden="false" customHeight="true" outlineLevel="0" collapsed="false">
      <c r="A398" s="65"/>
      <c r="V398" s="64"/>
    </row>
    <row r="399" customFormat="false" ht="26.25" hidden="false" customHeight="true" outlineLevel="0" collapsed="false">
      <c r="A399" s="65"/>
      <c r="V399" s="64"/>
    </row>
    <row r="400" customFormat="false" ht="26.25" hidden="false" customHeight="true" outlineLevel="0" collapsed="false">
      <c r="A400" s="65"/>
      <c r="V400" s="64"/>
    </row>
    <row r="401" customFormat="false" ht="26.25" hidden="false" customHeight="true" outlineLevel="0" collapsed="false">
      <c r="A401" s="65"/>
      <c r="V401" s="64"/>
    </row>
    <row r="402" customFormat="false" ht="26.25" hidden="false" customHeight="true" outlineLevel="0" collapsed="false">
      <c r="A402" s="65"/>
      <c r="V402" s="64"/>
    </row>
    <row r="403" customFormat="false" ht="26.25" hidden="false" customHeight="true" outlineLevel="0" collapsed="false">
      <c r="A403" s="65"/>
      <c r="V403" s="64"/>
    </row>
    <row r="404" customFormat="false" ht="26.25" hidden="false" customHeight="true" outlineLevel="0" collapsed="false">
      <c r="A404" s="65"/>
      <c r="V404" s="64"/>
    </row>
    <row r="405" customFormat="false" ht="26.25" hidden="false" customHeight="true" outlineLevel="0" collapsed="false">
      <c r="A405" s="65"/>
      <c r="V405" s="64"/>
    </row>
    <row r="406" customFormat="false" ht="26.25" hidden="false" customHeight="true" outlineLevel="0" collapsed="false">
      <c r="A406" s="65"/>
      <c r="V406" s="64"/>
    </row>
    <row r="407" customFormat="false" ht="26.25" hidden="false" customHeight="true" outlineLevel="0" collapsed="false">
      <c r="A407" s="65"/>
      <c r="V407" s="64"/>
    </row>
    <row r="408" customFormat="false" ht="26.25" hidden="false" customHeight="true" outlineLevel="0" collapsed="false">
      <c r="A408" s="65"/>
      <c r="V408" s="64"/>
    </row>
    <row r="409" customFormat="false" ht="26.25" hidden="false" customHeight="true" outlineLevel="0" collapsed="false">
      <c r="A409" s="65"/>
      <c r="V409" s="64"/>
    </row>
    <row r="410" customFormat="false" ht="26.25" hidden="false" customHeight="true" outlineLevel="0" collapsed="false">
      <c r="A410" s="65"/>
      <c r="V410" s="64"/>
    </row>
    <row r="411" customFormat="false" ht="26.25" hidden="false" customHeight="true" outlineLevel="0" collapsed="false">
      <c r="A411" s="65"/>
      <c r="V411" s="64"/>
    </row>
    <row r="412" customFormat="false" ht="26.25" hidden="false" customHeight="true" outlineLevel="0" collapsed="false">
      <c r="A412" s="65"/>
      <c r="V412" s="64"/>
    </row>
    <row r="413" customFormat="false" ht="26.25" hidden="false" customHeight="true" outlineLevel="0" collapsed="false">
      <c r="A413" s="65"/>
      <c r="V413" s="64"/>
    </row>
    <row r="414" customFormat="false" ht="26.25" hidden="false" customHeight="true" outlineLevel="0" collapsed="false">
      <c r="A414" s="65"/>
      <c r="V414" s="64"/>
    </row>
    <row r="415" customFormat="false" ht="26.25" hidden="false" customHeight="true" outlineLevel="0" collapsed="false">
      <c r="A415" s="65"/>
      <c r="V415" s="64"/>
    </row>
    <row r="416" customFormat="false" ht="26.25" hidden="false" customHeight="true" outlineLevel="0" collapsed="false">
      <c r="A416" s="65"/>
      <c r="V416" s="64"/>
    </row>
    <row r="417" customFormat="false" ht="26.25" hidden="false" customHeight="true" outlineLevel="0" collapsed="false">
      <c r="A417" s="65"/>
      <c r="V417" s="64"/>
    </row>
    <row r="418" customFormat="false" ht="26.25" hidden="false" customHeight="true" outlineLevel="0" collapsed="false">
      <c r="A418" s="65"/>
      <c r="V418" s="64"/>
    </row>
    <row r="419" customFormat="false" ht="26.25" hidden="false" customHeight="true" outlineLevel="0" collapsed="false">
      <c r="A419" s="65"/>
      <c r="V419" s="64"/>
    </row>
    <row r="420" customFormat="false" ht="26.25" hidden="false" customHeight="true" outlineLevel="0" collapsed="false">
      <c r="A420" s="65"/>
      <c r="V420" s="64"/>
    </row>
    <row r="421" customFormat="false" ht="26.25" hidden="false" customHeight="true" outlineLevel="0" collapsed="false">
      <c r="A421" s="65"/>
      <c r="V421" s="64"/>
    </row>
    <row r="422" customFormat="false" ht="26.25" hidden="false" customHeight="true" outlineLevel="0" collapsed="false">
      <c r="A422" s="65"/>
      <c r="V422" s="64"/>
    </row>
    <row r="423" customFormat="false" ht="26.25" hidden="false" customHeight="true" outlineLevel="0" collapsed="false">
      <c r="A423" s="65"/>
      <c r="V423" s="64"/>
    </row>
    <row r="424" customFormat="false" ht="26.25" hidden="false" customHeight="true" outlineLevel="0" collapsed="false">
      <c r="A424" s="65"/>
      <c r="V424" s="64"/>
    </row>
    <row r="425" customFormat="false" ht="26.25" hidden="false" customHeight="true" outlineLevel="0" collapsed="false">
      <c r="A425" s="65"/>
      <c r="V425" s="64"/>
    </row>
    <row r="426" customFormat="false" ht="26.25" hidden="false" customHeight="true" outlineLevel="0" collapsed="false">
      <c r="A426" s="65"/>
      <c r="V426" s="64"/>
    </row>
    <row r="427" customFormat="false" ht="26.25" hidden="false" customHeight="true" outlineLevel="0" collapsed="false">
      <c r="A427" s="65"/>
      <c r="V427" s="64"/>
    </row>
    <row r="428" customFormat="false" ht="26.25" hidden="false" customHeight="true" outlineLevel="0" collapsed="false">
      <c r="A428" s="65"/>
      <c r="V428" s="64"/>
    </row>
    <row r="429" customFormat="false" ht="26.25" hidden="false" customHeight="true" outlineLevel="0" collapsed="false">
      <c r="A429" s="65"/>
      <c r="V429" s="64"/>
    </row>
    <row r="430" customFormat="false" ht="26.25" hidden="false" customHeight="true" outlineLevel="0" collapsed="false">
      <c r="A430" s="65"/>
      <c r="V430" s="64"/>
    </row>
    <row r="431" customFormat="false" ht="26.25" hidden="false" customHeight="true" outlineLevel="0" collapsed="false">
      <c r="A431" s="65"/>
      <c r="V431" s="64"/>
    </row>
    <row r="432" customFormat="false" ht="26.25" hidden="false" customHeight="true" outlineLevel="0" collapsed="false">
      <c r="A432" s="65"/>
      <c r="V432" s="64"/>
    </row>
    <row r="433" customFormat="false" ht="26.25" hidden="false" customHeight="true" outlineLevel="0" collapsed="false">
      <c r="A433" s="65"/>
      <c r="V433" s="64"/>
    </row>
    <row r="434" customFormat="false" ht="26.25" hidden="false" customHeight="true" outlineLevel="0" collapsed="false">
      <c r="A434" s="65"/>
      <c r="V434" s="64"/>
    </row>
    <row r="435" customFormat="false" ht="26.25" hidden="false" customHeight="true" outlineLevel="0" collapsed="false">
      <c r="A435" s="65"/>
      <c r="V435" s="64"/>
    </row>
    <row r="436" customFormat="false" ht="26.25" hidden="false" customHeight="true" outlineLevel="0" collapsed="false">
      <c r="A436" s="65"/>
      <c r="V436" s="64"/>
    </row>
    <row r="437" customFormat="false" ht="26.25" hidden="false" customHeight="true" outlineLevel="0" collapsed="false">
      <c r="A437" s="65"/>
      <c r="V437" s="64"/>
    </row>
    <row r="438" customFormat="false" ht="26.25" hidden="false" customHeight="true" outlineLevel="0" collapsed="false">
      <c r="A438" s="65"/>
      <c r="V438" s="64"/>
    </row>
    <row r="439" customFormat="false" ht="26.25" hidden="false" customHeight="true" outlineLevel="0" collapsed="false">
      <c r="A439" s="65"/>
      <c r="V439" s="64"/>
    </row>
    <row r="440" customFormat="false" ht="26.25" hidden="false" customHeight="true" outlineLevel="0" collapsed="false">
      <c r="A440" s="65"/>
      <c r="V440" s="64"/>
    </row>
    <row r="441" customFormat="false" ht="26.25" hidden="false" customHeight="true" outlineLevel="0" collapsed="false">
      <c r="A441" s="65"/>
      <c r="V441" s="64"/>
    </row>
    <row r="442" customFormat="false" ht="26.25" hidden="false" customHeight="true" outlineLevel="0" collapsed="false">
      <c r="A442" s="65"/>
      <c r="V442" s="64"/>
    </row>
    <row r="443" customFormat="false" ht="26.25" hidden="false" customHeight="true" outlineLevel="0" collapsed="false">
      <c r="A443" s="65"/>
      <c r="V443" s="64"/>
    </row>
    <row r="444" customFormat="false" ht="26.25" hidden="false" customHeight="true" outlineLevel="0" collapsed="false">
      <c r="A444" s="65"/>
      <c r="V444" s="64"/>
    </row>
    <row r="445" customFormat="false" ht="26.25" hidden="false" customHeight="true" outlineLevel="0" collapsed="false">
      <c r="A445" s="65"/>
      <c r="V445" s="64"/>
    </row>
    <row r="446" customFormat="false" ht="26.25" hidden="false" customHeight="true" outlineLevel="0" collapsed="false">
      <c r="A446" s="65"/>
      <c r="V446" s="64"/>
    </row>
    <row r="447" customFormat="false" ht="26.25" hidden="false" customHeight="true" outlineLevel="0" collapsed="false">
      <c r="A447" s="65"/>
      <c r="V447" s="64"/>
    </row>
    <row r="448" customFormat="false" ht="26.25" hidden="false" customHeight="true" outlineLevel="0" collapsed="false">
      <c r="A448" s="65"/>
      <c r="V448" s="64"/>
    </row>
    <row r="449" customFormat="false" ht="26.25" hidden="false" customHeight="true" outlineLevel="0" collapsed="false">
      <c r="A449" s="65"/>
      <c r="V449" s="64"/>
    </row>
    <row r="450" customFormat="false" ht="26.25" hidden="false" customHeight="true" outlineLevel="0" collapsed="false">
      <c r="A450" s="65"/>
      <c r="V450" s="64"/>
    </row>
    <row r="451" customFormat="false" ht="26.25" hidden="false" customHeight="true" outlineLevel="0" collapsed="false">
      <c r="A451" s="65"/>
      <c r="V451" s="64"/>
    </row>
    <row r="452" customFormat="false" ht="26.25" hidden="false" customHeight="true" outlineLevel="0" collapsed="false">
      <c r="A452" s="65"/>
      <c r="V452" s="64"/>
    </row>
    <row r="453" customFormat="false" ht="26.25" hidden="false" customHeight="true" outlineLevel="0" collapsed="false">
      <c r="A453" s="65"/>
      <c r="V453" s="64"/>
    </row>
    <row r="454" customFormat="false" ht="26.25" hidden="false" customHeight="true" outlineLevel="0" collapsed="false">
      <c r="A454" s="65"/>
      <c r="V454" s="64"/>
    </row>
    <row r="455" customFormat="false" ht="26.25" hidden="false" customHeight="true" outlineLevel="0" collapsed="false">
      <c r="A455" s="65"/>
      <c r="V455" s="64"/>
    </row>
    <row r="456" customFormat="false" ht="26.25" hidden="false" customHeight="true" outlineLevel="0" collapsed="false">
      <c r="A456" s="65"/>
      <c r="V456" s="64"/>
    </row>
    <row r="457" customFormat="false" ht="26.25" hidden="false" customHeight="true" outlineLevel="0" collapsed="false">
      <c r="A457" s="65"/>
      <c r="V457" s="64"/>
    </row>
    <row r="458" customFormat="false" ht="26.25" hidden="false" customHeight="true" outlineLevel="0" collapsed="false">
      <c r="A458" s="65"/>
      <c r="V458" s="64"/>
    </row>
    <row r="459" customFormat="false" ht="26.25" hidden="false" customHeight="true" outlineLevel="0" collapsed="false">
      <c r="A459" s="65"/>
      <c r="V459" s="64"/>
    </row>
    <row r="460" customFormat="false" ht="26.25" hidden="false" customHeight="true" outlineLevel="0" collapsed="false">
      <c r="A460" s="65"/>
      <c r="V460" s="64"/>
    </row>
    <row r="461" customFormat="false" ht="26.25" hidden="false" customHeight="true" outlineLevel="0" collapsed="false">
      <c r="A461" s="65"/>
      <c r="V461" s="64"/>
    </row>
    <row r="462" customFormat="false" ht="26.25" hidden="false" customHeight="true" outlineLevel="0" collapsed="false">
      <c r="A462" s="65"/>
      <c r="V462" s="64"/>
    </row>
    <row r="463" customFormat="false" ht="26.25" hidden="false" customHeight="true" outlineLevel="0" collapsed="false">
      <c r="A463" s="65"/>
      <c r="V463" s="64"/>
    </row>
    <row r="464" customFormat="false" ht="26.25" hidden="false" customHeight="true" outlineLevel="0" collapsed="false">
      <c r="A464" s="65"/>
      <c r="V464" s="64"/>
    </row>
    <row r="465" customFormat="false" ht="26.25" hidden="false" customHeight="true" outlineLevel="0" collapsed="false">
      <c r="A465" s="65"/>
      <c r="V465" s="64"/>
    </row>
    <row r="466" customFormat="false" ht="26.25" hidden="false" customHeight="true" outlineLevel="0" collapsed="false">
      <c r="A466" s="65"/>
      <c r="V466" s="64"/>
    </row>
    <row r="467" customFormat="false" ht="26.25" hidden="false" customHeight="true" outlineLevel="0" collapsed="false">
      <c r="A467" s="65"/>
      <c r="V467" s="64"/>
    </row>
    <row r="468" customFormat="false" ht="26.25" hidden="false" customHeight="true" outlineLevel="0" collapsed="false">
      <c r="A468" s="65"/>
      <c r="V468" s="64"/>
    </row>
    <row r="469" customFormat="false" ht="26.25" hidden="false" customHeight="true" outlineLevel="0" collapsed="false">
      <c r="A469" s="65"/>
      <c r="V469" s="64"/>
    </row>
    <row r="470" customFormat="false" ht="26.25" hidden="false" customHeight="true" outlineLevel="0" collapsed="false">
      <c r="A470" s="65"/>
      <c r="V470" s="64"/>
    </row>
    <row r="471" customFormat="false" ht="26.25" hidden="false" customHeight="true" outlineLevel="0" collapsed="false">
      <c r="A471" s="65"/>
      <c r="V471" s="64"/>
    </row>
    <row r="472" customFormat="false" ht="26.25" hidden="false" customHeight="true" outlineLevel="0" collapsed="false">
      <c r="A472" s="65"/>
      <c r="V472" s="64"/>
    </row>
    <row r="473" customFormat="false" ht="26.25" hidden="false" customHeight="true" outlineLevel="0" collapsed="false">
      <c r="A473" s="65"/>
      <c r="V473" s="64"/>
    </row>
    <row r="474" customFormat="false" ht="26.25" hidden="false" customHeight="true" outlineLevel="0" collapsed="false">
      <c r="A474" s="65"/>
      <c r="V474" s="64"/>
    </row>
    <row r="475" customFormat="false" ht="26.25" hidden="false" customHeight="true" outlineLevel="0" collapsed="false">
      <c r="A475" s="65"/>
      <c r="V475" s="64"/>
    </row>
    <row r="476" customFormat="false" ht="26.25" hidden="false" customHeight="true" outlineLevel="0" collapsed="false">
      <c r="A476" s="65"/>
      <c r="V476" s="64"/>
    </row>
    <row r="477" customFormat="false" ht="26.25" hidden="false" customHeight="true" outlineLevel="0" collapsed="false">
      <c r="A477" s="65"/>
      <c r="V477" s="64"/>
    </row>
    <row r="478" customFormat="false" ht="26.25" hidden="false" customHeight="true" outlineLevel="0" collapsed="false">
      <c r="A478" s="65"/>
      <c r="V478" s="64"/>
    </row>
    <row r="479" customFormat="false" ht="26.25" hidden="false" customHeight="true" outlineLevel="0" collapsed="false">
      <c r="A479" s="65"/>
      <c r="V479" s="64"/>
    </row>
    <row r="480" customFormat="false" ht="26.25" hidden="false" customHeight="true" outlineLevel="0" collapsed="false">
      <c r="A480" s="65"/>
      <c r="V480" s="64"/>
    </row>
    <row r="481" customFormat="false" ht="26.25" hidden="false" customHeight="true" outlineLevel="0" collapsed="false">
      <c r="A481" s="65"/>
      <c r="V481" s="64"/>
    </row>
    <row r="482" customFormat="false" ht="26.25" hidden="false" customHeight="true" outlineLevel="0" collapsed="false">
      <c r="A482" s="65"/>
      <c r="V482" s="64"/>
    </row>
    <row r="483" customFormat="false" ht="26.25" hidden="false" customHeight="true" outlineLevel="0" collapsed="false">
      <c r="A483" s="65"/>
      <c r="V483" s="64"/>
    </row>
    <row r="484" customFormat="false" ht="26.25" hidden="false" customHeight="true" outlineLevel="0" collapsed="false">
      <c r="A484" s="65"/>
      <c r="V484" s="64"/>
    </row>
    <row r="485" customFormat="false" ht="26.25" hidden="false" customHeight="true" outlineLevel="0" collapsed="false">
      <c r="A485" s="65"/>
      <c r="V485" s="64"/>
    </row>
    <row r="486" customFormat="false" ht="26.25" hidden="false" customHeight="true" outlineLevel="0" collapsed="false">
      <c r="A486" s="65"/>
      <c r="V486" s="64"/>
    </row>
    <row r="487" customFormat="false" ht="26.25" hidden="false" customHeight="true" outlineLevel="0" collapsed="false">
      <c r="A487" s="65"/>
      <c r="V487" s="64"/>
    </row>
    <row r="488" customFormat="false" ht="26.25" hidden="false" customHeight="true" outlineLevel="0" collapsed="false">
      <c r="A488" s="65"/>
      <c r="V488" s="64"/>
    </row>
    <row r="489" customFormat="false" ht="26.25" hidden="false" customHeight="true" outlineLevel="0" collapsed="false">
      <c r="A489" s="65"/>
      <c r="V489" s="64"/>
    </row>
    <row r="490" customFormat="false" ht="26.25" hidden="false" customHeight="true" outlineLevel="0" collapsed="false">
      <c r="A490" s="65"/>
      <c r="V490" s="64"/>
    </row>
    <row r="491" customFormat="false" ht="26.25" hidden="false" customHeight="true" outlineLevel="0" collapsed="false">
      <c r="A491" s="65"/>
      <c r="V491" s="64"/>
    </row>
    <row r="492" customFormat="false" ht="26.25" hidden="false" customHeight="true" outlineLevel="0" collapsed="false">
      <c r="A492" s="65"/>
      <c r="V492" s="64"/>
    </row>
    <row r="493" customFormat="false" ht="26.25" hidden="false" customHeight="true" outlineLevel="0" collapsed="false">
      <c r="A493" s="65"/>
      <c r="V493" s="64"/>
    </row>
    <row r="494" customFormat="false" ht="26.25" hidden="false" customHeight="true" outlineLevel="0" collapsed="false">
      <c r="A494" s="65"/>
      <c r="V494" s="64"/>
    </row>
    <row r="495" customFormat="false" ht="26.25" hidden="false" customHeight="true" outlineLevel="0" collapsed="false">
      <c r="A495" s="65"/>
      <c r="V495" s="64"/>
    </row>
    <row r="496" customFormat="false" ht="26.25" hidden="false" customHeight="true" outlineLevel="0" collapsed="false">
      <c r="A496" s="65"/>
      <c r="V496" s="64"/>
    </row>
    <row r="497" customFormat="false" ht="26.25" hidden="false" customHeight="true" outlineLevel="0" collapsed="false">
      <c r="A497" s="65"/>
      <c r="V497" s="64"/>
    </row>
    <row r="498" customFormat="false" ht="26.25" hidden="false" customHeight="true" outlineLevel="0" collapsed="false">
      <c r="A498" s="65"/>
      <c r="V498" s="64"/>
    </row>
    <row r="499" customFormat="false" ht="26.25" hidden="false" customHeight="true" outlineLevel="0" collapsed="false">
      <c r="A499" s="65"/>
      <c r="V499" s="64"/>
    </row>
    <row r="500" customFormat="false" ht="26.25" hidden="false" customHeight="true" outlineLevel="0" collapsed="false">
      <c r="A500" s="65"/>
      <c r="V500" s="64"/>
    </row>
    <row r="501" customFormat="false" ht="26.25" hidden="false" customHeight="true" outlineLevel="0" collapsed="false">
      <c r="A501" s="65"/>
      <c r="V501" s="64"/>
    </row>
    <row r="502" customFormat="false" ht="26.25" hidden="false" customHeight="true" outlineLevel="0" collapsed="false">
      <c r="A502" s="65"/>
      <c r="V502" s="64"/>
    </row>
    <row r="503" customFormat="false" ht="26.25" hidden="false" customHeight="true" outlineLevel="0" collapsed="false">
      <c r="A503" s="65"/>
      <c r="V503" s="64"/>
    </row>
    <row r="504" customFormat="false" ht="26.25" hidden="false" customHeight="true" outlineLevel="0" collapsed="false">
      <c r="A504" s="65"/>
      <c r="V504" s="64"/>
    </row>
    <row r="505" customFormat="false" ht="26.25" hidden="false" customHeight="true" outlineLevel="0" collapsed="false">
      <c r="A505" s="65"/>
      <c r="V505" s="64"/>
    </row>
    <row r="506" customFormat="false" ht="26.25" hidden="false" customHeight="true" outlineLevel="0" collapsed="false">
      <c r="A506" s="65"/>
      <c r="V506" s="64"/>
    </row>
    <row r="507" customFormat="false" ht="26.25" hidden="false" customHeight="true" outlineLevel="0" collapsed="false">
      <c r="A507" s="65"/>
      <c r="V507" s="64"/>
    </row>
    <row r="508" customFormat="false" ht="26.25" hidden="false" customHeight="true" outlineLevel="0" collapsed="false">
      <c r="A508" s="65"/>
      <c r="V508" s="64"/>
    </row>
    <row r="509" customFormat="false" ht="26.25" hidden="false" customHeight="true" outlineLevel="0" collapsed="false">
      <c r="A509" s="65"/>
      <c r="V509" s="64"/>
    </row>
    <row r="510" customFormat="false" ht="26.25" hidden="false" customHeight="true" outlineLevel="0" collapsed="false">
      <c r="A510" s="65"/>
      <c r="V510" s="64"/>
    </row>
    <row r="511" customFormat="false" ht="26.25" hidden="false" customHeight="true" outlineLevel="0" collapsed="false">
      <c r="A511" s="65"/>
      <c r="V511" s="64"/>
    </row>
    <row r="512" customFormat="false" ht="26.25" hidden="false" customHeight="true" outlineLevel="0" collapsed="false">
      <c r="A512" s="65"/>
      <c r="V512" s="64"/>
    </row>
    <row r="513" customFormat="false" ht="26.25" hidden="false" customHeight="true" outlineLevel="0" collapsed="false">
      <c r="A513" s="65"/>
      <c r="V513" s="64"/>
    </row>
    <row r="514" customFormat="false" ht="26.25" hidden="false" customHeight="true" outlineLevel="0" collapsed="false">
      <c r="A514" s="65"/>
      <c r="V514" s="64"/>
    </row>
    <row r="515" customFormat="false" ht="26.25" hidden="false" customHeight="true" outlineLevel="0" collapsed="false">
      <c r="A515" s="65"/>
      <c r="V515" s="64"/>
    </row>
    <row r="516" customFormat="false" ht="26.25" hidden="false" customHeight="true" outlineLevel="0" collapsed="false">
      <c r="A516" s="65"/>
      <c r="V516" s="64"/>
    </row>
    <row r="517" customFormat="false" ht="26.25" hidden="false" customHeight="true" outlineLevel="0" collapsed="false">
      <c r="A517" s="65"/>
      <c r="V517" s="64"/>
    </row>
    <row r="518" customFormat="false" ht="26.25" hidden="false" customHeight="true" outlineLevel="0" collapsed="false">
      <c r="A518" s="65"/>
      <c r="V518" s="64"/>
    </row>
    <row r="519" customFormat="false" ht="26.25" hidden="false" customHeight="true" outlineLevel="0" collapsed="false">
      <c r="A519" s="65"/>
      <c r="V519" s="64"/>
    </row>
    <row r="520" customFormat="false" ht="26.25" hidden="false" customHeight="true" outlineLevel="0" collapsed="false">
      <c r="A520" s="65"/>
      <c r="V520" s="64"/>
    </row>
    <row r="521" customFormat="false" ht="26.25" hidden="false" customHeight="true" outlineLevel="0" collapsed="false">
      <c r="A521" s="65"/>
      <c r="V521" s="64"/>
    </row>
    <row r="522" customFormat="false" ht="26.25" hidden="false" customHeight="true" outlineLevel="0" collapsed="false">
      <c r="A522" s="65"/>
      <c r="V522" s="64"/>
    </row>
    <row r="523" customFormat="false" ht="26.25" hidden="false" customHeight="true" outlineLevel="0" collapsed="false">
      <c r="A523" s="65"/>
      <c r="V523" s="64"/>
    </row>
    <row r="524" customFormat="false" ht="26.25" hidden="false" customHeight="true" outlineLevel="0" collapsed="false">
      <c r="A524" s="65"/>
      <c r="V524" s="64"/>
    </row>
    <row r="525" customFormat="false" ht="26.25" hidden="false" customHeight="true" outlineLevel="0" collapsed="false">
      <c r="A525" s="65"/>
      <c r="V525" s="64"/>
    </row>
    <row r="526" customFormat="false" ht="26.25" hidden="false" customHeight="true" outlineLevel="0" collapsed="false">
      <c r="A526" s="65"/>
      <c r="V526" s="64"/>
    </row>
    <row r="527" customFormat="false" ht="26.25" hidden="false" customHeight="true" outlineLevel="0" collapsed="false">
      <c r="A527" s="65"/>
      <c r="V527" s="64"/>
    </row>
    <row r="528" customFormat="false" ht="26.25" hidden="false" customHeight="true" outlineLevel="0" collapsed="false">
      <c r="A528" s="65"/>
      <c r="V528" s="64"/>
    </row>
    <row r="529" customFormat="false" ht="26.25" hidden="false" customHeight="true" outlineLevel="0" collapsed="false">
      <c r="A529" s="65"/>
      <c r="V529" s="64"/>
    </row>
    <row r="530" customFormat="false" ht="26.25" hidden="false" customHeight="true" outlineLevel="0" collapsed="false">
      <c r="A530" s="65"/>
      <c r="V530" s="64"/>
    </row>
    <row r="531" customFormat="false" ht="26.25" hidden="false" customHeight="true" outlineLevel="0" collapsed="false">
      <c r="A531" s="65"/>
      <c r="V531" s="64"/>
    </row>
    <row r="532" customFormat="false" ht="26.25" hidden="false" customHeight="true" outlineLevel="0" collapsed="false">
      <c r="A532" s="65"/>
      <c r="V532" s="64"/>
    </row>
    <row r="533" customFormat="false" ht="26.25" hidden="false" customHeight="true" outlineLevel="0" collapsed="false">
      <c r="A533" s="65"/>
      <c r="V533" s="64"/>
    </row>
    <row r="534" customFormat="false" ht="26.25" hidden="false" customHeight="true" outlineLevel="0" collapsed="false">
      <c r="A534" s="65"/>
      <c r="V534" s="64"/>
    </row>
    <row r="535" customFormat="false" ht="26.25" hidden="false" customHeight="true" outlineLevel="0" collapsed="false">
      <c r="A535" s="65"/>
      <c r="V535" s="64"/>
    </row>
    <row r="536" customFormat="false" ht="26.25" hidden="false" customHeight="true" outlineLevel="0" collapsed="false">
      <c r="A536" s="65"/>
      <c r="V536" s="64"/>
    </row>
    <row r="537" customFormat="false" ht="26.25" hidden="false" customHeight="true" outlineLevel="0" collapsed="false">
      <c r="A537" s="65"/>
      <c r="V537" s="64"/>
    </row>
    <row r="538" customFormat="false" ht="26.25" hidden="false" customHeight="true" outlineLevel="0" collapsed="false">
      <c r="A538" s="65"/>
      <c r="V538" s="64"/>
    </row>
    <row r="539" customFormat="false" ht="26.25" hidden="false" customHeight="true" outlineLevel="0" collapsed="false">
      <c r="A539" s="65"/>
      <c r="V539" s="64"/>
    </row>
    <row r="540" customFormat="false" ht="26.25" hidden="false" customHeight="true" outlineLevel="0" collapsed="false">
      <c r="A540" s="65"/>
      <c r="V540" s="64"/>
    </row>
    <row r="541" customFormat="false" ht="26.25" hidden="false" customHeight="true" outlineLevel="0" collapsed="false">
      <c r="A541" s="65"/>
      <c r="V541" s="64"/>
    </row>
    <row r="542" customFormat="false" ht="26.25" hidden="false" customHeight="true" outlineLevel="0" collapsed="false">
      <c r="A542" s="65"/>
      <c r="V542" s="64"/>
    </row>
    <row r="543" customFormat="false" ht="26.25" hidden="false" customHeight="true" outlineLevel="0" collapsed="false">
      <c r="A543" s="65"/>
      <c r="V543" s="64"/>
    </row>
    <row r="544" customFormat="false" ht="26.25" hidden="false" customHeight="true" outlineLevel="0" collapsed="false">
      <c r="A544" s="65"/>
      <c r="V544" s="64"/>
    </row>
    <row r="545" customFormat="false" ht="26.25" hidden="false" customHeight="true" outlineLevel="0" collapsed="false">
      <c r="A545" s="65"/>
      <c r="V545" s="64"/>
    </row>
    <row r="546" customFormat="false" ht="26.25" hidden="false" customHeight="true" outlineLevel="0" collapsed="false">
      <c r="A546" s="65"/>
      <c r="V546" s="64"/>
    </row>
    <row r="547" customFormat="false" ht="26.25" hidden="false" customHeight="true" outlineLevel="0" collapsed="false">
      <c r="A547" s="65"/>
      <c r="V547" s="64"/>
    </row>
    <row r="548" customFormat="false" ht="26.25" hidden="false" customHeight="true" outlineLevel="0" collapsed="false">
      <c r="A548" s="65"/>
      <c r="V548" s="64"/>
    </row>
    <row r="549" customFormat="false" ht="26.25" hidden="false" customHeight="true" outlineLevel="0" collapsed="false">
      <c r="A549" s="65"/>
      <c r="V549" s="64"/>
    </row>
    <row r="550" customFormat="false" ht="26.25" hidden="false" customHeight="true" outlineLevel="0" collapsed="false">
      <c r="A550" s="65"/>
      <c r="V550" s="64"/>
    </row>
    <row r="551" customFormat="false" ht="26.25" hidden="false" customHeight="true" outlineLevel="0" collapsed="false">
      <c r="A551" s="65"/>
      <c r="V551" s="64"/>
    </row>
    <row r="552" customFormat="false" ht="26.25" hidden="false" customHeight="true" outlineLevel="0" collapsed="false">
      <c r="A552" s="65"/>
      <c r="V552" s="64"/>
    </row>
    <row r="553" customFormat="false" ht="26.25" hidden="false" customHeight="true" outlineLevel="0" collapsed="false">
      <c r="A553" s="65"/>
      <c r="V553" s="64"/>
    </row>
    <row r="554" customFormat="false" ht="26.25" hidden="false" customHeight="true" outlineLevel="0" collapsed="false">
      <c r="A554" s="65"/>
      <c r="V554" s="64"/>
    </row>
    <row r="555" customFormat="false" ht="26.25" hidden="false" customHeight="true" outlineLevel="0" collapsed="false">
      <c r="A555" s="65"/>
      <c r="V555" s="64"/>
    </row>
    <row r="556" customFormat="false" ht="26.25" hidden="false" customHeight="true" outlineLevel="0" collapsed="false">
      <c r="A556" s="65"/>
      <c r="V556" s="64"/>
    </row>
    <row r="557" customFormat="false" ht="26.25" hidden="false" customHeight="true" outlineLevel="0" collapsed="false">
      <c r="A557" s="65"/>
      <c r="V557" s="64"/>
    </row>
    <row r="558" customFormat="false" ht="26.25" hidden="false" customHeight="true" outlineLevel="0" collapsed="false">
      <c r="A558" s="65"/>
      <c r="V558" s="64"/>
    </row>
    <row r="559" customFormat="false" ht="26.25" hidden="false" customHeight="true" outlineLevel="0" collapsed="false">
      <c r="A559" s="65"/>
      <c r="V559" s="64"/>
    </row>
    <row r="560" customFormat="false" ht="26.25" hidden="false" customHeight="true" outlineLevel="0" collapsed="false">
      <c r="A560" s="65"/>
      <c r="V560" s="64"/>
    </row>
    <row r="561" customFormat="false" ht="26.25" hidden="false" customHeight="true" outlineLevel="0" collapsed="false">
      <c r="A561" s="65"/>
      <c r="V561" s="64"/>
    </row>
    <row r="562" customFormat="false" ht="26.25" hidden="false" customHeight="true" outlineLevel="0" collapsed="false">
      <c r="A562" s="65"/>
      <c r="V562" s="64"/>
    </row>
    <row r="563" customFormat="false" ht="26.25" hidden="false" customHeight="true" outlineLevel="0" collapsed="false">
      <c r="A563" s="65"/>
      <c r="V563" s="64"/>
    </row>
    <row r="564" customFormat="false" ht="26.25" hidden="false" customHeight="true" outlineLevel="0" collapsed="false">
      <c r="A564" s="65"/>
      <c r="V564" s="64"/>
    </row>
    <row r="565" customFormat="false" ht="26.25" hidden="false" customHeight="true" outlineLevel="0" collapsed="false">
      <c r="A565" s="65"/>
      <c r="V565" s="64"/>
    </row>
    <row r="566" customFormat="false" ht="26.25" hidden="false" customHeight="true" outlineLevel="0" collapsed="false">
      <c r="A566" s="65"/>
      <c r="V566" s="64"/>
    </row>
    <row r="567" customFormat="false" ht="26.25" hidden="false" customHeight="true" outlineLevel="0" collapsed="false">
      <c r="A567" s="65"/>
      <c r="V567" s="64"/>
    </row>
    <row r="568" customFormat="false" ht="26.25" hidden="false" customHeight="true" outlineLevel="0" collapsed="false">
      <c r="A568" s="65"/>
      <c r="V568" s="64"/>
    </row>
    <row r="569" customFormat="false" ht="26.25" hidden="false" customHeight="true" outlineLevel="0" collapsed="false">
      <c r="A569" s="65"/>
      <c r="V569" s="64"/>
    </row>
    <row r="570" customFormat="false" ht="26.25" hidden="false" customHeight="true" outlineLevel="0" collapsed="false">
      <c r="A570" s="65"/>
      <c r="V570" s="64"/>
    </row>
    <row r="571" customFormat="false" ht="26.25" hidden="false" customHeight="true" outlineLevel="0" collapsed="false">
      <c r="A571" s="65"/>
      <c r="V571" s="64"/>
    </row>
    <row r="572" customFormat="false" ht="26.25" hidden="false" customHeight="true" outlineLevel="0" collapsed="false">
      <c r="A572" s="65"/>
      <c r="V572" s="64"/>
    </row>
    <row r="573" customFormat="false" ht="26.25" hidden="false" customHeight="true" outlineLevel="0" collapsed="false">
      <c r="A573" s="65"/>
      <c r="V573" s="64"/>
    </row>
    <row r="574" customFormat="false" ht="26.25" hidden="false" customHeight="true" outlineLevel="0" collapsed="false">
      <c r="A574" s="65"/>
      <c r="V574" s="64"/>
    </row>
    <row r="575" customFormat="false" ht="26.25" hidden="false" customHeight="true" outlineLevel="0" collapsed="false">
      <c r="A575" s="65"/>
      <c r="V575" s="64"/>
    </row>
    <row r="576" customFormat="false" ht="26.25" hidden="false" customHeight="true" outlineLevel="0" collapsed="false">
      <c r="A576" s="65"/>
      <c r="V576" s="64"/>
    </row>
    <row r="577" customFormat="false" ht="26.25" hidden="false" customHeight="true" outlineLevel="0" collapsed="false">
      <c r="A577" s="65"/>
      <c r="V577" s="64"/>
    </row>
    <row r="578" customFormat="false" ht="26.25" hidden="false" customHeight="true" outlineLevel="0" collapsed="false">
      <c r="A578" s="65"/>
      <c r="V578" s="64"/>
    </row>
    <row r="579" customFormat="false" ht="26.25" hidden="false" customHeight="true" outlineLevel="0" collapsed="false">
      <c r="A579" s="65"/>
      <c r="V579" s="64"/>
    </row>
    <row r="580" customFormat="false" ht="26.25" hidden="false" customHeight="true" outlineLevel="0" collapsed="false">
      <c r="A580" s="65"/>
      <c r="V580" s="64"/>
    </row>
    <row r="581" customFormat="false" ht="26.25" hidden="false" customHeight="true" outlineLevel="0" collapsed="false">
      <c r="A581" s="65"/>
      <c r="V581" s="64"/>
    </row>
    <row r="582" customFormat="false" ht="26.25" hidden="false" customHeight="true" outlineLevel="0" collapsed="false">
      <c r="A582" s="65"/>
      <c r="V582" s="64"/>
    </row>
    <row r="583" customFormat="false" ht="26.25" hidden="false" customHeight="true" outlineLevel="0" collapsed="false">
      <c r="A583" s="65"/>
      <c r="V583" s="64"/>
    </row>
    <row r="584" customFormat="false" ht="26.25" hidden="false" customHeight="true" outlineLevel="0" collapsed="false">
      <c r="A584" s="65"/>
      <c r="V584" s="64"/>
    </row>
    <row r="585" customFormat="false" ht="26.25" hidden="false" customHeight="true" outlineLevel="0" collapsed="false">
      <c r="A585" s="65"/>
      <c r="V585" s="64"/>
    </row>
    <row r="586" customFormat="false" ht="26.25" hidden="false" customHeight="true" outlineLevel="0" collapsed="false">
      <c r="A586" s="65"/>
      <c r="V586" s="64"/>
    </row>
    <row r="587" customFormat="false" ht="26.25" hidden="false" customHeight="true" outlineLevel="0" collapsed="false">
      <c r="A587" s="65"/>
      <c r="V587" s="64"/>
    </row>
    <row r="588" customFormat="false" ht="26.25" hidden="false" customHeight="true" outlineLevel="0" collapsed="false">
      <c r="A588" s="65"/>
      <c r="V588" s="64"/>
    </row>
    <row r="589" customFormat="false" ht="26.25" hidden="false" customHeight="true" outlineLevel="0" collapsed="false">
      <c r="A589" s="65"/>
      <c r="V589" s="64"/>
    </row>
    <row r="590" customFormat="false" ht="26.25" hidden="false" customHeight="true" outlineLevel="0" collapsed="false">
      <c r="A590" s="65"/>
      <c r="V590" s="64"/>
    </row>
    <row r="591" customFormat="false" ht="26.25" hidden="false" customHeight="true" outlineLevel="0" collapsed="false">
      <c r="A591" s="65"/>
      <c r="V591" s="64"/>
    </row>
    <row r="592" customFormat="false" ht="26.25" hidden="false" customHeight="true" outlineLevel="0" collapsed="false">
      <c r="A592" s="65"/>
      <c r="V592" s="64"/>
    </row>
    <row r="593" customFormat="false" ht="26.25" hidden="false" customHeight="true" outlineLevel="0" collapsed="false">
      <c r="A593" s="65"/>
      <c r="V593" s="64"/>
    </row>
    <row r="594" customFormat="false" ht="26.25" hidden="false" customHeight="true" outlineLevel="0" collapsed="false">
      <c r="A594" s="65"/>
      <c r="V594" s="64"/>
    </row>
    <row r="595" customFormat="false" ht="26.25" hidden="false" customHeight="true" outlineLevel="0" collapsed="false">
      <c r="A595" s="65"/>
      <c r="V595" s="64"/>
    </row>
    <row r="596" customFormat="false" ht="26.25" hidden="false" customHeight="true" outlineLevel="0" collapsed="false">
      <c r="A596" s="65"/>
      <c r="V596" s="64"/>
    </row>
    <row r="597" customFormat="false" ht="26.25" hidden="false" customHeight="true" outlineLevel="0" collapsed="false">
      <c r="A597" s="65"/>
      <c r="V597" s="64"/>
    </row>
    <row r="598" customFormat="false" ht="26.25" hidden="false" customHeight="true" outlineLevel="0" collapsed="false">
      <c r="A598" s="65"/>
      <c r="V598" s="64"/>
    </row>
    <row r="599" customFormat="false" ht="26.25" hidden="false" customHeight="true" outlineLevel="0" collapsed="false">
      <c r="A599" s="65"/>
      <c r="V599" s="64"/>
    </row>
    <row r="600" customFormat="false" ht="26.25" hidden="false" customHeight="true" outlineLevel="0" collapsed="false">
      <c r="A600" s="65"/>
      <c r="V600" s="64"/>
    </row>
    <row r="601" customFormat="false" ht="26.25" hidden="false" customHeight="true" outlineLevel="0" collapsed="false">
      <c r="A601" s="65"/>
      <c r="V601" s="64"/>
    </row>
    <row r="602" customFormat="false" ht="26.25" hidden="false" customHeight="true" outlineLevel="0" collapsed="false">
      <c r="A602" s="65"/>
      <c r="V602" s="64"/>
    </row>
    <row r="603" customFormat="false" ht="26.25" hidden="false" customHeight="true" outlineLevel="0" collapsed="false">
      <c r="A603" s="65"/>
      <c r="V603" s="64"/>
    </row>
    <row r="604" customFormat="false" ht="26.25" hidden="false" customHeight="true" outlineLevel="0" collapsed="false">
      <c r="A604" s="65"/>
      <c r="V604" s="64"/>
    </row>
    <row r="605" customFormat="false" ht="26.25" hidden="false" customHeight="true" outlineLevel="0" collapsed="false">
      <c r="A605" s="65"/>
      <c r="V605" s="64"/>
    </row>
    <row r="606" customFormat="false" ht="26.25" hidden="false" customHeight="true" outlineLevel="0" collapsed="false">
      <c r="A606" s="65"/>
      <c r="V606" s="64"/>
    </row>
    <row r="607" customFormat="false" ht="26.25" hidden="false" customHeight="true" outlineLevel="0" collapsed="false">
      <c r="A607" s="65"/>
      <c r="V607" s="64"/>
    </row>
    <row r="608" customFormat="false" ht="26.25" hidden="false" customHeight="true" outlineLevel="0" collapsed="false">
      <c r="A608" s="65"/>
      <c r="V608" s="64"/>
    </row>
    <row r="609" customFormat="false" ht="26.25" hidden="false" customHeight="true" outlineLevel="0" collapsed="false">
      <c r="A609" s="65"/>
      <c r="V609" s="64"/>
    </row>
    <row r="610" customFormat="false" ht="26.25" hidden="false" customHeight="true" outlineLevel="0" collapsed="false">
      <c r="A610" s="65"/>
      <c r="V610" s="64"/>
    </row>
    <row r="611" customFormat="false" ht="26.25" hidden="false" customHeight="true" outlineLevel="0" collapsed="false">
      <c r="A611" s="65"/>
      <c r="V611" s="64"/>
    </row>
    <row r="612" customFormat="false" ht="26.25" hidden="false" customHeight="true" outlineLevel="0" collapsed="false">
      <c r="A612" s="65"/>
      <c r="V612" s="64"/>
    </row>
    <row r="613" customFormat="false" ht="26.25" hidden="false" customHeight="true" outlineLevel="0" collapsed="false">
      <c r="A613" s="65"/>
      <c r="V613" s="64"/>
    </row>
    <row r="614" customFormat="false" ht="26.25" hidden="false" customHeight="true" outlineLevel="0" collapsed="false">
      <c r="A614" s="65"/>
      <c r="V614" s="64"/>
    </row>
    <row r="615" customFormat="false" ht="26.25" hidden="false" customHeight="true" outlineLevel="0" collapsed="false">
      <c r="A615" s="65"/>
      <c r="V615" s="64"/>
    </row>
    <row r="616" customFormat="false" ht="26.25" hidden="false" customHeight="true" outlineLevel="0" collapsed="false">
      <c r="A616" s="65"/>
      <c r="V616" s="64"/>
    </row>
    <row r="617" customFormat="false" ht="26.25" hidden="false" customHeight="true" outlineLevel="0" collapsed="false">
      <c r="A617" s="65"/>
      <c r="V617" s="64"/>
    </row>
    <row r="618" customFormat="false" ht="26.25" hidden="false" customHeight="true" outlineLevel="0" collapsed="false">
      <c r="A618" s="65"/>
      <c r="V618" s="64"/>
    </row>
    <row r="619" customFormat="false" ht="26.25" hidden="false" customHeight="true" outlineLevel="0" collapsed="false">
      <c r="A619" s="65"/>
      <c r="V619" s="64"/>
    </row>
    <row r="620" customFormat="false" ht="26.25" hidden="false" customHeight="true" outlineLevel="0" collapsed="false">
      <c r="A620" s="65"/>
      <c r="V620" s="64"/>
    </row>
    <row r="621" customFormat="false" ht="26.25" hidden="false" customHeight="true" outlineLevel="0" collapsed="false">
      <c r="A621" s="65"/>
      <c r="V621" s="64"/>
    </row>
    <row r="622" customFormat="false" ht="26.25" hidden="false" customHeight="true" outlineLevel="0" collapsed="false">
      <c r="A622" s="65"/>
      <c r="V622" s="64"/>
    </row>
    <row r="623" customFormat="false" ht="26.25" hidden="false" customHeight="true" outlineLevel="0" collapsed="false">
      <c r="A623" s="65"/>
      <c r="V623" s="64"/>
    </row>
    <row r="624" customFormat="false" ht="26.25" hidden="false" customHeight="true" outlineLevel="0" collapsed="false">
      <c r="A624" s="65"/>
      <c r="V624" s="64"/>
    </row>
    <row r="625" customFormat="false" ht="26.25" hidden="false" customHeight="true" outlineLevel="0" collapsed="false">
      <c r="A625" s="65"/>
      <c r="V625" s="64"/>
    </row>
    <row r="626" customFormat="false" ht="26.25" hidden="false" customHeight="true" outlineLevel="0" collapsed="false">
      <c r="A626" s="65"/>
      <c r="V626" s="64"/>
    </row>
    <row r="627" customFormat="false" ht="26.25" hidden="false" customHeight="true" outlineLevel="0" collapsed="false">
      <c r="A627" s="65"/>
      <c r="V627" s="64"/>
    </row>
    <row r="628" customFormat="false" ht="26.25" hidden="false" customHeight="true" outlineLevel="0" collapsed="false">
      <c r="A628" s="65"/>
      <c r="V628" s="64"/>
    </row>
    <row r="629" customFormat="false" ht="26.25" hidden="false" customHeight="true" outlineLevel="0" collapsed="false">
      <c r="A629" s="65"/>
      <c r="V629" s="64"/>
    </row>
    <row r="630" customFormat="false" ht="26.25" hidden="false" customHeight="true" outlineLevel="0" collapsed="false">
      <c r="A630" s="65"/>
      <c r="V630" s="64"/>
    </row>
    <row r="631" customFormat="false" ht="26.25" hidden="false" customHeight="true" outlineLevel="0" collapsed="false">
      <c r="A631" s="65"/>
      <c r="V631" s="64"/>
    </row>
    <row r="632" customFormat="false" ht="26.25" hidden="false" customHeight="true" outlineLevel="0" collapsed="false">
      <c r="A632" s="65"/>
      <c r="V632" s="64"/>
    </row>
    <row r="633" customFormat="false" ht="26.25" hidden="false" customHeight="true" outlineLevel="0" collapsed="false">
      <c r="A633" s="65"/>
      <c r="V633" s="64"/>
    </row>
    <row r="634" customFormat="false" ht="26.25" hidden="false" customHeight="true" outlineLevel="0" collapsed="false">
      <c r="A634" s="65"/>
      <c r="V634" s="64"/>
    </row>
    <row r="635" customFormat="false" ht="26.25" hidden="false" customHeight="true" outlineLevel="0" collapsed="false">
      <c r="A635" s="65"/>
      <c r="V635" s="64"/>
    </row>
    <row r="636" customFormat="false" ht="26.25" hidden="false" customHeight="true" outlineLevel="0" collapsed="false">
      <c r="A636" s="65"/>
      <c r="V636" s="64"/>
    </row>
    <row r="637" customFormat="false" ht="26.25" hidden="false" customHeight="true" outlineLevel="0" collapsed="false">
      <c r="A637" s="65"/>
      <c r="V637" s="64"/>
    </row>
    <row r="638" customFormat="false" ht="26.25" hidden="false" customHeight="true" outlineLevel="0" collapsed="false">
      <c r="A638" s="65"/>
      <c r="V638" s="64"/>
    </row>
    <row r="639" customFormat="false" ht="26.25" hidden="false" customHeight="true" outlineLevel="0" collapsed="false">
      <c r="A639" s="65"/>
      <c r="V639" s="64"/>
    </row>
    <row r="640" customFormat="false" ht="26.25" hidden="false" customHeight="true" outlineLevel="0" collapsed="false">
      <c r="A640" s="65"/>
      <c r="V640" s="64"/>
    </row>
    <row r="641" customFormat="false" ht="26.25" hidden="false" customHeight="true" outlineLevel="0" collapsed="false">
      <c r="A641" s="65"/>
      <c r="V641" s="64"/>
    </row>
    <row r="642" customFormat="false" ht="26.25" hidden="false" customHeight="true" outlineLevel="0" collapsed="false">
      <c r="A642" s="65"/>
      <c r="V642" s="64"/>
    </row>
    <row r="643" customFormat="false" ht="26.25" hidden="false" customHeight="true" outlineLevel="0" collapsed="false">
      <c r="A643" s="65"/>
      <c r="V643" s="64"/>
    </row>
    <row r="644" customFormat="false" ht="26.25" hidden="false" customHeight="true" outlineLevel="0" collapsed="false">
      <c r="A644" s="65"/>
      <c r="V644" s="64"/>
    </row>
    <row r="645" customFormat="false" ht="26.25" hidden="false" customHeight="true" outlineLevel="0" collapsed="false">
      <c r="A645" s="65"/>
      <c r="V645" s="64"/>
    </row>
    <row r="646" customFormat="false" ht="26.25" hidden="false" customHeight="true" outlineLevel="0" collapsed="false">
      <c r="A646" s="65"/>
      <c r="V646" s="64"/>
    </row>
    <row r="647" customFormat="false" ht="26.25" hidden="false" customHeight="true" outlineLevel="0" collapsed="false">
      <c r="A647" s="65"/>
      <c r="V647" s="64"/>
    </row>
    <row r="648" customFormat="false" ht="26.25" hidden="false" customHeight="true" outlineLevel="0" collapsed="false">
      <c r="A648" s="65"/>
      <c r="V648" s="64"/>
    </row>
    <row r="649" customFormat="false" ht="26.25" hidden="false" customHeight="true" outlineLevel="0" collapsed="false">
      <c r="A649" s="65"/>
      <c r="V649" s="64"/>
    </row>
    <row r="650" customFormat="false" ht="26.25" hidden="false" customHeight="true" outlineLevel="0" collapsed="false">
      <c r="A650" s="65"/>
      <c r="V650" s="64"/>
    </row>
    <row r="651" customFormat="false" ht="26.25" hidden="false" customHeight="true" outlineLevel="0" collapsed="false">
      <c r="A651" s="65"/>
      <c r="V651" s="64"/>
    </row>
    <row r="652" customFormat="false" ht="26.25" hidden="false" customHeight="true" outlineLevel="0" collapsed="false">
      <c r="A652" s="65"/>
      <c r="V652" s="64"/>
    </row>
    <row r="653" customFormat="false" ht="26.25" hidden="false" customHeight="true" outlineLevel="0" collapsed="false">
      <c r="A653" s="65"/>
      <c r="V653" s="64"/>
    </row>
    <row r="654" customFormat="false" ht="26.25" hidden="false" customHeight="true" outlineLevel="0" collapsed="false">
      <c r="A654" s="65"/>
      <c r="V654" s="64"/>
    </row>
    <row r="655" customFormat="false" ht="26.25" hidden="false" customHeight="true" outlineLevel="0" collapsed="false">
      <c r="A655" s="65"/>
      <c r="V655" s="64"/>
    </row>
    <row r="656" customFormat="false" ht="26.25" hidden="false" customHeight="true" outlineLevel="0" collapsed="false">
      <c r="A656" s="65"/>
      <c r="V656" s="64"/>
    </row>
    <row r="657" customFormat="false" ht="26.25" hidden="false" customHeight="true" outlineLevel="0" collapsed="false">
      <c r="A657" s="65"/>
      <c r="V657" s="64"/>
    </row>
    <row r="658" customFormat="false" ht="26.25" hidden="false" customHeight="true" outlineLevel="0" collapsed="false">
      <c r="A658" s="65"/>
      <c r="V658" s="64"/>
    </row>
    <row r="659" customFormat="false" ht="26.25" hidden="false" customHeight="true" outlineLevel="0" collapsed="false">
      <c r="A659" s="65"/>
      <c r="V659" s="64"/>
    </row>
    <row r="660" customFormat="false" ht="26.25" hidden="false" customHeight="true" outlineLevel="0" collapsed="false">
      <c r="A660" s="65"/>
      <c r="V660" s="64"/>
    </row>
    <row r="661" customFormat="false" ht="26.25" hidden="false" customHeight="true" outlineLevel="0" collapsed="false">
      <c r="A661" s="65"/>
      <c r="V661" s="64"/>
    </row>
    <row r="662" customFormat="false" ht="26.25" hidden="false" customHeight="true" outlineLevel="0" collapsed="false">
      <c r="A662" s="65"/>
      <c r="V662" s="64"/>
    </row>
    <row r="663" customFormat="false" ht="26.25" hidden="false" customHeight="true" outlineLevel="0" collapsed="false">
      <c r="A663" s="65"/>
      <c r="V663" s="64"/>
    </row>
    <row r="664" customFormat="false" ht="26.25" hidden="false" customHeight="true" outlineLevel="0" collapsed="false">
      <c r="A664" s="65"/>
      <c r="V664" s="64"/>
    </row>
    <row r="665" customFormat="false" ht="26.25" hidden="false" customHeight="true" outlineLevel="0" collapsed="false">
      <c r="A665" s="65"/>
      <c r="V665" s="64"/>
    </row>
    <row r="666" customFormat="false" ht="26.25" hidden="false" customHeight="true" outlineLevel="0" collapsed="false">
      <c r="A666" s="65"/>
      <c r="V666" s="64"/>
    </row>
    <row r="667" customFormat="false" ht="26.25" hidden="false" customHeight="true" outlineLevel="0" collapsed="false">
      <c r="A667" s="65"/>
      <c r="V667" s="64"/>
    </row>
    <row r="668" customFormat="false" ht="26.25" hidden="false" customHeight="true" outlineLevel="0" collapsed="false">
      <c r="A668" s="65"/>
      <c r="V668" s="64"/>
    </row>
    <row r="669" customFormat="false" ht="26.25" hidden="false" customHeight="true" outlineLevel="0" collapsed="false">
      <c r="A669" s="65"/>
      <c r="V669" s="64"/>
    </row>
    <row r="670" customFormat="false" ht="26.25" hidden="false" customHeight="true" outlineLevel="0" collapsed="false">
      <c r="A670" s="65"/>
      <c r="V670" s="64"/>
    </row>
    <row r="671" customFormat="false" ht="26.25" hidden="false" customHeight="true" outlineLevel="0" collapsed="false">
      <c r="A671" s="65"/>
      <c r="V671" s="64"/>
    </row>
    <row r="672" customFormat="false" ht="26.25" hidden="false" customHeight="true" outlineLevel="0" collapsed="false">
      <c r="A672" s="65"/>
      <c r="V672" s="64"/>
    </row>
    <row r="673" customFormat="false" ht="26.25" hidden="false" customHeight="true" outlineLevel="0" collapsed="false">
      <c r="A673" s="65"/>
      <c r="V673" s="64"/>
    </row>
    <row r="674" customFormat="false" ht="26.25" hidden="false" customHeight="true" outlineLevel="0" collapsed="false">
      <c r="A674" s="65"/>
      <c r="V674" s="64"/>
    </row>
    <row r="675" customFormat="false" ht="26.25" hidden="false" customHeight="true" outlineLevel="0" collapsed="false">
      <c r="A675" s="65"/>
      <c r="V675" s="64"/>
    </row>
    <row r="676" customFormat="false" ht="26.25" hidden="false" customHeight="true" outlineLevel="0" collapsed="false">
      <c r="A676" s="65"/>
      <c r="V676" s="64"/>
    </row>
    <row r="677" customFormat="false" ht="26.25" hidden="false" customHeight="true" outlineLevel="0" collapsed="false">
      <c r="A677" s="65"/>
      <c r="V677" s="64"/>
    </row>
    <row r="678" customFormat="false" ht="26.25" hidden="false" customHeight="true" outlineLevel="0" collapsed="false">
      <c r="A678" s="65"/>
      <c r="V678" s="64"/>
    </row>
    <row r="679" customFormat="false" ht="26.25" hidden="false" customHeight="true" outlineLevel="0" collapsed="false">
      <c r="A679" s="65"/>
      <c r="V679" s="64"/>
    </row>
    <row r="680" customFormat="false" ht="26.25" hidden="false" customHeight="true" outlineLevel="0" collapsed="false">
      <c r="A680" s="65"/>
      <c r="V680" s="64"/>
    </row>
    <row r="681" customFormat="false" ht="26.25" hidden="false" customHeight="true" outlineLevel="0" collapsed="false">
      <c r="A681" s="65"/>
      <c r="V681" s="64"/>
    </row>
    <row r="682" customFormat="false" ht="26.25" hidden="false" customHeight="true" outlineLevel="0" collapsed="false">
      <c r="A682" s="65"/>
      <c r="V682" s="64"/>
    </row>
    <row r="683" customFormat="false" ht="26.25" hidden="false" customHeight="true" outlineLevel="0" collapsed="false">
      <c r="A683" s="65"/>
      <c r="V683" s="64"/>
    </row>
    <row r="684" customFormat="false" ht="26.25" hidden="false" customHeight="true" outlineLevel="0" collapsed="false">
      <c r="A684" s="65"/>
      <c r="V684" s="64"/>
    </row>
    <row r="685" customFormat="false" ht="26.25" hidden="false" customHeight="true" outlineLevel="0" collapsed="false">
      <c r="A685" s="65"/>
      <c r="V685" s="64"/>
    </row>
    <row r="686" customFormat="false" ht="26.25" hidden="false" customHeight="true" outlineLevel="0" collapsed="false">
      <c r="A686" s="65"/>
      <c r="V686" s="64"/>
    </row>
    <row r="687" customFormat="false" ht="26.25" hidden="false" customHeight="true" outlineLevel="0" collapsed="false">
      <c r="A687" s="65"/>
      <c r="V687" s="64"/>
    </row>
    <row r="688" customFormat="false" ht="26.25" hidden="false" customHeight="true" outlineLevel="0" collapsed="false">
      <c r="A688" s="65"/>
      <c r="V688" s="64"/>
    </row>
    <row r="689" customFormat="false" ht="26.25" hidden="false" customHeight="true" outlineLevel="0" collapsed="false">
      <c r="A689" s="65"/>
      <c r="V689" s="64"/>
    </row>
    <row r="690" customFormat="false" ht="26.25" hidden="false" customHeight="true" outlineLevel="0" collapsed="false">
      <c r="A690" s="65"/>
      <c r="V690" s="64"/>
    </row>
    <row r="691" customFormat="false" ht="26.25" hidden="false" customHeight="true" outlineLevel="0" collapsed="false">
      <c r="A691" s="65"/>
      <c r="V691" s="64"/>
    </row>
    <row r="692" customFormat="false" ht="26.25" hidden="false" customHeight="true" outlineLevel="0" collapsed="false">
      <c r="A692" s="65"/>
      <c r="V692" s="64"/>
    </row>
    <row r="693" customFormat="false" ht="26.25" hidden="false" customHeight="true" outlineLevel="0" collapsed="false">
      <c r="A693" s="65"/>
      <c r="V693" s="64"/>
    </row>
    <row r="694" customFormat="false" ht="26.25" hidden="false" customHeight="true" outlineLevel="0" collapsed="false">
      <c r="A694" s="65"/>
      <c r="V694" s="64"/>
    </row>
    <row r="695" customFormat="false" ht="26.25" hidden="false" customHeight="true" outlineLevel="0" collapsed="false">
      <c r="A695" s="65"/>
      <c r="V695" s="64"/>
    </row>
    <row r="696" customFormat="false" ht="26.25" hidden="false" customHeight="true" outlineLevel="0" collapsed="false">
      <c r="A696" s="65"/>
      <c r="V696" s="64"/>
    </row>
    <row r="697" customFormat="false" ht="26.25" hidden="false" customHeight="true" outlineLevel="0" collapsed="false">
      <c r="A697" s="65"/>
      <c r="V697" s="64"/>
    </row>
    <row r="698" customFormat="false" ht="26.25" hidden="false" customHeight="true" outlineLevel="0" collapsed="false">
      <c r="A698" s="65"/>
      <c r="V698" s="64"/>
    </row>
    <row r="699" customFormat="false" ht="26.25" hidden="false" customHeight="true" outlineLevel="0" collapsed="false">
      <c r="A699" s="65"/>
      <c r="V699" s="64"/>
    </row>
    <row r="700" customFormat="false" ht="26.25" hidden="false" customHeight="true" outlineLevel="0" collapsed="false">
      <c r="A700" s="65"/>
      <c r="V700" s="64"/>
    </row>
    <row r="701" customFormat="false" ht="26.25" hidden="false" customHeight="true" outlineLevel="0" collapsed="false">
      <c r="A701" s="65"/>
      <c r="V701" s="64"/>
    </row>
    <row r="702" customFormat="false" ht="26.25" hidden="false" customHeight="true" outlineLevel="0" collapsed="false">
      <c r="A702" s="65"/>
      <c r="V702" s="64"/>
    </row>
    <row r="703" customFormat="false" ht="26.25" hidden="false" customHeight="true" outlineLevel="0" collapsed="false">
      <c r="A703" s="65"/>
      <c r="V703" s="64"/>
    </row>
    <row r="704" customFormat="false" ht="26.25" hidden="false" customHeight="true" outlineLevel="0" collapsed="false">
      <c r="A704" s="65"/>
      <c r="V704" s="64"/>
    </row>
    <row r="705" customFormat="false" ht="26.25" hidden="false" customHeight="true" outlineLevel="0" collapsed="false">
      <c r="A705" s="65"/>
      <c r="V705" s="64"/>
    </row>
    <row r="706" customFormat="false" ht="26.25" hidden="false" customHeight="true" outlineLevel="0" collapsed="false">
      <c r="A706" s="65"/>
      <c r="V706" s="64"/>
    </row>
    <row r="707" customFormat="false" ht="26.25" hidden="false" customHeight="true" outlineLevel="0" collapsed="false">
      <c r="A707" s="65"/>
      <c r="V707" s="64"/>
    </row>
    <row r="708" customFormat="false" ht="26.25" hidden="false" customHeight="true" outlineLevel="0" collapsed="false">
      <c r="A708" s="65"/>
      <c r="V708" s="64"/>
    </row>
    <row r="709" customFormat="false" ht="26.25" hidden="false" customHeight="true" outlineLevel="0" collapsed="false">
      <c r="A709" s="65"/>
      <c r="V709" s="64"/>
    </row>
    <row r="710" customFormat="false" ht="26.25" hidden="false" customHeight="true" outlineLevel="0" collapsed="false">
      <c r="A710" s="65"/>
      <c r="V710" s="64"/>
    </row>
    <row r="711" customFormat="false" ht="26.25" hidden="false" customHeight="true" outlineLevel="0" collapsed="false">
      <c r="A711" s="65"/>
      <c r="V711" s="64"/>
    </row>
    <row r="712" customFormat="false" ht="26.25" hidden="false" customHeight="true" outlineLevel="0" collapsed="false">
      <c r="A712" s="65"/>
      <c r="V712" s="64"/>
    </row>
    <row r="713" customFormat="false" ht="26.25" hidden="false" customHeight="true" outlineLevel="0" collapsed="false">
      <c r="A713" s="65"/>
      <c r="V713" s="64"/>
    </row>
    <row r="714" customFormat="false" ht="26.25" hidden="false" customHeight="true" outlineLevel="0" collapsed="false">
      <c r="A714" s="65"/>
      <c r="V714" s="64"/>
    </row>
    <row r="715" customFormat="false" ht="26.25" hidden="false" customHeight="true" outlineLevel="0" collapsed="false">
      <c r="A715" s="65"/>
      <c r="V715" s="64"/>
    </row>
    <row r="716" customFormat="false" ht="26.25" hidden="false" customHeight="true" outlineLevel="0" collapsed="false">
      <c r="A716" s="65"/>
      <c r="V716" s="64"/>
    </row>
    <row r="717" customFormat="false" ht="26.25" hidden="false" customHeight="true" outlineLevel="0" collapsed="false">
      <c r="A717" s="65"/>
      <c r="V717" s="64"/>
    </row>
    <row r="718" customFormat="false" ht="26.25" hidden="false" customHeight="true" outlineLevel="0" collapsed="false">
      <c r="A718" s="65"/>
      <c r="V718" s="64"/>
    </row>
    <row r="719" customFormat="false" ht="26.25" hidden="false" customHeight="true" outlineLevel="0" collapsed="false">
      <c r="A719" s="65"/>
      <c r="V719" s="64"/>
    </row>
    <row r="720" customFormat="false" ht="26.25" hidden="false" customHeight="true" outlineLevel="0" collapsed="false">
      <c r="A720" s="65"/>
      <c r="V720" s="64"/>
    </row>
    <row r="721" customFormat="false" ht="26.25" hidden="false" customHeight="true" outlineLevel="0" collapsed="false">
      <c r="A721" s="65"/>
      <c r="V721" s="64"/>
    </row>
    <row r="722" customFormat="false" ht="26.25" hidden="false" customHeight="true" outlineLevel="0" collapsed="false">
      <c r="A722" s="65"/>
      <c r="V722" s="64"/>
    </row>
    <row r="723" customFormat="false" ht="26.25" hidden="false" customHeight="true" outlineLevel="0" collapsed="false">
      <c r="A723" s="65"/>
      <c r="V723" s="64"/>
    </row>
    <row r="724" customFormat="false" ht="26.25" hidden="false" customHeight="true" outlineLevel="0" collapsed="false">
      <c r="A724" s="65"/>
      <c r="V724" s="64"/>
    </row>
    <row r="725" customFormat="false" ht="26.25" hidden="false" customHeight="true" outlineLevel="0" collapsed="false">
      <c r="A725" s="65"/>
      <c r="V725" s="64"/>
    </row>
    <row r="726" customFormat="false" ht="26.25" hidden="false" customHeight="true" outlineLevel="0" collapsed="false">
      <c r="A726" s="65"/>
      <c r="V726" s="64"/>
    </row>
    <row r="727" customFormat="false" ht="26.25" hidden="false" customHeight="true" outlineLevel="0" collapsed="false">
      <c r="A727" s="65"/>
      <c r="V727" s="64"/>
    </row>
    <row r="728" customFormat="false" ht="26.25" hidden="false" customHeight="true" outlineLevel="0" collapsed="false">
      <c r="A728" s="65"/>
      <c r="V728" s="64"/>
    </row>
    <row r="729" customFormat="false" ht="26.25" hidden="false" customHeight="true" outlineLevel="0" collapsed="false">
      <c r="A729" s="65"/>
      <c r="V729" s="64"/>
    </row>
    <row r="730" customFormat="false" ht="26.25" hidden="false" customHeight="true" outlineLevel="0" collapsed="false">
      <c r="A730" s="65"/>
      <c r="V730" s="64"/>
    </row>
    <row r="731" customFormat="false" ht="26.25" hidden="false" customHeight="true" outlineLevel="0" collapsed="false">
      <c r="A731" s="65"/>
      <c r="V731" s="64"/>
    </row>
    <row r="732" customFormat="false" ht="26.25" hidden="false" customHeight="true" outlineLevel="0" collapsed="false">
      <c r="A732" s="65"/>
      <c r="V732" s="64"/>
    </row>
    <row r="733" customFormat="false" ht="26.25" hidden="false" customHeight="true" outlineLevel="0" collapsed="false">
      <c r="A733" s="65"/>
      <c r="V733" s="64"/>
    </row>
    <row r="734" customFormat="false" ht="26.25" hidden="false" customHeight="true" outlineLevel="0" collapsed="false">
      <c r="A734" s="65"/>
      <c r="V734" s="64"/>
    </row>
    <row r="735" customFormat="false" ht="26.25" hidden="false" customHeight="true" outlineLevel="0" collapsed="false">
      <c r="A735" s="65"/>
      <c r="V735" s="64"/>
    </row>
    <row r="736" customFormat="false" ht="26.25" hidden="false" customHeight="true" outlineLevel="0" collapsed="false">
      <c r="A736" s="65"/>
      <c r="V736" s="64"/>
    </row>
    <row r="737" customFormat="false" ht="26.25" hidden="false" customHeight="true" outlineLevel="0" collapsed="false">
      <c r="A737" s="65"/>
      <c r="V737" s="64"/>
    </row>
    <row r="738" customFormat="false" ht="26.25" hidden="false" customHeight="true" outlineLevel="0" collapsed="false">
      <c r="A738" s="65"/>
      <c r="V738" s="64"/>
    </row>
    <row r="739" customFormat="false" ht="26.25" hidden="false" customHeight="true" outlineLevel="0" collapsed="false">
      <c r="A739" s="65"/>
      <c r="V739" s="64"/>
    </row>
    <row r="740" customFormat="false" ht="26.25" hidden="false" customHeight="true" outlineLevel="0" collapsed="false">
      <c r="A740" s="65"/>
      <c r="V740" s="64"/>
    </row>
    <row r="741" customFormat="false" ht="26.25" hidden="false" customHeight="true" outlineLevel="0" collapsed="false">
      <c r="A741" s="65"/>
      <c r="V741" s="64"/>
    </row>
    <row r="742" customFormat="false" ht="26.25" hidden="false" customHeight="true" outlineLevel="0" collapsed="false">
      <c r="A742" s="65"/>
      <c r="V742" s="64"/>
    </row>
    <row r="743" customFormat="false" ht="26.25" hidden="false" customHeight="true" outlineLevel="0" collapsed="false">
      <c r="A743" s="65"/>
      <c r="V743" s="64"/>
    </row>
    <row r="744" customFormat="false" ht="26.25" hidden="false" customHeight="true" outlineLevel="0" collapsed="false">
      <c r="A744" s="65"/>
      <c r="V744" s="64"/>
    </row>
    <row r="745" customFormat="false" ht="26.25" hidden="false" customHeight="true" outlineLevel="0" collapsed="false">
      <c r="A745" s="65"/>
      <c r="V745" s="64"/>
    </row>
    <row r="746" customFormat="false" ht="26.25" hidden="false" customHeight="true" outlineLevel="0" collapsed="false">
      <c r="A746" s="65"/>
      <c r="V746" s="64"/>
    </row>
    <row r="747" customFormat="false" ht="26.25" hidden="false" customHeight="true" outlineLevel="0" collapsed="false">
      <c r="A747" s="65"/>
      <c r="V747" s="64"/>
    </row>
    <row r="748" customFormat="false" ht="26.25" hidden="false" customHeight="true" outlineLevel="0" collapsed="false">
      <c r="A748" s="65"/>
      <c r="V748" s="64"/>
    </row>
    <row r="749" customFormat="false" ht="26.25" hidden="false" customHeight="true" outlineLevel="0" collapsed="false">
      <c r="A749" s="65"/>
      <c r="V749" s="64"/>
    </row>
    <row r="750" customFormat="false" ht="26.25" hidden="false" customHeight="true" outlineLevel="0" collapsed="false">
      <c r="A750" s="65"/>
      <c r="V750" s="64"/>
    </row>
    <row r="751" customFormat="false" ht="26.25" hidden="false" customHeight="true" outlineLevel="0" collapsed="false">
      <c r="A751" s="65"/>
      <c r="V751" s="64"/>
    </row>
    <row r="752" customFormat="false" ht="26.25" hidden="false" customHeight="true" outlineLevel="0" collapsed="false">
      <c r="A752" s="65"/>
      <c r="V752" s="64"/>
    </row>
    <row r="753" customFormat="false" ht="26.25" hidden="false" customHeight="true" outlineLevel="0" collapsed="false">
      <c r="A753" s="65"/>
      <c r="V753" s="64"/>
    </row>
    <row r="754" customFormat="false" ht="26.25" hidden="false" customHeight="true" outlineLevel="0" collapsed="false">
      <c r="A754" s="65"/>
      <c r="V754" s="64"/>
    </row>
    <row r="755" customFormat="false" ht="26.25" hidden="false" customHeight="true" outlineLevel="0" collapsed="false">
      <c r="A755" s="65"/>
      <c r="V755" s="64"/>
    </row>
    <row r="756" customFormat="false" ht="26.25" hidden="false" customHeight="true" outlineLevel="0" collapsed="false">
      <c r="A756" s="65"/>
      <c r="V756" s="64"/>
    </row>
    <row r="757" customFormat="false" ht="26.25" hidden="false" customHeight="true" outlineLevel="0" collapsed="false">
      <c r="A757" s="65"/>
      <c r="V757" s="64"/>
    </row>
    <row r="758" customFormat="false" ht="26.25" hidden="false" customHeight="true" outlineLevel="0" collapsed="false">
      <c r="A758" s="65"/>
      <c r="V758" s="64"/>
    </row>
    <row r="759" customFormat="false" ht="26.25" hidden="false" customHeight="true" outlineLevel="0" collapsed="false">
      <c r="A759" s="65"/>
      <c r="V759" s="64"/>
    </row>
    <row r="760" customFormat="false" ht="26.25" hidden="false" customHeight="true" outlineLevel="0" collapsed="false">
      <c r="A760" s="65"/>
      <c r="V760" s="64"/>
    </row>
    <row r="761" customFormat="false" ht="26.25" hidden="false" customHeight="true" outlineLevel="0" collapsed="false">
      <c r="A761" s="65"/>
      <c r="V761" s="64"/>
    </row>
    <row r="762" customFormat="false" ht="26.25" hidden="false" customHeight="true" outlineLevel="0" collapsed="false">
      <c r="A762" s="65"/>
      <c r="V762" s="64"/>
    </row>
    <row r="763" customFormat="false" ht="26.25" hidden="false" customHeight="true" outlineLevel="0" collapsed="false">
      <c r="A763" s="65"/>
      <c r="V763" s="64"/>
    </row>
    <row r="764" customFormat="false" ht="26.25" hidden="false" customHeight="true" outlineLevel="0" collapsed="false">
      <c r="A764" s="65"/>
      <c r="V764" s="64"/>
    </row>
    <row r="765" customFormat="false" ht="26.25" hidden="false" customHeight="true" outlineLevel="0" collapsed="false">
      <c r="A765" s="65"/>
      <c r="V765" s="64"/>
    </row>
    <row r="766" customFormat="false" ht="26.25" hidden="false" customHeight="true" outlineLevel="0" collapsed="false">
      <c r="A766" s="65"/>
      <c r="V766" s="64"/>
    </row>
    <row r="767" customFormat="false" ht="26.25" hidden="false" customHeight="true" outlineLevel="0" collapsed="false">
      <c r="A767" s="65"/>
      <c r="V767" s="64"/>
    </row>
    <row r="768" customFormat="false" ht="26.25" hidden="false" customHeight="true" outlineLevel="0" collapsed="false">
      <c r="A768" s="65"/>
      <c r="V768" s="64"/>
    </row>
    <row r="769" customFormat="false" ht="26.25" hidden="false" customHeight="true" outlineLevel="0" collapsed="false">
      <c r="A769" s="65"/>
      <c r="V769" s="64"/>
    </row>
    <row r="770" customFormat="false" ht="26.25" hidden="false" customHeight="true" outlineLevel="0" collapsed="false">
      <c r="A770" s="65"/>
      <c r="V770" s="64"/>
    </row>
    <row r="771" customFormat="false" ht="26.25" hidden="false" customHeight="true" outlineLevel="0" collapsed="false">
      <c r="A771" s="65"/>
      <c r="V771" s="64"/>
    </row>
    <row r="772" customFormat="false" ht="26.25" hidden="false" customHeight="true" outlineLevel="0" collapsed="false">
      <c r="A772" s="65"/>
      <c r="V772" s="64"/>
    </row>
    <row r="773" customFormat="false" ht="26.25" hidden="false" customHeight="true" outlineLevel="0" collapsed="false">
      <c r="A773" s="65"/>
      <c r="V773" s="64"/>
    </row>
    <row r="774" customFormat="false" ht="26.25" hidden="false" customHeight="true" outlineLevel="0" collapsed="false">
      <c r="A774" s="65"/>
      <c r="V774" s="64"/>
    </row>
    <row r="775" customFormat="false" ht="26.25" hidden="false" customHeight="true" outlineLevel="0" collapsed="false">
      <c r="A775" s="65"/>
      <c r="V775" s="64"/>
    </row>
    <row r="776" customFormat="false" ht="26.25" hidden="false" customHeight="true" outlineLevel="0" collapsed="false">
      <c r="A776" s="65"/>
      <c r="V776" s="64"/>
    </row>
    <row r="777" customFormat="false" ht="26.25" hidden="false" customHeight="true" outlineLevel="0" collapsed="false">
      <c r="A777" s="65"/>
      <c r="V777" s="64"/>
    </row>
    <row r="778" customFormat="false" ht="26.25" hidden="false" customHeight="true" outlineLevel="0" collapsed="false">
      <c r="A778" s="65"/>
      <c r="V778" s="64"/>
    </row>
    <row r="779" customFormat="false" ht="26.25" hidden="false" customHeight="true" outlineLevel="0" collapsed="false">
      <c r="A779" s="65"/>
      <c r="V779" s="64"/>
    </row>
    <row r="780" customFormat="false" ht="26.25" hidden="false" customHeight="true" outlineLevel="0" collapsed="false">
      <c r="A780" s="65"/>
      <c r="V780" s="64"/>
    </row>
    <row r="781" customFormat="false" ht="26.25" hidden="false" customHeight="true" outlineLevel="0" collapsed="false">
      <c r="A781" s="65"/>
      <c r="V781" s="64"/>
    </row>
    <row r="782" customFormat="false" ht="26.25" hidden="false" customHeight="true" outlineLevel="0" collapsed="false">
      <c r="A782" s="65"/>
      <c r="V782" s="64"/>
    </row>
    <row r="783" customFormat="false" ht="26.25" hidden="false" customHeight="true" outlineLevel="0" collapsed="false">
      <c r="A783" s="65"/>
      <c r="V783" s="64"/>
    </row>
    <row r="784" customFormat="false" ht="26.25" hidden="false" customHeight="true" outlineLevel="0" collapsed="false">
      <c r="A784" s="65"/>
      <c r="V784" s="64"/>
    </row>
    <row r="785" customFormat="false" ht="26.25" hidden="false" customHeight="true" outlineLevel="0" collapsed="false">
      <c r="A785" s="65"/>
      <c r="V785" s="64"/>
    </row>
    <row r="786" customFormat="false" ht="26.25" hidden="false" customHeight="true" outlineLevel="0" collapsed="false">
      <c r="A786" s="65"/>
      <c r="V786" s="64"/>
    </row>
    <row r="787" customFormat="false" ht="26.25" hidden="false" customHeight="true" outlineLevel="0" collapsed="false">
      <c r="A787" s="65"/>
      <c r="V787" s="64"/>
    </row>
    <row r="788" customFormat="false" ht="26.25" hidden="false" customHeight="true" outlineLevel="0" collapsed="false">
      <c r="A788" s="65"/>
      <c r="V788" s="64"/>
    </row>
    <row r="789" customFormat="false" ht="26.25" hidden="false" customHeight="true" outlineLevel="0" collapsed="false">
      <c r="A789" s="65"/>
      <c r="V789" s="64"/>
    </row>
    <row r="790" customFormat="false" ht="26.25" hidden="false" customHeight="true" outlineLevel="0" collapsed="false">
      <c r="A790" s="65"/>
      <c r="V790" s="64"/>
    </row>
    <row r="791" customFormat="false" ht="26.25" hidden="false" customHeight="true" outlineLevel="0" collapsed="false">
      <c r="A791" s="65"/>
      <c r="V791" s="64"/>
    </row>
    <row r="792" customFormat="false" ht="26.25" hidden="false" customHeight="true" outlineLevel="0" collapsed="false">
      <c r="A792" s="65"/>
      <c r="V792" s="64"/>
    </row>
    <row r="793" customFormat="false" ht="26.25" hidden="false" customHeight="true" outlineLevel="0" collapsed="false">
      <c r="A793" s="65"/>
      <c r="V793" s="64"/>
    </row>
    <row r="794" customFormat="false" ht="26.25" hidden="false" customHeight="true" outlineLevel="0" collapsed="false">
      <c r="A794" s="65"/>
      <c r="V794" s="64"/>
    </row>
    <row r="795" customFormat="false" ht="26.25" hidden="false" customHeight="true" outlineLevel="0" collapsed="false">
      <c r="A795" s="65"/>
      <c r="V795" s="64"/>
    </row>
    <row r="796" customFormat="false" ht="26.25" hidden="false" customHeight="true" outlineLevel="0" collapsed="false">
      <c r="A796" s="65"/>
      <c r="V796" s="64"/>
    </row>
    <row r="797" customFormat="false" ht="26.25" hidden="false" customHeight="true" outlineLevel="0" collapsed="false">
      <c r="A797" s="65"/>
      <c r="V797" s="64"/>
    </row>
    <row r="798" customFormat="false" ht="26.25" hidden="false" customHeight="true" outlineLevel="0" collapsed="false">
      <c r="A798" s="65"/>
      <c r="V798" s="64"/>
    </row>
    <row r="799" customFormat="false" ht="26.25" hidden="false" customHeight="true" outlineLevel="0" collapsed="false">
      <c r="A799" s="65"/>
      <c r="V799" s="64"/>
    </row>
    <row r="800" customFormat="false" ht="26.25" hidden="false" customHeight="true" outlineLevel="0" collapsed="false">
      <c r="A800" s="65"/>
      <c r="V800" s="64"/>
    </row>
    <row r="801" customFormat="false" ht="26.25" hidden="false" customHeight="true" outlineLevel="0" collapsed="false">
      <c r="A801" s="65"/>
      <c r="V801" s="64"/>
    </row>
    <row r="802" customFormat="false" ht="26.25" hidden="false" customHeight="true" outlineLevel="0" collapsed="false">
      <c r="A802" s="65"/>
      <c r="V802" s="64"/>
    </row>
    <row r="803" customFormat="false" ht="26.25" hidden="false" customHeight="true" outlineLevel="0" collapsed="false">
      <c r="A803" s="65"/>
      <c r="V803" s="64"/>
    </row>
    <row r="804" customFormat="false" ht="26.25" hidden="false" customHeight="true" outlineLevel="0" collapsed="false">
      <c r="A804" s="65"/>
      <c r="V804" s="64"/>
    </row>
    <row r="805" customFormat="false" ht="26.25" hidden="false" customHeight="true" outlineLevel="0" collapsed="false">
      <c r="A805" s="65"/>
      <c r="V805" s="64"/>
    </row>
    <row r="806" customFormat="false" ht="26.25" hidden="false" customHeight="true" outlineLevel="0" collapsed="false">
      <c r="A806" s="65"/>
      <c r="V806" s="64"/>
    </row>
    <row r="807" customFormat="false" ht="26.25" hidden="false" customHeight="true" outlineLevel="0" collapsed="false">
      <c r="A807" s="65"/>
      <c r="V807" s="64"/>
    </row>
    <row r="808" customFormat="false" ht="26.25" hidden="false" customHeight="true" outlineLevel="0" collapsed="false">
      <c r="A808" s="65"/>
      <c r="V808" s="64"/>
    </row>
    <row r="809" customFormat="false" ht="26.25" hidden="false" customHeight="true" outlineLevel="0" collapsed="false">
      <c r="A809" s="65"/>
      <c r="V809" s="64"/>
    </row>
    <row r="810" customFormat="false" ht="26.25" hidden="false" customHeight="true" outlineLevel="0" collapsed="false">
      <c r="A810" s="65"/>
      <c r="V810" s="64"/>
    </row>
    <row r="811" customFormat="false" ht="26.25" hidden="false" customHeight="true" outlineLevel="0" collapsed="false">
      <c r="A811" s="65"/>
      <c r="V811" s="64"/>
    </row>
    <row r="812" customFormat="false" ht="26.25" hidden="false" customHeight="true" outlineLevel="0" collapsed="false">
      <c r="A812" s="65"/>
      <c r="V812" s="64"/>
    </row>
    <row r="813" customFormat="false" ht="26.25" hidden="false" customHeight="true" outlineLevel="0" collapsed="false">
      <c r="A813" s="65"/>
      <c r="V813" s="64"/>
    </row>
    <row r="814" customFormat="false" ht="26.25" hidden="false" customHeight="true" outlineLevel="0" collapsed="false">
      <c r="A814" s="65"/>
      <c r="V814" s="64"/>
    </row>
    <row r="815" customFormat="false" ht="26.25" hidden="false" customHeight="true" outlineLevel="0" collapsed="false">
      <c r="A815" s="65"/>
      <c r="V815" s="64"/>
    </row>
    <row r="816" customFormat="false" ht="26.25" hidden="false" customHeight="true" outlineLevel="0" collapsed="false">
      <c r="A816" s="65"/>
      <c r="V816" s="64"/>
    </row>
    <row r="817" customFormat="false" ht="26.25" hidden="false" customHeight="true" outlineLevel="0" collapsed="false">
      <c r="A817" s="65"/>
      <c r="V817" s="64"/>
    </row>
    <row r="818" customFormat="false" ht="26.25" hidden="false" customHeight="true" outlineLevel="0" collapsed="false">
      <c r="A818" s="65"/>
      <c r="V818" s="64"/>
    </row>
    <row r="819" customFormat="false" ht="26.25" hidden="false" customHeight="true" outlineLevel="0" collapsed="false">
      <c r="A819" s="65"/>
      <c r="V819" s="64"/>
    </row>
    <row r="820" customFormat="false" ht="26.25" hidden="false" customHeight="true" outlineLevel="0" collapsed="false">
      <c r="A820" s="65"/>
      <c r="V820" s="64"/>
    </row>
    <row r="821" customFormat="false" ht="26.25" hidden="false" customHeight="true" outlineLevel="0" collapsed="false">
      <c r="A821" s="65"/>
      <c r="V821" s="64"/>
    </row>
    <row r="822" customFormat="false" ht="26.25" hidden="false" customHeight="true" outlineLevel="0" collapsed="false">
      <c r="A822" s="65"/>
      <c r="V822" s="64"/>
    </row>
    <row r="823" customFormat="false" ht="26.25" hidden="false" customHeight="true" outlineLevel="0" collapsed="false">
      <c r="A823" s="65"/>
      <c r="V823" s="64"/>
    </row>
    <row r="824" customFormat="false" ht="26.25" hidden="false" customHeight="true" outlineLevel="0" collapsed="false">
      <c r="A824" s="65"/>
      <c r="V824" s="64"/>
    </row>
    <row r="825" customFormat="false" ht="26.25" hidden="false" customHeight="true" outlineLevel="0" collapsed="false">
      <c r="A825" s="65"/>
      <c r="V825" s="64"/>
    </row>
    <row r="826" customFormat="false" ht="26.25" hidden="false" customHeight="true" outlineLevel="0" collapsed="false">
      <c r="A826" s="65"/>
      <c r="V826" s="64"/>
    </row>
    <row r="827" customFormat="false" ht="26.25" hidden="false" customHeight="true" outlineLevel="0" collapsed="false">
      <c r="A827" s="65"/>
      <c r="V827" s="64"/>
    </row>
    <row r="828" customFormat="false" ht="26.25" hidden="false" customHeight="true" outlineLevel="0" collapsed="false">
      <c r="A828" s="65"/>
      <c r="V828" s="64"/>
    </row>
    <row r="829" customFormat="false" ht="26.25" hidden="false" customHeight="true" outlineLevel="0" collapsed="false">
      <c r="A829" s="65"/>
      <c r="V829" s="64"/>
    </row>
    <row r="830" customFormat="false" ht="26.25" hidden="false" customHeight="true" outlineLevel="0" collapsed="false">
      <c r="A830" s="65"/>
      <c r="V830" s="64"/>
    </row>
    <row r="831" customFormat="false" ht="26.25" hidden="false" customHeight="true" outlineLevel="0" collapsed="false">
      <c r="A831" s="65"/>
      <c r="V831" s="64"/>
    </row>
    <row r="832" customFormat="false" ht="26.25" hidden="false" customHeight="true" outlineLevel="0" collapsed="false">
      <c r="A832" s="65"/>
      <c r="V832" s="64"/>
    </row>
    <row r="833" customFormat="false" ht="26.25" hidden="false" customHeight="true" outlineLevel="0" collapsed="false">
      <c r="A833" s="65"/>
      <c r="V833" s="64"/>
    </row>
    <row r="834" customFormat="false" ht="26.25" hidden="false" customHeight="true" outlineLevel="0" collapsed="false">
      <c r="A834" s="65"/>
      <c r="V834" s="64"/>
    </row>
    <row r="835" customFormat="false" ht="26.25" hidden="false" customHeight="true" outlineLevel="0" collapsed="false">
      <c r="A835" s="65"/>
      <c r="V835" s="64"/>
    </row>
    <row r="836" customFormat="false" ht="26.25" hidden="false" customHeight="true" outlineLevel="0" collapsed="false">
      <c r="A836" s="65"/>
      <c r="V836" s="64"/>
    </row>
    <row r="837" customFormat="false" ht="26.25" hidden="false" customHeight="true" outlineLevel="0" collapsed="false">
      <c r="A837" s="65"/>
      <c r="V837" s="64"/>
    </row>
    <row r="838" customFormat="false" ht="26.25" hidden="false" customHeight="true" outlineLevel="0" collapsed="false">
      <c r="A838" s="65"/>
      <c r="V838" s="64"/>
    </row>
    <row r="839" customFormat="false" ht="26.25" hidden="false" customHeight="true" outlineLevel="0" collapsed="false">
      <c r="A839" s="65"/>
      <c r="V839" s="64"/>
    </row>
    <row r="840" customFormat="false" ht="26.25" hidden="false" customHeight="true" outlineLevel="0" collapsed="false">
      <c r="A840" s="65"/>
      <c r="V840" s="64"/>
    </row>
    <row r="841" customFormat="false" ht="26.25" hidden="false" customHeight="true" outlineLevel="0" collapsed="false">
      <c r="A841" s="65"/>
      <c r="V841" s="64"/>
    </row>
    <row r="842" customFormat="false" ht="26.25" hidden="false" customHeight="true" outlineLevel="0" collapsed="false">
      <c r="A842" s="65"/>
      <c r="V842" s="64"/>
    </row>
    <row r="843" customFormat="false" ht="26.25" hidden="false" customHeight="true" outlineLevel="0" collapsed="false">
      <c r="A843" s="65"/>
      <c r="V843" s="64"/>
    </row>
    <row r="844" customFormat="false" ht="26.25" hidden="false" customHeight="true" outlineLevel="0" collapsed="false">
      <c r="A844" s="65"/>
      <c r="V844" s="64"/>
    </row>
    <row r="845" customFormat="false" ht="26.25" hidden="false" customHeight="true" outlineLevel="0" collapsed="false">
      <c r="A845" s="65"/>
      <c r="V845" s="64"/>
    </row>
    <row r="846" customFormat="false" ht="26.25" hidden="false" customHeight="true" outlineLevel="0" collapsed="false">
      <c r="A846" s="65"/>
      <c r="V846" s="64"/>
    </row>
    <row r="847" customFormat="false" ht="26.25" hidden="false" customHeight="true" outlineLevel="0" collapsed="false">
      <c r="A847" s="65"/>
      <c r="V847" s="64"/>
    </row>
    <row r="848" customFormat="false" ht="26.25" hidden="false" customHeight="true" outlineLevel="0" collapsed="false">
      <c r="A848" s="65"/>
      <c r="V848" s="64"/>
    </row>
    <row r="849" customFormat="false" ht="26.25" hidden="false" customHeight="true" outlineLevel="0" collapsed="false">
      <c r="A849" s="65"/>
      <c r="V849" s="64"/>
    </row>
    <row r="850" customFormat="false" ht="26.25" hidden="false" customHeight="true" outlineLevel="0" collapsed="false">
      <c r="A850" s="65"/>
      <c r="V850" s="64"/>
    </row>
    <row r="851" customFormat="false" ht="26.25" hidden="false" customHeight="true" outlineLevel="0" collapsed="false">
      <c r="A851" s="65"/>
      <c r="V851" s="64"/>
    </row>
    <row r="852" customFormat="false" ht="26.25" hidden="false" customHeight="true" outlineLevel="0" collapsed="false">
      <c r="A852" s="65"/>
      <c r="V852" s="64"/>
    </row>
    <row r="853" customFormat="false" ht="26.25" hidden="false" customHeight="true" outlineLevel="0" collapsed="false">
      <c r="A853" s="65"/>
      <c r="V853" s="64"/>
    </row>
    <row r="854" customFormat="false" ht="26.25" hidden="false" customHeight="true" outlineLevel="0" collapsed="false">
      <c r="A854" s="65"/>
      <c r="V854" s="64"/>
    </row>
    <row r="855" customFormat="false" ht="26.25" hidden="false" customHeight="true" outlineLevel="0" collapsed="false">
      <c r="A855" s="65"/>
      <c r="V855" s="64"/>
    </row>
    <row r="856" customFormat="false" ht="26.25" hidden="false" customHeight="true" outlineLevel="0" collapsed="false">
      <c r="A856" s="65"/>
      <c r="V856" s="64"/>
    </row>
    <row r="857" customFormat="false" ht="26.25" hidden="false" customHeight="true" outlineLevel="0" collapsed="false">
      <c r="A857" s="65"/>
      <c r="V857" s="64"/>
    </row>
    <row r="858" customFormat="false" ht="26.25" hidden="false" customHeight="true" outlineLevel="0" collapsed="false">
      <c r="A858" s="65"/>
      <c r="V858" s="64"/>
    </row>
    <row r="859" customFormat="false" ht="26.25" hidden="false" customHeight="true" outlineLevel="0" collapsed="false">
      <c r="A859" s="65"/>
      <c r="V859" s="64"/>
    </row>
    <row r="860" customFormat="false" ht="26.25" hidden="false" customHeight="true" outlineLevel="0" collapsed="false">
      <c r="A860" s="65"/>
      <c r="V860" s="64"/>
    </row>
    <row r="861" customFormat="false" ht="26.25" hidden="false" customHeight="true" outlineLevel="0" collapsed="false">
      <c r="A861" s="65"/>
      <c r="V861" s="64"/>
    </row>
    <row r="862" customFormat="false" ht="26.25" hidden="false" customHeight="true" outlineLevel="0" collapsed="false">
      <c r="A862" s="65"/>
      <c r="V862" s="64"/>
    </row>
    <row r="863" customFormat="false" ht="26.25" hidden="false" customHeight="true" outlineLevel="0" collapsed="false">
      <c r="A863" s="65"/>
      <c r="V863" s="64"/>
    </row>
    <row r="864" customFormat="false" ht="26.25" hidden="false" customHeight="true" outlineLevel="0" collapsed="false">
      <c r="A864" s="65"/>
      <c r="V864" s="64"/>
    </row>
    <row r="865" customFormat="false" ht="26.25" hidden="false" customHeight="true" outlineLevel="0" collapsed="false">
      <c r="A865" s="65"/>
      <c r="V865" s="64"/>
    </row>
    <row r="866" customFormat="false" ht="26.25" hidden="false" customHeight="true" outlineLevel="0" collapsed="false">
      <c r="A866" s="65"/>
      <c r="V866" s="64"/>
    </row>
    <row r="867" customFormat="false" ht="26.25" hidden="false" customHeight="true" outlineLevel="0" collapsed="false">
      <c r="A867" s="65"/>
      <c r="V867" s="64"/>
    </row>
    <row r="868" customFormat="false" ht="26.25" hidden="false" customHeight="true" outlineLevel="0" collapsed="false">
      <c r="A868" s="65"/>
      <c r="V868" s="64"/>
    </row>
    <row r="869" customFormat="false" ht="26.25" hidden="false" customHeight="true" outlineLevel="0" collapsed="false">
      <c r="A869" s="65"/>
      <c r="V869" s="64"/>
    </row>
    <row r="870" customFormat="false" ht="26.25" hidden="false" customHeight="true" outlineLevel="0" collapsed="false">
      <c r="A870" s="65"/>
      <c r="V870" s="64"/>
    </row>
    <row r="871" customFormat="false" ht="26.25" hidden="false" customHeight="true" outlineLevel="0" collapsed="false">
      <c r="A871" s="65"/>
      <c r="V871" s="64"/>
    </row>
    <row r="872" customFormat="false" ht="26.25" hidden="false" customHeight="true" outlineLevel="0" collapsed="false">
      <c r="A872" s="65"/>
      <c r="V872" s="64"/>
    </row>
    <row r="873" customFormat="false" ht="26.25" hidden="false" customHeight="true" outlineLevel="0" collapsed="false">
      <c r="A873" s="65"/>
      <c r="V873" s="64"/>
    </row>
    <row r="874" customFormat="false" ht="26.25" hidden="false" customHeight="true" outlineLevel="0" collapsed="false">
      <c r="A874" s="65"/>
      <c r="V874" s="64"/>
    </row>
    <row r="875" customFormat="false" ht="26.25" hidden="false" customHeight="true" outlineLevel="0" collapsed="false">
      <c r="A875" s="65"/>
      <c r="V875" s="64"/>
    </row>
    <row r="876" customFormat="false" ht="26.25" hidden="false" customHeight="true" outlineLevel="0" collapsed="false">
      <c r="A876" s="65"/>
      <c r="V876" s="64"/>
    </row>
    <row r="877" customFormat="false" ht="26.25" hidden="false" customHeight="true" outlineLevel="0" collapsed="false">
      <c r="A877" s="65"/>
      <c r="V877" s="64"/>
    </row>
    <row r="878" customFormat="false" ht="26.25" hidden="false" customHeight="true" outlineLevel="0" collapsed="false">
      <c r="A878" s="65"/>
      <c r="V878" s="64"/>
    </row>
    <row r="879" customFormat="false" ht="26.25" hidden="false" customHeight="true" outlineLevel="0" collapsed="false">
      <c r="A879" s="65"/>
      <c r="V879" s="64"/>
    </row>
    <row r="880" customFormat="false" ht="26.25" hidden="false" customHeight="true" outlineLevel="0" collapsed="false">
      <c r="A880" s="65"/>
      <c r="V880" s="64"/>
    </row>
    <row r="881" customFormat="false" ht="26.25" hidden="false" customHeight="true" outlineLevel="0" collapsed="false">
      <c r="A881" s="65"/>
      <c r="V881" s="64"/>
    </row>
    <row r="882" customFormat="false" ht="26.25" hidden="false" customHeight="true" outlineLevel="0" collapsed="false">
      <c r="A882" s="65"/>
      <c r="V882" s="64"/>
    </row>
    <row r="883" customFormat="false" ht="26.25" hidden="false" customHeight="true" outlineLevel="0" collapsed="false">
      <c r="A883" s="65"/>
      <c r="V883" s="64"/>
    </row>
    <row r="884" customFormat="false" ht="26.25" hidden="false" customHeight="true" outlineLevel="0" collapsed="false">
      <c r="A884" s="65"/>
      <c r="V884" s="64"/>
    </row>
    <row r="885" customFormat="false" ht="26.25" hidden="false" customHeight="true" outlineLevel="0" collapsed="false">
      <c r="A885" s="65"/>
      <c r="V885" s="64"/>
    </row>
    <row r="886" customFormat="false" ht="26.25" hidden="false" customHeight="true" outlineLevel="0" collapsed="false">
      <c r="A886" s="65"/>
      <c r="V886" s="64"/>
    </row>
    <row r="887" customFormat="false" ht="26.25" hidden="false" customHeight="true" outlineLevel="0" collapsed="false">
      <c r="A887" s="65"/>
      <c r="V887" s="64"/>
    </row>
    <row r="888" customFormat="false" ht="26.25" hidden="false" customHeight="true" outlineLevel="0" collapsed="false">
      <c r="A888" s="65"/>
      <c r="V888" s="64"/>
    </row>
    <row r="889" customFormat="false" ht="26.25" hidden="false" customHeight="true" outlineLevel="0" collapsed="false">
      <c r="A889" s="65"/>
      <c r="V889" s="64"/>
    </row>
    <row r="890" customFormat="false" ht="26.25" hidden="false" customHeight="true" outlineLevel="0" collapsed="false">
      <c r="A890" s="65"/>
      <c r="V890" s="64"/>
    </row>
    <row r="891" customFormat="false" ht="26.25" hidden="false" customHeight="true" outlineLevel="0" collapsed="false">
      <c r="A891" s="65"/>
      <c r="V891" s="64"/>
    </row>
    <row r="892" customFormat="false" ht="26.25" hidden="false" customHeight="true" outlineLevel="0" collapsed="false">
      <c r="A892" s="65"/>
      <c r="V892" s="64"/>
    </row>
    <row r="893" customFormat="false" ht="26.25" hidden="false" customHeight="true" outlineLevel="0" collapsed="false">
      <c r="A893" s="65"/>
      <c r="V893" s="64"/>
    </row>
    <row r="894" customFormat="false" ht="26.25" hidden="false" customHeight="true" outlineLevel="0" collapsed="false">
      <c r="A894" s="65"/>
      <c r="V894" s="64"/>
    </row>
    <row r="895" customFormat="false" ht="26.25" hidden="false" customHeight="true" outlineLevel="0" collapsed="false">
      <c r="A895" s="65"/>
      <c r="V895" s="64"/>
    </row>
    <row r="896" customFormat="false" ht="26.25" hidden="false" customHeight="true" outlineLevel="0" collapsed="false">
      <c r="A896" s="65"/>
      <c r="V896" s="64"/>
    </row>
    <row r="897" customFormat="false" ht="26.25" hidden="false" customHeight="true" outlineLevel="0" collapsed="false">
      <c r="A897" s="65"/>
      <c r="V897" s="64"/>
    </row>
    <row r="898" customFormat="false" ht="26.25" hidden="false" customHeight="true" outlineLevel="0" collapsed="false">
      <c r="A898" s="65"/>
      <c r="V898" s="64"/>
    </row>
    <row r="899" customFormat="false" ht="26.25" hidden="false" customHeight="true" outlineLevel="0" collapsed="false">
      <c r="A899" s="65"/>
      <c r="V899" s="64"/>
    </row>
    <row r="900" customFormat="false" ht="26.25" hidden="false" customHeight="true" outlineLevel="0" collapsed="false">
      <c r="A900" s="65"/>
      <c r="V900" s="64"/>
    </row>
    <row r="901" customFormat="false" ht="26.25" hidden="false" customHeight="true" outlineLevel="0" collapsed="false">
      <c r="A901" s="65"/>
      <c r="V901" s="64"/>
    </row>
    <row r="902" customFormat="false" ht="26.25" hidden="false" customHeight="true" outlineLevel="0" collapsed="false">
      <c r="A902" s="65"/>
      <c r="V902" s="64"/>
    </row>
    <row r="903" customFormat="false" ht="26.25" hidden="false" customHeight="true" outlineLevel="0" collapsed="false">
      <c r="A903" s="65"/>
      <c r="V903" s="64"/>
    </row>
    <row r="904" customFormat="false" ht="26.25" hidden="false" customHeight="true" outlineLevel="0" collapsed="false">
      <c r="A904" s="65"/>
      <c r="V904" s="64"/>
    </row>
    <row r="905" customFormat="false" ht="26.25" hidden="false" customHeight="true" outlineLevel="0" collapsed="false">
      <c r="A905" s="65"/>
      <c r="V905" s="64"/>
    </row>
    <row r="906" customFormat="false" ht="26.25" hidden="false" customHeight="true" outlineLevel="0" collapsed="false">
      <c r="A906" s="65"/>
      <c r="V906" s="64"/>
    </row>
    <row r="907" customFormat="false" ht="26.25" hidden="false" customHeight="true" outlineLevel="0" collapsed="false">
      <c r="A907" s="65"/>
      <c r="V907" s="64"/>
    </row>
    <row r="908" customFormat="false" ht="26.25" hidden="false" customHeight="true" outlineLevel="0" collapsed="false">
      <c r="A908" s="65"/>
      <c r="V908" s="64"/>
    </row>
    <row r="909" customFormat="false" ht="26.25" hidden="false" customHeight="true" outlineLevel="0" collapsed="false">
      <c r="A909" s="65"/>
      <c r="V909" s="64"/>
    </row>
    <row r="910" customFormat="false" ht="26.25" hidden="false" customHeight="true" outlineLevel="0" collapsed="false">
      <c r="A910" s="65"/>
      <c r="V910" s="64"/>
    </row>
    <row r="911" customFormat="false" ht="26.25" hidden="false" customHeight="true" outlineLevel="0" collapsed="false">
      <c r="A911" s="65"/>
      <c r="V911" s="64"/>
    </row>
    <row r="912" customFormat="false" ht="26.25" hidden="false" customHeight="true" outlineLevel="0" collapsed="false">
      <c r="A912" s="65"/>
      <c r="V912" s="64"/>
    </row>
    <row r="913" customFormat="false" ht="26.25" hidden="false" customHeight="true" outlineLevel="0" collapsed="false">
      <c r="A913" s="65"/>
      <c r="V913" s="64"/>
    </row>
    <row r="914" customFormat="false" ht="26.25" hidden="false" customHeight="true" outlineLevel="0" collapsed="false">
      <c r="A914" s="65"/>
      <c r="V914" s="64"/>
    </row>
    <row r="915" customFormat="false" ht="26.25" hidden="false" customHeight="true" outlineLevel="0" collapsed="false">
      <c r="A915" s="65"/>
      <c r="V915" s="64"/>
    </row>
    <row r="916" customFormat="false" ht="26.25" hidden="false" customHeight="true" outlineLevel="0" collapsed="false">
      <c r="A916" s="65"/>
      <c r="V916" s="64"/>
    </row>
    <row r="917" customFormat="false" ht="26.25" hidden="false" customHeight="true" outlineLevel="0" collapsed="false">
      <c r="A917" s="65"/>
      <c r="V917" s="64"/>
    </row>
    <row r="918" customFormat="false" ht="26.25" hidden="false" customHeight="true" outlineLevel="0" collapsed="false">
      <c r="A918" s="65"/>
      <c r="V918" s="64"/>
    </row>
    <row r="919" customFormat="false" ht="26.25" hidden="false" customHeight="true" outlineLevel="0" collapsed="false">
      <c r="A919" s="65"/>
      <c r="V919" s="64"/>
    </row>
    <row r="920" customFormat="false" ht="26.25" hidden="false" customHeight="true" outlineLevel="0" collapsed="false">
      <c r="A920" s="65"/>
      <c r="V920" s="64"/>
    </row>
    <row r="921" customFormat="false" ht="26.25" hidden="false" customHeight="true" outlineLevel="0" collapsed="false">
      <c r="A921" s="65"/>
      <c r="V921" s="64"/>
    </row>
    <row r="922" customFormat="false" ht="26.25" hidden="false" customHeight="true" outlineLevel="0" collapsed="false">
      <c r="A922" s="65"/>
      <c r="V922" s="64"/>
    </row>
    <row r="923" customFormat="false" ht="26.25" hidden="false" customHeight="true" outlineLevel="0" collapsed="false">
      <c r="A923" s="65"/>
      <c r="V923" s="64"/>
    </row>
    <row r="924" customFormat="false" ht="26.25" hidden="false" customHeight="true" outlineLevel="0" collapsed="false">
      <c r="A924" s="65"/>
      <c r="V924" s="64"/>
    </row>
    <row r="925" customFormat="false" ht="26.25" hidden="false" customHeight="true" outlineLevel="0" collapsed="false">
      <c r="A925" s="65"/>
      <c r="V925" s="64"/>
    </row>
    <row r="926" customFormat="false" ht="26.25" hidden="false" customHeight="true" outlineLevel="0" collapsed="false">
      <c r="A926" s="65"/>
      <c r="V926" s="64"/>
    </row>
    <row r="927" customFormat="false" ht="26.25" hidden="false" customHeight="true" outlineLevel="0" collapsed="false">
      <c r="A927" s="65"/>
      <c r="V927" s="64"/>
    </row>
    <row r="928" customFormat="false" ht="26.25" hidden="false" customHeight="true" outlineLevel="0" collapsed="false">
      <c r="A928" s="65"/>
      <c r="V928" s="64"/>
    </row>
    <row r="929" customFormat="false" ht="26.25" hidden="false" customHeight="true" outlineLevel="0" collapsed="false">
      <c r="A929" s="65"/>
      <c r="V929" s="64"/>
    </row>
    <row r="930" customFormat="false" ht="26.25" hidden="false" customHeight="true" outlineLevel="0" collapsed="false">
      <c r="A930" s="65"/>
      <c r="V930" s="64"/>
    </row>
    <row r="931" customFormat="false" ht="26.25" hidden="false" customHeight="true" outlineLevel="0" collapsed="false">
      <c r="A931" s="65"/>
      <c r="V931" s="64"/>
    </row>
    <row r="932" customFormat="false" ht="26.25" hidden="false" customHeight="true" outlineLevel="0" collapsed="false">
      <c r="A932" s="65"/>
      <c r="V932" s="64"/>
    </row>
    <row r="933" customFormat="false" ht="26.25" hidden="false" customHeight="true" outlineLevel="0" collapsed="false">
      <c r="A933" s="65"/>
      <c r="V933" s="64"/>
    </row>
    <row r="934" customFormat="false" ht="26.25" hidden="false" customHeight="true" outlineLevel="0" collapsed="false">
      <c r="A934" s="65"/>
      <c r="V934" s="64"/>
    </row>
    <row r="935" customFormat="false" ht="26.25" hidden="false" customHeight="true" outlineLevel="0" collapsed="false">
      <c r="A935" s="65"/>
      <c r="V935" s="64"/>
    </row>
    <row r="936" customFormat="false" ht="26.25" hidden="false" customHeight="true" outlineLevel="0" collapsed="false">
      <c r="A936" s="65"/>
      <c r="V936" s="64"/>
    </row>
    <row r="937" customFormat="false" ht="26.25" hidden="false" customHeight="true" outlineLevel="0" collapsed="false">
      <c r="A937" s="65"/>
      <c r="V937" s="64"/>
    </row>
    <row r="938" customFormat="false" ht="26.25" hidden="false" customHeight="true" outlineLevel="0" collapsed="false">
      <c r="A938" s="65"/>
      <c r="V938" s="64"/>
    </row>
    <row r="939" customFormat="false" ht="26.25" hidden="false" customHeight="true" outlineLevel="0" collapsed="false">
      <c r="A939" s="65"/>
      <c r="V939" s="64"/>
    </row>
    <row r="940" customFormat="false" ht="26.25" hidden="false" customHeight="true" outlineLevel="0" collapsed="false">
      <c r="A940" s="65"/>
      <c r="V940" s="64"/>
    </row>
    <row r="941" customFormat="false" ht="26.25" hidden="false" customHeight="true" outlineLevel="0" collapsed="false">
      <c r="A941" s="65"/>
      <c r="V941" s="64"/>
    </row>
    <row r="942" customFormat="false" ht="26.25" hidden="false" customHeight="true" outlineLevel="0" collapsed="false">
      <c r="A942" s="65"/>
      <c r="V942" s="64"/>
    </row>
    <row r="943" customFormat="false" ht="26.25" hidden="false" customHeight="true" outlineLevel="0" collapsed="false">
      <c r="A943" s="65"/>
      <c r="V943" s="64"/>
    </row>
    <row r="944" customFormat="false" ht="26.25" hidden="false" customHeight="true" outlineLevel="0" collapsed="false">
      <c r="A944" s="65"/>
      <c r="V944" s="64"/>
    </row>
    <row r="945" customFormat="false" ht="26.25" hidden="false" customHeight="true" outlineLevel="0" collapsed="false">
      <c r="A945" s="65"/>
      <c r="V945" s="64"/>
    </row>
    <row r="946" customFormat="false" ht="26.25" hidden="false" customHeight="true" outlineLevel="0" collapsed="false">
      <c r="A946" s="65"/>
      <c r="V946" s="64"/>
    </row>
    <row r="947" customFormat="false" ht="26.25" hidden="false" customHeight="true" outlineLevel="0" collapsed="false">
      <c r="A947" s="65"/>
      <c r="V947" s="64"/>
    </row>
    <row r="948" customFormat="false" ht="26.25" hidden="false" customHeight="true" outlineLevel="0" collapsed="false">
      <c r="A948" s="65"/>
      <c r="V948" s="64"/>
    </row>
    <row r="949" customFormat="false" ht="26.25" hidden="false" customHeight="true" outlineLevel="0" collapsed="false">
      <c r="A949" s="65"/>
      <c r="V949" s="64"/>
    </row>
    <row r="950" customFormat="false" ht="26.25" hidden="false" customHeight="true" outlineLevel="0" collapsed="false">
      <c r="A950" s="65"/>
      <c r="V950" s="64"/>
    </row>
    <row r="951" customFormat="false" ht="26.25" hidden="false" customHeight="true" outlineLevel="0" collapsed="false">
      <c r="A951" s="65"/>
      <c r="V951" s="64"/>
    </row>
    <row r="952" customFormat="false" ht="26.25" hidden="false" customHeight="true" outlineLevel="0" collapsed="false">
      <c r="A952" s="65"/>
      <c r="V952" s="64"/>
    </row>
    <row r="953" customFormat="false" ht="26.25" hidden="false" customHeight="true" outlineLevel="0" collapsed="false">
      <c r="A953" s="65"/>
      <c r="V953" s="64"/>
    </row>
    <row r="954" customFormat="false" ht="26.25" hidden="false" customHeight="true" outlineLevel="0" collapsed="false">
      <c r="A954" s="65"/>
      <c r="V954" s="64"/>
    </row>
    <row r="955" customFormat="false" ht="26.25" hidden="false" customHeight="true" outlineLevel="0" collapsed="false">
      <c r="A955" s="65"/>
      <c r="V955" s="64"/>
    </row>
    <row r="956" customFormat="false" ht="26.25" hidden="false" customHeight="true" outlineLevel="0" collapsed="false">
      <c r="A956" s="65"/>
      <c r="V956" s="64"/>
    </row>
    <row r="957" customFormat="false" ht="26.25" hidden="false" customHeight="true" outlineLevel="0" collapsed="false">
      <c r="A957" s="65"/>
      <c r="V957" s="64"/>
    </row>
    <row r="958" customFormat="false" ht="26.25" hidden="false" customHeight="true" outlineLevel="0" collapsed="false">
      <c r="A958" s="65"/>
      <c r="V958" s="64"/>
    </row>
    <row r="959" customFormat="false" ht="26.25" hidden="false" customHeight="true" outlineLevel="0" collapsed="false">
      <c r="A959" s="65"/>
      <c r="V959" s="64"/>
    </row>
    <row r="960" customFormat="false" ht="26.25" hidden="false" customHeight="true" outlineLevel="0" collapsed="false">
      <c r="A960" s="65"/>
      <c r="V960" s="64"/>
    </row>
    <row r="961" customFormat="false" ht="26.25" hidden="false" customHeight="true" outlineLevel="0" collapsed="false">
      <c r="A961" s="65"/>
      <c r="V961" s="64"/>
    </row>
    <row r="962" customFormat="false" ht="26.25" hidden="false" customHeight="true" outlineLevel="0" collapsed="false">
      <c r="A962" s="65"/>
      <c r="V962" s="64"/>
    </row>
    <row r="963" customFormat="false" ht="26.25" hidden="false" customHeight="true" outlineLevel="0" collapsed="false">
      <c r="A963" s="65"/>
      <c r="V963" s="64"/>
    </row>
    <row r="964" customFormat="false" ht="26.25" hidden="false" customHeight="true" outlineLevel="0" collapsed="false">
      <c r="A964" s="65"/>
      <c r="V964" s="64"/>
    </row>
    <row r="965" customFormat="false" ht="26.25" hidden="false" customHeight="true" outlineLevel="0" collapsed="false">
      <c r="A965" s="65"/>
      <c r="V965" s="64"/>
    </row>
    <row r="966" customFormat="false" ht="26.25" hidden="false" customHeight="true" outlineLevel="0" collapsed="false">
      <c r="A966" s="65"/>
      <c r="V966" s="64"/>
    </row>
    <row r="967" customFormat="false" ht="26.25" hidden="false" customHeight="true" outlineLevel="0" collapsed="false">
      <c r="A967" s="65"/>
      <c r="V967" s="64"/>
    </row>
    <row r="968" customFormat="false" ht="26.25" hidden="false" customHeight="true" outlineLevel="0" collapsed="false">
      <c r="A968" s="65"/>
      <c r="V968" s="64"/>
    </row>
    <row r="969" customFormat="false" ht="26.25" hidden="false" customHeight="true" outlineLevel="0" collapsed="false">
      <c r="A969" s="65"/>
      <c r="V969" s="64"/>
    </row>
    <row r="970" customFormat="false" ht="26.25" hidden="false" customHeight="true" outlineLevel="0" collapsed="false">
      <c r="A970" s="65"/>
      <c r="V970" s="64"/>
    </row>
    <row r="971" customFormat="false" ht="26.25" hidden="false" customHeight="true" outlineLevel="0" collapsed="false">
      <c r="A971" s="65"/>
      <c r="V971" s="64"/>
    </row>
    <row r="972" customFormat="false" ht="26.25" hidden="false" customHeight="true" outlineLevel="0" collapsed="false">
      <c r="A972" s="65"/>
      <c r="V972" s="64"/>
    </row>
    <row r="973" customFormat="false" ht="26.25" hidden="false" customHeight="true" outlineLevel="0" collapsed="false">
      <c r="A973" s="65"/>
      <c r="V973" s="64"/>
    </row>
    <row r="974" customFormat="false" ht="26.25" hidden="false" customHeight="true" outlineLevel="0" collapsed="false">
      <c r="A974" s="65"/>
      <c r="V974" s="64"/>
    </row>
    <row r="975" customFormat="false" ht="26.25" hidden="false" customHeight="true" outlineLevel="0" collapsed="false">
      <c r="A975" s="65"/>
      <c r="V975" s="64"/>
    </row>
    <row r="976" customFormat="false" ht="26.25" hidden="false" customHeight="true" outlineLevel="0" collapsed="false">
      <c r="A976" s="65"/>
      <c r="V976" s="64"/>
    </row>
    <row r="977" customFormat="false" ht="26.25" hidden="false" customHeight="true" outlineLevel="0" collapsed="false">
      <c r="A977" s="65"/>
      <c r="V977" s="64"/>
    </row>
    <row r="978" customFormat="false" ht="26.25" hidden="false" customHeight="true" outlineLevel="0" collapsed="false">
      <c r="A978" s="65"/>
      <c r="V978" s="64"/>
    </row>
    <row r="979" customFormat="false" ht="26.25" hidden="false" customHeight="true" outlineLevel="0" collapsed="false">
      <c r="A979" s="65"/>
      <c r="V979" s="64"/>
    </row>
    <row r="980" customFormat="false" ht="26.25" hidden="false" customHeight="true" outlineLevel="0" collapsed="false">
      <c r="A980" s="65"/>
      <c r="V980" s="64"/>
    </row>
    <row r="981" customFormat="false" ht="26.25" hidden="false" customHeight="true" outlineLevel="0" collapsed="false">
      <c r="A981" s="65"/>
      <c r="V981" s="64"/>
    </row>
    <row r="982" customFormat="false" ht="26.25" hidden="false" customHeight="true" outlineLevel="0" collapsed="false">
      <c r="A982" s="65"/>
      <c r="V982" s="64"/>
    </row>
    <row r="983" customFormat="false" ht="26.25" hidden="false" customHeight="true" outlineLevel="0" collapsed="false">
      <c r="A983" s="65"/>
      <c r="V983" s="64"/>
    </row>
    <row r="984" customFormat="false" ht="26.25" hidden="false" customHeight="true" outlineLevel="0" collapsed="false">
      <c r="A984" s="65"/>
      <c r="V984" s="64"/>
    </row>
    <row r="985" customFormat="false" ht="26.25" hidden="false" customHeight="true" outlineLevel="0" collapsed="false">
      <c r="A985" s="65"/>
      <c r="V985" s="64"/>
    </row>
    <row r="986" customFormat="false" ht="26.25" hidden="false" customHeight="true" outlineLevel="0" collapsed="false">
      <c r="A986" s="65"/>
      <c r="V986" s="64"/>
    </row>
    <row r="987" customFormat="false" ht="26.25" hidden="false" customHeight="true" outlineLevel="0" collapsed="false">
      <c r="A987" s="65"/>
      <c r="V987" s="64"/>
    </row>
    <row r="988" customFormat="false" ht="26.25" hidden="false" customHeight="true" outlineLevel="0" collapsed="false">
      <c r="A988" s="65"/>
      <c r="V988" s="64"/>
    </row>
    <row r="989" customFormat="false" ht="26.25" hidden="false" customHeight="true" outlineLevel="0" collapsed="false">
      <c r="A989" s="65"/>
      <c r="V989" s="64"/>
    </row>
    <row r="990" customFormat="false" ht="26.25" hidden="false" customHeight="true" outlineLevel="0" collapsed="false">
      <c r="A990" s="65"/>
      <c r="V990" s="64"/>
    </row>
    <row r="991" customFormat="false" ht="26.25" hidden="false" customHeight="true" outlineLevel="0" collapsed="false">
      <c r="A991" s="65"/>
      <c r="V991" s="64"/>
    </row>
    <row r="992" customFormat="false" ht="26.25" hidden="false" customHeight="true" outlineLevel="0" collapsed="false">
      <c r="A992" s="65"/>
      <c r="V992" s="64"/>
    </row>
    <row r="993" customFormat="false" ht="26.25" hidden="false" customHeight="true" outlineLevel="0" collapsed="false">
      <c r="A993" s="65"/>
      <c r="V993" s="64"/>
    </row>
    <row r="994" customFormat="false" ht="26.25" hidden="false" customHeight="true" outlineLevel="0" collapsed="false">
      <c r="A994" s="65"/>
      <c r="V994" s="64"/>
    </row>
    <row r="995" customFormat="false" ht="26.25" hidden="false" customHeight="true" outlineLevel="0" collapsed="false">
      <c r="A995" s="65"/>
      <c r="V995" s="64"/>
    </row>
    <row r="996" customFormat="false" ht="26.25" hidden="false" customHeight="true" outlineLevel="0" collapsed="false">
      <c r="A996" s="65"/>
      <c r="V996" s="64"/>
    </row>
    <row r="997" customFormat="false" ht="26.25" hidden="false" customHeight="true" outlineLevel="0" collapsed="false">
      <c r="A997" s="65"/>
      <c r="V997" s="64"/>
    </row>
    <row r="998" customFormat="false" ht="26.25" hidden="false" customHeight="true" outlineLevel="0" collapsed="false">
      <c r="A998" s="65"/>
      <c r="V998" s="64"/>
    </row>
    <row r="999" customFormat="false" ht="26.25" hidden="false" customHeight="true" outlineLevel="0" collapsed="false">
      <c r="A999" s="65"/>
      <c r="V999" s="64"/>
    </row>
    <row r="1000" customFormat="false" ht="26.25" hidden="false" customHeight="true" outlineLevel="0" collapsed="false">
      <c r="A1000" s="65"/>
      <c r="V1000" s="64"/>
    </row>
  </sheetData>
  <mergeCells count="1">
    <mergeCell ref="A1:A29"/>
  </mergeCells>
  <conditionalFormatting sqref="F2:O12 F13:K14 L13:N15 O13:O14">
    <cfRule type="cellIs" priority="2" operator="equal" aboveAverage="0" equalAverage="0" bottom="0" percent="0" rank="0" text="" dxfId="15">
      <formula>"P"</formula>
    </cfRule>
    <cfRule type="cellIs" priority="3" operator="equal" aboveAverage="0" equalAverage="0" bottom="0" percent="0" rank="0" text="" dxfId="16">
      <formula>"A"</formula>
    </cfRule>
  </conditionalFormatting>
  <conditionalFormatting sqref="V2:V1000 R1:R14">
    <cfRule type="colorScale" priority="4">
      <colorScale>
        <cfvo type="percent" val="0"/>
        <cfvo type="percent" val="50"/>
        <cfvo type="percent" val="100"/>
        <color rgb="FFCC0000"/>
        <color rgb="FFFFF2CC"/>
        <color rgb="FF57BB8A"/>
      </colorScale>
    </cfRule>
  </conditionalFormatting>
  <conditionalFormatting sqref="P2:P14">
    <cfRule type="expression" priority="5" aboveAverage="0" equalAverage="0" bottom="0" percent="0" rank="0" text="" dxfId="17">
      <formula>LEN(TRIM(O2))&gt;0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S14" activeCellId="0" sqref="S14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11.71"/>
    <col collapsed="false" customWidth="true" hidden="false" outlineLevel="0" max="3" min="3" style="0" width="15.31"/>
    <col collapsed="false" customWidth="true" hidden="false" outlineLevel="0" max="4" min="4" style="0" width="24"/>
    <col collapsed="false" customWidth="true" hidden="false" outlineLevel="0" max="5" min="5" style="0" width="13.41"/>
    <col collapsed="false" customWidth="true" hidden="false" outlineLevel="0" max="6" min="6" style="0" width="11.15"/>
    <col collapsed="false" customWidth="true" hidden="false" outlineLevel="0" max="8" min="7" style="0" width="10.2"/>
    <col collapsed="false" customWidth="true" hidden="false" outlineLevel="0" max="9" min="9" style="0" width="12.47"/>
    <col collapsed="false" customWidth="true" hidden="false" outlineLevel="0" max="10" min="10" style="0" width="12.28"/>
    <col collapsed="false" customWidth="true" hidden="false" outlineLevel="0" max="11" min="11" style="0" width="10.38"/>
    <col collapsed="false" customWidth="true" hidden="false" outlineLevel="0" max="12" min="12" style="0" width="9.63"/>
    <col collapsed="false" customWidth="true" hidden="false" outlineLevel="0" max="13" min="13" style="0" width="10.58"/>
    <col collapsed="false" customWidth="true" hidden="false" outlineLevel="0" max="14" min="14" style="0" width="11.34"/>
    <col collapsed="false" customWidth="true" hidden="false" outlineLevel="0" max="15" min="15" style="0" width="11.52"/>
    <col collapsed="false" customWidth="true" hidden="false" outlineLevel="0" max="16" min="16" style="0" width="15.87"/>
    <col collapsed="false" customWidth="true" hidden="false" outlineLevel="0" max="17" min="17" style="0" width="18.14"/>
    <col collapsed="false" customWidth="true" hidden="false" outlineLevel="0" max="18" min="18" style="0" width="26.08"/>
    <col collapsed="false" customWidth="true" hidden="false" outlineLevel="0" max="19" min="19" style="0" width="10"/>
    <col collapsed="false" customWidth="true" hidden="false" outlineLevel="0" max="20" min="20" style="0" width="12.38"/>
    <col collapsed="false" customWidth="true" hidden="false" outlineLevel="0" max="29" min="21" style="0" width="15.63"/>
  </cols>
  <sheetData>
    <row r="1" customFormat="false" ht="103.5" hidden="false" customHeight="true" outlineLevel="0" collapsed="false">
      <c r="A1" s="66" t="s">
        <v>12</v>
      </c>
      <c r="B1" s="67" t="s">
        <v>0</v>
      </c>
      <c r="C1" s="67" t="s">
        <v>1</v>
      </c>
      <c r="D1" s="67" t="s">
        <v>2</v>
      </c>
      <c r="E1" s="68" t="s">
        <v>3</v>
      </c>
      <c r="F1" s="69" t="s">
        <v>111</v>
      </c>
      <c r="G1" s="70" t="s">
        <v>112</v>
      </c>
      <c r="H1" s="70" t="s">
        <v>113</v>
      </c>
      <c r="I1" s="70" t="s">
        <v>114</v>
      </c>
      <c r="J1" s="71" t="s">
        <v>115</v>
      </c>
      <c r="K1" s="69" t="s">
        <v>116</v>
      </c>
      <c r="L1" s="70" t="s">
        <v>117</v>
      </c>
      <c r="M1" s="70" t="s">
        <v>118</v>
      </c>
      <c r="N1" s="70" t="s">
        <v>119</v>
      </c>
      <c r="O1" s="71" t="s">
        <v>120</v>
      </c>
      <c r="P1" s="72" t="s">
        <v>121</v>
      </c>
      <c r="Q1" s="72" t="s">
        <v>122</v>
      </c>
      <c r="R1" s="73" t="s">
        <v>123</v>
      </c>
      <c r="S1" s="74" t="s">
        <v>92</v>
      </c>
      <c r="T1" s="74" t="s">
        <v>93</v>
      </c>
      <c r="U1" s="74" t="s">
        <v>124</v>
      </c>
      <c r="V1" s="75"/>
      <c r="W1" s="75"/>
    </row>
    <row r="2" customFormat="false" ht="26.25" hidden="false" customHeight="true" outlineLevel="0" collapsed="false">
      <c r="A2" s="66"/>
      <c r="B2" s="76" t="str">
        <f aca="false" t="array" ref="B2:E16">_xlfn._xlws.FILTER(StudendEnroll!A2:D44,StudendEnroll!D2:D44=$A$1)</f>
        <v>Elvis</v>
      </c>
      <c r="C2" s="76" t="str">
        <v>Bond</v>
      </c>
      <c r="D2" s="76" t="str">
        <v>Elvison@gmail.com</v>
      </c>
      <c r="E2" s="76" t="str">
        <v>Maths1</v>
      </c>
      <c r="F2" s="77" t="s">
        <v>125</v>
      </c>
      <c r="G2" s="76" t="s">
        <v>125</v>
      </c>
      <c r="H2" s="76" t="s">
        <v>125</v>
      </c>
      <c r="I2" s="76" t="s">
        <v>125</v>
      </c>
      <c r="J2" s="78" t="s">
        <v>125</v>
      </c>
      <c r="K2" s="77" t="s">
        <v>125</v>
      </c>
      <c r="L2" s="76" t="s">
        <v>125</v>
      </c>
      <c r="M2" s="76" t="s">
        <v>125</v>
      </c>
      <c r="N2" s="76" t="s">
        <v>125</v>
      </c>
      <c r="O2" s="79" t="s">
        <v>126</v>
      </c>
      <c r="P2" s="80" t="n">
        <f aca="false">COUNTIF(F2:J2,"P")/COUNTA(F2:J2)</f>
        <v>1</v>
      </c>
      <c r="Q2" s="80" t="n">
        <f aca="false">COUNTIF(K2:O2,"P")/COUNTA(K2:O2)</f>
        <v>0.8</v>
      </c>
      <c r="R2" s="81" t="n">
        <f aca="false">SUM(P2:Q2)/2</f>
        <v>0.9</v>
      </c>
      <c r="S2" s="76" t="n">
        <v>96</v>
      </c>
      <c r="T2" s="76" t="n">
        <v>88</v>
      </c>
      <c r="U2" s="76" t="s">
        <v>127</v>
      </c>
      <c r="V2" s="75"/>
      <c r="W2" s="75"/>
    </row>
    <row r="3" customFormat="false" ht="26.25" hidden="false" customHeight="true" outlineLevel="0" collapsed="false">
      <c r="A3" s="66"/>
      <c r="B3" s="76" t="str">
        <v>Mary</v>
      </c>
      <c r="C3" s="76" t="str">
        <v>Gas</v>
      </c>
      <c r="D3" s="76" t="str">
        <v>Maryas@gmail.com</v>
      </c>
      <c r="E3" s="76" t="str">
        <v>Maths1</v>
      </c>
      <c r="F3" s="77" t="s">
        <v>125</v>
      </c>
      <c r="G3" s="76" t="s">
        <v>125</v>
      </c>
      <c r="H3" s="76" t="s">
        <v>125</v>
      </c>
      <c r="I3" s="76" t="s">
        <v>125</v>
      </c>
      <c r="J3" s="78" t="s">
        <v>125</v>
      </c>
      <c r="K3" s="77" t="s">
        <v>125</v>
      </c>
      <c r="L3" s="76" t="s">
        <v>125</v>
      </c>
      <c r="M3" s="76" t="s">
        <v>125</v>
      </c>
      <c r="N3" s="76" t="s">
        <v>125</v>
      </c>
      <c r="O3" s="79" t="s">
        <v>126</v>
      </c>
      <c r="P3" s="80" t="n">
        <f aca="false">COUNTIF(F3:J3,"P")/COUNTA(F3:J3)</f>
        <v>1</v>
      </c>
      <c r="Q3" s="80" t="n">
        <f aca="false">COUNTIF(K3:O3,"P")/COUNTA(K3:O3)</f>
        <v>0.8</v>
      </c>
      <c r="R3" s="81" t="n">
        <f aca="false">SUM(P3:Q3)/2</f>
        <v>0.9</v>
      </c>
      <c r="S3" s="76" t="n">
        <v>55</v>
      </c>
      <c r="T3" s="76" t="n">
        <v>66</v>
      </c>
      <c r="U3" s="76" t="s">
        <v>128</v>
      </c>
      <c r="V3" s="75"/>
      <c r="W3" s="75"/>
    </row>
    <row r="4" customFormat="false" ht="26.25" hidden="false" customHeight="true" outlineLevel="0" collapsed="false">
      <c r="A4" s="66"/>
      <c r="B4" s="76" t="str">
        <v>Robert</v>
      </c>
      <c r="C4" s="76" t="str">
        <v>Hus</v>
      </c>
      <c r="D4" s="76" t="str">
        <v>Robertus@gmail.com</v>
      </c>
      <c r="E4" s="76" t="str">
        <v>Maths1</v>
      </c>
      <c r="F4" s="77" t="s">
        <v>125</v>
      </c>
      <c r="G4" s="76" t="s">
        <v>125</v>
      </c>
      <c r="H4" s="76" t="s">
        <v>125</v>
      </c>
      <c r="I4" s="76" t="s">
        <v>125</v>
      </c>
      <c r="J4" s="78" t="s">
        <v>125</v>
      </c>
      <c r="K4" s="77" t="s">
        <v>125</v>
      </c>
      <c r="L4" s="76" t="s">
        <v>125</v>
      </c>
      <c r="M4" s="76" t="s">
        <v>125</v>
      </c>
      <c r="N4" s="76" t="s">
        <v>125</v>
      </c>
      <c r="O4" s="79" t="s">
        <v>125</v>
      </c>
      <c r="P4" s="80" t="n">
        <f aca="false">COUNTIF(F4:J4,"P")/COUNTA(F4:J4)</f>
        <v>1</v>
      </c>
      <c r="Q4" s="80" t="n">
        <f aca="false">COUNTIF(K4:O4,"P")/COUNTA(K4:O4)</f>
        <v>1</v>
      </c>
      <c r="R4" s="81" t="n">
        <f aca="false">SUM(P4:Q4)/2</f>
        <v>1</v>
      </c>
      <c r="S4" s="76" t="n">
        <v>81</v>
      </c>
      <c r="T4" s="76" t="n">
        <v>99</v>
      </c>
      <c r="U4" s="76" t="s">
        <v>127</v>
      </c>
      <c r="V4" s="75"/>
      <c r="W4" s="75"/>
    </row>
    <row r="5" customFormat="false" ht="26.25" hidden="false" customHeight="true" outlineLevel="0" collapsed="false">
      <c r="A5" s="66"/>
      <c r="B5" s="76" t="str">
        <v>Omar</v>
      </c>
      <c r="C5" s="76" t="str">
        <v>Kasim</v>
      </c>
      <c r="D5" s="76" t="str">
        <v>Omaras@gmail.com</v>
      </c>
      <c r="E5" s="76" t="str">
        <v>Maths1</v>
      </c>
      <c r="F5" s="77" t="s">
        <v>126</v>
      </c>
      <c r="G5" s="76" t="s">
        <v>126</v>
      </c>
      <c r="H5" s="76" t="s">
        <v>126</v>
      </c>
      <c r="I5" s="76" t="s">
        <v>125</v>
      </c>
      <c r="J5" s="78" t="s">
        <v>125</v>
      </c>
      <c r="K5" s="82" t="s">
        <v>125</v>
      </c>
      <c r="L5" s="83" t="s">
        <v>125</v>
      </c>
      <c r="M5" s="76" t="s">
        <v>126</v>
      </c>
      <c r="N5" s="76" t="s">
        <v>125</v>
      </c>
      <c r="O5" s="79" t="s">
        <v>125</v>
      </c>
      <c r="P5" s="80" t="n">
        <f aca="false">COUNTIF(F5:J5,"P")/COUNTA(F5:J5)</f>
        <v>0.4</v>
      </c>
      <c r="Q5" s="80" t="n">
        <f aca="false">COUNTIF(K5:O5,"P")/COUNTA(K5:O5)</f>
        <v>0.8</v>
      </c>
      <c r="R5" s="81" t="n">
        <f aca="false">SUM(P5:Q5)/2</f>
        <v>0.6</v>
      </c>
      <c r="S5" s="76" t="n">
        <v>77</v>
      </c>
      <c r="T5" s="76" t="n">
        <v>67</v>
      </c>
      <c r="U5" s="76" t="s">
        <v>127</v>
      </c>
      <c r="V5" s="75"/>
      <c r="W5" s="75"/>
    </row>
    <row r="6" customFormat="false" ht="26.25" hidden="false" customHeight="true" outlineLevel="0" collapsed="false">
      <c r="A6" s="66"/>
      <c r="B6" s="76" t="str">
        <v>Denis</v>
      </c>
      <c r="C6" s="76" t="str">
        <v>Rodman</v>
      </c>
      <c r="D6" s="76" t="str">
        <v>Denisod@gmail.com</v>
      </c>
      <c r="E6" s="76" t="str">
        <v>Maths1</v>
      </c>
      <c r="F6" s="77" t="s">
        <v>125</v>
      </c>
      <c r="G6" s="76" t="s">
        <v>125</v>
      </c>
      <c r="H6" s="76" t="s">
        <v>125</v>
      </c>
      <c r="I6" s="76" t="s">
        <v>126</v>
      </c>
      <c r="J6" s="78" t="s">
        <v>125</v>
      </c>
      <c r="K6" s="77" t="s">
        <v>125</v>
      </c>
      <c r="L6" s="76" t="s">
        <v>125</v>
      </c>
      <c r="M6" s="76" t="s">
        <v>125</v>
      </c>
      <c r="N6" s="76" t="s">
        <v>126</v>
      </c>
      <c r="O6" s="79" t="s">
        <v>126</v>
      </c>
      <c r="P6" s="80" t="n">
        <f aca="false">COUNTIF(F6:J6,"P")/COUNTA(F6:J6)</f>
        <v>0.8</v>
      </c>
      <c r="Q6" s="80" t="n">
        <f aca="false">COUNTIF(K6:O6,"P")/COUNTA(K6:O6)</f>
        <v>0.6</v>
      </c>
      <c r="R6" s="81" t="n">
        <f aca="false">SUM(P6:Q6)/2</f>
        <v>0.7</v>
      </c>
      <c r="S6" s="76" t="n">
        <v>80</v>
      </c>
      <c r="T6" s="76" t="n">
        <v>78</v>
      </c>
      <c r="U6" s="76" t="s">
        <v>127</v>
      </c>
      <c r="V6" s="75"/>
      <c r="W6" s="75"/>
    </row>
    <row r="7" customFormat="false" ht="26.25" hidden="false" customHeight="true" outlineLevel="0" collapsed="false">
      <c r="A7" s="66"/>
      <c r="B7" s="76" t="str">
        <v>John</v>
      </c>
      <c r="C7" s="76" t="str">
        <v>Baderas</v>
      </c>
      <c r="D7" s="76" t="str">
        <v>Johnad@gmail.com</v>
      </c>
      <c r="E7" s="76" t="str">
        <v>Maths1</v>
      </c>
      <c r="F7" s="77" t="s">
        <v>125</v>
      </c>
      <c r="G7" s="76" t="s">
        <v>125</v>
      </c>
      <c r="H7" s="76" t="s">
        <v>125</v>
      </c>
      <c r="I7" s="76" t="s">
        <v>125</v>
      </c>
      <c r="J7" s="78" t="s">
        <v>126</v>
      </c>
      <c r="K7" s="77" t="s">
        <v>125</v>
      </c>
      <c r="L7" s="76" t="s">
        <v>125</v>
      </c>
      <c r="M7" s="76" t="s">
        <v>125</v>
      </c>
      <c r="N7" s="76" t="s">
        <v>125</v>
      </c>
      <c r="O7" s="79" t="s">
        <v>125</v>
      </c>
      <c r="P7" s="80" t="n">
        <f aca="false">COUNTIF(F7:J7,"P")/COUNTA(F7:J7)</f>
        <v>0.8</v>
      </c>
      <c r="Q7" s="80" t="n">
        <f aca="false">COUNTIF(K7:O7,"P")/COUNTA(K7:O7)</f>
        <v>1</v>
      </c>
      <c r="R7" s="81" t="n">
        <f aca="false">SUM(P7:Q7)/2</f>
        <v>0.9</v>
      </c>
      <c r="S7" s="76" t="n">
        <v>60</v>
      </c>
      <c r="T7" s="76" t="n">
        <v>94</v>
      </c>
      <c r="U7" s="76" t="s">
        <v>127</v>
      </c>
      <c r="V7" s="75"/>
      <c r="W7" s="75"/>
    </row>
    <row r="8" customFormat="false" ht="26.25" hidden="false" customHeight="true" outlineLevel="0" collapsed="false">
      <c r="A8" s="66"/>
      <c r="B8" s="76" t="str">
        <v>Ronald</v>
      </c>
      <c r="C8" s="76" t="str">
        <v>Connan</v>
      </c>
      <c r="D8" s="76" t="str">
        <v>Ronaldon@gmail.com</v>
      </c>
      <c r="E8" s="76" t="str">
        <v>Maths1</v>
      </c>
      <c r="F8" s="77" t="s">
        <v>126</v>
      </c>
      <c r="G8" s="76" t="s">
        <v>126</v>
      </c>
      <c r="H8" s="83" t="s">
        <v>125</v>
      </c>
      <c r="I8" s="76" t="s">
        <v>126</v>
      </c>
      <c r="J8" s="78" t="s">
        <v>125</v>
      </c>
      <c r="K8" s="82" t="s">
        <v>125</v>
      </c>
      <c r="L8" s="83" t="s">
        <v>125</v>
      </c>
      <c r="M8" s="83" t="s">
        <v>125</v>
      </c>
      <c r="N8" s="83" t="s">
        <v>125</v>
      </c>
      <c r="O8" s="79" t="s">
        <v>126</v>
      </c>
      <c r="P8" s="80" t="n">
        <f aca="false">COUNTIF(F8:J8,"P")/COUNTA(F8:J8)</f>
        <v>0.4</v>
      </c>
      <c r="Q8" s="80" t="n">
        <f aca="false">COUNTIF(K8:O8,"P")/COUNTA(K8:O8)</f>
        <v>0.8</v>
      </c>
      <c r="R8" s="81" t="n">
        <f aca="false">SUM(P8:Q8)/2</f>
        <v>0.6</v>
      </c>
      <c r="S8" s="76" t="n">
        <v>92</v>
      </c>
      <c r="T8" s="76" t="n">
        <v>79</v>
      </c>
      <c r="U8" s="76" t="s">
        <v>127</v>
      </c>
      <c r="V8" s="75"/>
      <c r="W8" s="75"/>
    </row>
    <row r="9" customFormat="false" ht="26.25" hidden="false" customHeight="true" outlineLevel="0" collapsed="false">
      <c r="A9" s="66"/>
      <c r="B9" s="76" t="str">
        <v>Dennis</v>
      </c>
      <c r="C9" s="76" t="str">
        <v>Menace</v>
      </c>
      <c r="D9" s="76" t="str">
        <v>Dennisen@gmail.com</v>
      </c>
      <c r="E9" s="76" t="str">
        <v>Maths1</v>
      </c>
      <c r="F9" s="77" t="s">
        <v>125</v>
      </c>
      <c r="G9" s="76" t="s">
        <v>125</v>
      </c>
      <c r="H9" s="76" t="s">
        <v>125</v>
      </c>
      <c r="I9" s="76" t="s">
        <v>125</v>
      </c>
      <c r="J9" s="78" t="s">
        <v>125</v>
      </c>
      <c r="K9" s="77" t="s">
        <v>125</v>
      </c>
      <c r="L9" s="76" t="s">
        <v>125</v>
      </c>
      <c r="M9" s="76" t="s">
        <v>125</v>
      </c>
      <c r="N9" s="76" t="s">
        <v>125</v>
      </c>
      <c r="O9" s="79" t="s">
        <v>125</v>
      </c>
      <c r="P9" s="80" t="n">
        <f aca="false">COUNTIF(F9:J9,"P")/COUNTA(F9:J9)</f>
        <v>1</v>
      </c>
      <c r="Q9" s="80" t="n">
        <f aca="false">COUNTIF(K9:O9,"P")/COUNTA(K9:O9)</f>
        <v>1</v>
      </c>
      <c r="R9" s="81" t="n">
        <f aca="false">SUM(P9:Q9)/2</f>
        <v>1</v>
      </c>
      <c r="S9" s="76" t="n">
        <v>73</v>
      </c>
      <c r="T9" s="76" t="n">
        <v>99</v>
      </c>
      <c r="U9" s="83" t="s">
        <v>127</v>
      </c>
      <c r="V9" s="75"/>
      <c r="W9" s="75"/>
    </row>
    <row r="10" customFormat="false" ht="26.25" hidden="false" customHeight="true" outlineLevel="0" collapsed="false">
      <c r="A10" s="66"/>
      <c r="B10" s="76" t="str">
        <v>Ronald</v>
      </c>
      <c r="C10" s="76" t="str">
        <v>Pape</v>
      </c>
      <c r="D10" s="76" t="str">
        <v>Ronaldap@gmail.com</v>
      </c>
      <c r="E10" s="76" t="str">
        <v>Maths1</v>
      </c>
      <c r="F10" s="77" t="s">
        <v>126</v>
      </c>
      <c r="G10" s="76" t="s">
        <v>125</v>
      </c>
      <c r="H10" s="76" t="s">
        <v>125</v>
      </c>
      <c r="I10" s="76" t="s">
        <v>125</v>
      </c>
      <c r="J10" s="78" t="s">
        <v>126</v>
      </c>
      <c r="K10" s="77" t="s">
        <v>126</v>
      </c>
      <c r="L10" s="76" t="s">
        <v>125</v>
      </c>
      <c r="M10" s="76" t="s">
        <v>125</v>
      </c>
      <c r="N10" s="76" t="s">
        <v>125</v>
      </c>
      <c r="O10" s="79" t="s">
        <v>125</v>
      </c>
      <c r="P10" s="80" t="n">
        <f aca="false">COUNTIF(F10:J10,"P")/COUNTA(F10:J10)</f>
        <v>0.6</v>
      </c>
      <c r="Q10" s="80" t="n">
        <f aca="false">COUNTIF(K10:O10,"P")/COUNTA(K10:O10)</f>
        <v>0.8</v>
      </c>
      <c r="R10" s="81" t="n">
        <f aca="false">SUM(P10:Q10)/2</f>
        <v>0.7</v>
      </c>
      <c r="S10" s="83" t="n">
        <v>73</v>
      </c>
      <c r="T10" s="76" t="n">
        <v>68</v>
      </c>
      <c r="U10" s="76" t="s">
        <v>127</v>
      </c>
      <c r="V10" s="75"/>
      <c r="W10" s="75"/>
    </row>
    <row r="11" customFormat="false" ht="26.25" hidden="false" customHeight="true" outlineLevel="0" collapsed="false">
      <c r="A11" s="66"/>
      <c r="B11" s="76" t="str">
        <v>Walid</v>
      </c>
      <c r="C11" s="76" t="str">
        <v>Matip</v>
      </c>
      <c r="D11" s="76" t="str">
        <v>Walidat@gmail.com</v>
      </c>
      <c r="E11" s="76" t="str">
        <v>Maths1</v>
      </c>
      <c r="F11" s="77" t="s">
        <v>125</v>
      </c>
      <c r="G11" s="76" t="s">
        <v>125</v>
      </c>
      <c r="H11" s="76" t="s">
        <v>125</v>
      </c>
      <c r="I11" s="76" t="s">
        <v>125</v>
      </c>
      <c r="J11" s="78" t="s">
        <v>125</v>
      </c>
      <c r="K11" s="77" t="s">
        <v>125</v>
      </c>
      <c r="L11" s="76" t="s">
        <v>125</v>
      </c>
      <c r="M11" s="76" t="s">
        <v>125</v>
      </c>
      <c r="N11" s="76" t="s">
        <v>125</v>
      </c>
      <c r="O11" s="79" t="s">
        <v>126</v>
      </c>
      <c r="P11" s="80" t="n">
        <f aca="false">COUNTIF(F11:J11,"P")/COUNTA(F11:J11)</f>
        <v>1</v>
      </c>
      <c r="Q11" s="80" t="n">
        <f aca="false">COUNTIF(K11:O11,"P")/COUNTA(K11:O11)</f>
        <v>0.8</v>
      </c>
      <c r="R11" s="81" t="n">
        <f aca="false">SUM(P11:Q11)/2</f>
        <v>0.9</v>
      </c>
      <c r="S11" s="76" t="n">
        <v>88</v>
      </c>
      <c r="T11" s="76" t="n">
        <v>80</v>
      </c>
      <c r="U11" s="76" t="s">
        <v>127</v>
      </c>
      <c r="V11" s="75"/>
      <c r="W11" s="75"/>
    </row>
    <row r="12" customFormat="false" ht="26.25" hidden="false" customHeight="true" outlineLevel="0" collapsed="false">
      <c r="A12" s="66"/>
      <c r="B12" s="76" t="str">
        <v>Donna</v>
      </c>
      <c r="C12" s="76" t="str">
        <v>Corleone</v>
      </c>
      <c r="D12" s="76" t="str">
        <v>Donnaor@gmail.com</v>
      </c>
      <c r="E12" s="76" t="str">
        <v>Maths1</v>
      </c>
      <c r="F12" s="77" t="s">
        <v>125</v>
      </c>
      <c r="G12" s="76" t="s">
        <v>125</v>
      </c>
      <c r="H12" s="76" t="s">
        <v>125</v>
      </c>
      <c r="I12" s="76" t="s">
        <v>125</v>
      </c>
      <c r="J12" s="78" t="s">
        <v>126</v>
      </c>
      <c r="K12" s="77" t="s">
        <v>125</v>
      </c>
      <c r="L12" s="76" t="s">
        <v>125</v>
      </c>
      <c r="M12" s="76" t="s">
        <v>125</v>
      </c>
      <c r="N12" s="76" t="s">
        <v>125</v>
      </c>
      <c r="O12" s="79" t="s">
        <v>125</v>
      </c>
      <c r="P12" s="80" t="n">
        <f aca="false">COUNTIF(F12:J12,"P")/COUNTA(F12:J12)</f>
        <v>0.8</v>
      </c>
      <c r="Q12" s="80" t="n">
        <f aca="false">COUNTIF(K12:O12,"P")/COUNTA(K12:O12)</f>
        <v>1</v>
      </c>
      <c r="R12" s="81" t="n">
        <f aca="false">SUM(P12:Q12)/2</f>
        <v>0.9</v>
      </c>
      <c r="S12" s="76" t="n">
        <v>96</v>
      </c>
      <c r="T12" s="76" t="n">
        <v>90</v>
      </c>
      <c r="U12" s="76" t="s">
        <v>127</v>
      </c>
      <c r="V12" s="75"/>
      <c r="W12" s="75"/>
    </row>
    <row r="13" customFormat="false" ht="26.25" hidden="false" customHeight="true" outlineLevel="0" collapsed="false">
      <c r="A13" s="66"/>
      <c r="B13" s="76" t="str">
        <v>Mary</v>
      </c>
      <c r="C13" s="76" t="str">
        <v>Connan</v>
      </c>
      <c r="D13" s="76" t="str">
        <v>Maryon@gmail.com</v>
      </c>
      <c r="E13" s="76" t="str">
        <v>Maths1</v>
      </c>
      <c r="F13" s="77" t="s">
        <v>125</v>
      </c>
      <c r="G13" s="76" t="s">
        <v>126</v>
      </c>
      <c r="H13" s="76" t="s">
        <v>125</v>
      </c>
      <c r="I13" s="76" t="s">
        <v>126</v>
      </c>
      <c r="J13" s="78" t="s">
        <v>125</v>
      </c>
      <c r="K13" s="77" t="s">
        <v>125</v>
      </c>
      <c r="L13" s="76" t="s">
        <v>125</v>
      </c>
      <c r="M13" s="76" t="s">
        <v>125</v>
      </c>
      <c r="N13" s="76" t="s">
        <v>126</v>
      </c>
      <c r="O13" s="79" t="s">
        <v>126</v>
      </c>
      <c r="P13" s="80" t="n">
        <f aca="false">COUNTIF(F13:J13,"P")/COUNTA(F13:J13)</f>
        <v>0.6</v>
      </c>
      <c r="Q13" s="80" t="n">
        <f aca="false">COUNTIF(K13:O13,"P")/COUNTA(K13:O13)</f>
        <v>0.6</v>
      </c>
      <c r="R13" s="81" t="n">
        <f aca="false">SUM(P13:Q13)/2</f>
        <v>0.6</v>
      </c>
      <c r="S13" s="76" t="n">
        <v>60</v>
      </c>
      <c r="T13" s="76" t="n">
        <v>91</v>
      </c>
      <c r="U13" s="76" t="s">
        <v>127</v>
      </c>
      <c r="V13" s="75"/>
      <c r="W13" s="75"/>
    </row>
    <row r="14" customFormat="false" ht="26.25" hidden="false" customHeight="true" outlineLevel="0" collapsed="false">
      <c r="A14" s="66"/>
      <c r="B14" s="76" t="str">
        <v>Dustin</v>
      </c>
      <c r="C14" s="76" t="str">
        <v>Boier</v>
      </c>
      <c r="D14" s="76" t="str">
        <v>Dustinoi@gmail.com</v>
      </c>
      <c r="E14" s="76" t="str">
        <v>Maths1</v>
      </c>
      <c r="F14" s="77" t="s">
        <v>126</v>
      </c>
      <c r="G14" s="76" t="s">
        <v>126</v>
      </c>
      <c r="H14" s="76" t="s">
        <v>126</v>
      </c>
      <c r="I14" s="76" t="s">
        <v>126</v>
      </c>
      <c r="J14" s="78" t="s">
        <v>126</v>
      </c>
      <c r="K14" s="77" t="s">
        <v>126</v>
      </c>
      <c r="L14" s="76" t="s">
        <v>126</v>
      </c>
      <c r="M14" s="76" t="s">
        <v>126</v>
      </c>
      <c r="N14" s="83" t="s">
        <v>125</v>
      </c>
      <c r="O14" s="79" t="s">
        <v>125</v>
      </c>
      <c r="P14" s="80" t="n">
        <f aca="false">COUNTIF(F14:J14,"P")/COUNTA(F14:J14)</f>
        <v>0</v>
      </c>
      <c r="Q14" s="80" t="n">
        <f aca="false">COUNTIF(K14:O14,"P")/COUNTA(K14:O14)</f>
        <v>0.4</v>
      </c>
      <c r="R14" s="81" t="n">
        <f aca="false">SUM(P14:Q14)/2</f>
        <v>0.2</v>
      </c>
      <c r="S14" s="83" t="n">
        <v>0</v>
      </c>
      <c r="T14" s="83" t="n">
        <v>37</v>
      </c>
      <c r="U14" s="83" t="s">
        <v>128</v>
      </c>
      <c r="V14" s="75"/>
      <c r="W14" s="75"/>
    </row>
    <row r="15" customFormat="false" ht="26.25" hidden="false" customHeight="true" outlineLevel="0" collapsed="false">
      <c r="A15" s="66"/>
      <c r="B15" s="76" t="str">
        <v>Lana</v>
      </c>
      <c r="C15" s="76" t="str">
        <v>Andie</v>
      </c>
      <c r="D15" s="76" t="str">
        <v>Lanand@gmail.com</v>
      </c>
      <c r="E15" s="76" t="str">
        <v>Maths1</v>
      </c>
      <c r="F15" s="77" t="s">
        <v>125</v>
      </c>
      <c r="G15" s="76" t="s">
        <v>125</v>
      </c>
      <c r="H15" s="76" t="s">
        <v>126</v>
      </c>
      <c r="I15" s="76" t="s">
        <v>125</v>
      </c>
      <c r="J15" s="78" t="s">
        <v>125</v>
      </c>
      <c r="K15" s="77" t="s">
        <v>125</v>
      </c>
      <c r="L15" s="76" t="s">
        <v>125</v>
      </c>
      <c r="M15" s="76" t="s">
        <v>126</v>
      </c>
      <c r="N15" s="76" t="s">
        <v>125</v>
      </c>
      <c r="O15" s="79" t="s">
        <v>126</v>
      </c>
      <c r="P15" s="80" t="n">
        <f aca="false">COUNTIF(F15:J15,"P")/COUNTA(F15:J15)</f>
        <v>0.8</v>
      </c>
      <c r="Q15" s="80" t="n">
        <f aca="false">COUNTIF(K15:O15,"P")/COUNTA(K15:O15)</f>
        <v>0.6</v>
      </c>
      <c r="R15" s="81" t="n">
        <f aca="false">SUM(P15:Q15)/2</f>
        <v>0.7</v>
      </c>
      <c r="S15" s="76" t="n">
        <v>97</v>
      </c>
      <c r="T15" s="76" t="n">
        <v>100</v>
      </c>
      <c r="U15" s="76" t="s">
        <v>127</v>
      </c>
      <c r="V15" s="75"/>
      <c r="W15" s="75"/>
    </row>
    <row r="16" customFormat="false" ht="26.25" hidden="false" customHeight="true" outlineLevel="0" collapsed="false">
      <c r="A16" s="66"/>
      <c r="B16" s="76" t="str">
        <v>Andres</v>
      </c>
      <c r="C16" s="76" t="str">
        <v>Iniesti</v>
      </c>
      <c r="D16" s="76" t="str">
        <v>Andresni@gmail.com</v>
      </c>
      <c r="E16" s="76" t="str">
        <v>Maths1</v>
      </c>
      <c r="F16" s="84" t="s">
        <v>125</v>
      </c>
      <c r="G16" s="85" t="s">
        <v>126</v>
      </c>
      <c r="H16" s="86" t="s">
        <v>125</v>
      </c>
      <c r="I16" s="85" t="s">
        <v>125</v>
      </c>
      <c r="J16" s="87" t="s">
        <v>125</v>
      </c>
      <c r="K16" s="84" t="s">
        <v>125</v>
      </c>
      <c r="L16" s="85" t="s">
        <v>126</v>
      </c>
      <c r="M16" s="85" t="s">
        <v>126</v>
      </c>
      <c r="N16" s="85" t="s">
        <v>125</v>
      </c>
      <c r="O16" s="88" t="s">
        <v>129</v>
      </c>
      <c r="P16" s="80" t="n">
        <f aca="false">COUNTIF(F16:J16,"P")/COUNTA(F16:J16)</f>
        <v>0.8</v>
      </c>
      <c r="Q16" s="80" t="n">
        <f aca="false">COUNTIF(K16:O16,"P")/COUNTA(K16:O16)</f>
        <v>0.6</v>
      </c>
      <c r="R16" s="81" t="n">
        <f aca="false">SUM(P16:Q16)/2</f>
        <v>0.7</v>
      </c>
      <c r="S16" s="76" t="n">
        <v>90</v>
      </c>
      <c r="T16" s="76" t="n">
        <v>87</v>
      </c>
      <c r="U16" s="76" t="s">
        <v>127</v>
      </c>
      <c r="V16" s="75"/>
      <c r="W16" s="75"/>
    </row>
    <row r="17" customFormat="false" ht="15" hidden="false" customHeight="false" outlineLevel="0" collapsed="false">
      <c r="A17" s="89"/>
      <c r="O17" s="90"/>
    </row>
    <row r="18" customFormat="false" ht="15" hidden="false" customHeight="false" outlineLevel="0" collapsed="false">
      <c r="A18" s="89"/>
      <c r="O18" s="90"/>
    </row>
    <row r="19" customFormat="false" ht="15" hidden="false" customHeight="false" outlineLevel="0" collapsed="false">
      <c r="A19" s="89"/>
      <c r="O19" s="90"/>
    </row>
    <row r="20" customFormat="false" ht="15" hidden="false" customHeight="false" outlineLevel="0" collapsed="false">
      <c r="A20" s="89"/>
      <c r="O20" s="90"/>
    </row>
    <row r="21" customFormat="false" ht="15.75" hidden="false" customHeight="true" outlineLevel="0" collapsed="false">
      <c r="A21" s="89"/>
      <c r="O21" s="90"/>
    </row>
    <row r="22" customFormat="false" ht="15.75" hidden="false" customHeight="true" outlineLevel="0" collapsed="false">
      <c r="A22" s="89"/>
      <c r="O22" s="90"/>
    </row>
    <row r="23" customFormat="false" ht="15.75" hidden="false" customHeight="true" outlineLevel="0" collapsed="false">
      <c r="A23" s="89"/>
      <c r="O23" s="90"/>
    </row>
    <row r="24" customFormat="false" ht="15.75" hidden="false" customHeight="true" outlineLevel="0" collapsed="false">
      <c r="A24" s="89"/>
      <c r="O24" s="90"/>
    </row>
    <row r="25" customFormat="false" ht="15.75" hidden="false" customHeight="true" outlineLevel="0" collapsed="false">
      <c r="A25" s="89"/>
      <c r="O25" s="90"/>
    </row>
    <row r="26" customFormat="false" ht="15.75" hidden="false" customHeight="true" outlineLevel="0" collapsed="false">
      <c r="A26" s="89"/>
      <c r="O26" s="90"/>
    </row>
    <row r="27" customFormat="false" ht="15.75" hidden="false" customHeight="true" outlineLevel="0" collapsed="false">
      <c r="A27" s="89"/>
      <c r="O27" s="90"/>
    </row>
    <row r="28" customFormat="false" ht="15.75" hidden="false" customHeight="true" outlineLevel="0" collapsed="false">
      <c r="A28" s="89"/>
      <c r="O28" s="90"/>
    </row>
    <row r="29" customFormat="false" ht="15.75" hidden="false" customHeight="true" outlineLevel="0" collapsed="false">
      <c r="A29" s="89"/>
      <c r="O29" s="90"/>
    </row>
    <row r="30" customFormat="false" ht="15.75" hidden="false" customHeight="true" outlineLevel="0" collapsed="false">
      <c r="A30" s="89"/>
      <c r="O30" s="90"/>
    </row>
    <row r="31" customFormat="false" ht="15.75" hidden="false" customHeight="true" outlineLevel="0" collapsed="false">
      <c r="A31" s="89"/>
      <c r="O31" s="90"/>
    </row>
    <row r="32" customFormat="false" ht="15.75" hidden="false" customHeight="true" outlineLevel="0" collapsed="false">
      <c r="A32" s="89"/>
      <c r="O32" s="90"/>
    </row>
    <row r="33" customFormat="false" ht="15.75" hidden="false" customHeight="true" outlineLevel="0" collapsed="false">
      <c r="A33" s="89"/>
      <c r="O33" s="90"/>
    </row>
    <row r="34" customFormat="false" ht="15.75" hidden="false" customHeight="true" outlineLevel="0" collapsed="false">
      <c r="A34" s="89"/>
      <c r="O34" s="90"/>
    </row>
    <row r="35" customFormat="false" ht="15.75" hidden="false" customHeight="true" outlineLevel="0" collapsed="false">
      <c r="A35" s="89"/>
      <c r="O35" s="90"/>
    </row>
    <row r="36" customFormat="false" ht="15.75" hidden="false" customHeight="true" outlineLevel="0" collapsed="false">
      <c r="A36" s="89"/>
      <c r="O36" s="90"/>
    </row>
    <row r="37" customFormat="false" ht="15.75" hidden="false" customHeight="true" outlineLevel="0" collapsed="false">
      <c r="A37" s="89"/>
      <c r="O37" s="90"/>
    </row>
    <row r="38" customFormat="false" ht="15.75" hidden="false" customHeight="true" outlineLevel="0" collapsed="false">
      <c r="A38" s="89"/>
      <c r="O38" s="90"/>
    </row>
    <row r="39" customFormat="false" ht="15.75" hidden="false" customHeight="true" outlineLevel="0" collapsed="false">
      <c r="A39" s="89"/>
      <c r="O39" s="90"/>
    </row>
    <row r="40" customFormat="false" ht="15.75" hidden="false" customHeight="true" outlineLevel="0" collapsed="false">
      <c r="A40" s="89"/>
      <c r="O40" s="90"/>
    </row>
    <row r="41" customFormat="false" ht="15.75" hidden="false" customHeight="true" outlineLevel="0" collapsed="false">
      <c r="A41" s="89"/>
      <c r="O41" s="90"/>
    </row>
    <row r="42" customFormat="false" ht="15.75" hidden="false" customHeight="true" outlineLevel="0" collapsed="false">
      <c r="A42" s="89"/>
      <c r="O42" s="90"/>
    </row>
    <row r="43" customFormat="false" ht="15.75" hidden="false" customHeight="true" outlineLevel="0" collapsed="false">
      <c r="A43" s="89"/>
      <c r="O43" s="90"/>
    </row>
    <row r="44" customFormat="false" ht="15.75" hidden="false" customHeight="true" outlineLevel="0" collapsed="false">
      <c r="A44" s="89"/>
      <c r="O44" s="90"/>
    </row>
    <row r="45" customFormat="false" ht="15.75" hidden="false" customHeight="true" outlineLevel="0" collapsed="false">
      <c r="A45" s="89"/>
      <c r="O45" s="90"/>
    </row>
    <row r="46" customFormat="false" ht="15.75" hidden="false" customHeight="true" outlineLevel="0" collapsed="false">
      <c r="A46" s="89"/>
      <c r="O46" s="90"/>
    </row>
    <row r="47" customFormat="false" ht="15.75" hidden="false" customHeight="true" outlineLevel="0" collapsed="false">
      <c r="A47" s="89"/>
      <c r="O47" s="90"/>
    </row>
    <row r="48" customFormat="false" ht="15.75" hidden="false" customHeight="true" outlineLevel="0" collapsed="false">
      <c r="A48" s="89"/>
      <c r="O48" s="90"/>
    </row>
    <row r="49" customFormat="false" ht="15.75" hidden="false" customHeight="true" outlineLevel="0" collapsed="false">
      <c r="A49" s="89"/>
      <c r="O49" s="90"/>
    </row>
    <row r="50" customFormat="false" ht="15.75" hidden="false" customHeight="true" outlineLevel="0" collapsed="false">
      <c r="A50" s="89"/>
      <c r="O50" s="90"/>
    </row>
    <row r="51" customFormat="false" ht="15.75" hidden="false" customHeight="true" outlineLevel="0" collapsed="false">
      <c r="A51" s="89"/>
      <c r="O51" s="90"/>
    </row>
    <row r="52" customFormat="false" ht="15.75" hidden="false" customHeight="true" outlineLevel="0" collapsed="false">
      <c r="A52" s="89"/>
      <c r="O52" s="90"/>
    </row>
    <row r="53" customFormat="false" ht="15.75" hidden="false" customHeight="true" outlineLevel="0" collapsed="false">
      <c r="A53" s="89"/>
      <c r="O53" s="90"/>
    </row>
    <row r="54" customFormat="false" ht="15.75" hidden="false" customHeight="true" outlineLevel="0" collapsed="false">
      <c r="A54" s="89"/>
      <c r="O54" s="90"/>
    </row>
    <row r="55" customFormat="false" ht="15.75" hidden="false" customHeight="true" outlineLevel="0" collapsed="false">
      <c r="A55" s="89"/>
      <c r="O55" s="90"/>
    </row>
    <row r="56" customFormat="false" ht="15.75" hidden="false" customHeight="true" outlineLevel="0" collapsed="false">
      <c r="A56" s="89"/>
      <c r="O56" s="90"/>
    </row>
    <row r="57" customFormat="false" ht="15.75" hidden="false" customHeight="true" outlineLevel="0" collapsed="false">
      <c r="A57" s="89"/>
      <c r="O57" s="90"/>
    </row>
    <row r="58" customFormat="false" ht="15.75" hidden="false" customHeight="true" outlineLevel="0" collapsed="false">
      <c r="A58" s="89"/>
      <c r="O58" s="90"/>
    </row>
    <row r="59" customFormat="false" ht="15.75" hidden="false" customHeight="true" outlineLevel="0" collapsed="false">
      <c r="A59" s="89"/>
      <c r="O59" s="90"/>
    </row>
    <row r="60" customFormat="false" ht="15.75" hidden="false" customHeight="true" outlineLevel="0" collapsed="false">
      <c r="A60" s="89"/>
      <c r="O60" s="90"/>
    </row>
    <row r="61" customFormat="false" ht="15.75" hidden="false" customHeight="true" outlineLevel="0" collapsed="false">
      <c r="A61" s="89"/>
      <c r="O61" s="90"/>
    </row>
    <row r="62" customFormat="false" ht="15.75" hidden="false" customHeight="true" outlineLevel="0" collapsed="false">
      <c r="A62" s="89"/>
      <c r="O62" s="90"/>
    </row>
    <row r="63" customFormat="false" ht="15.75" hidden="false" customHeight="true" outlineLevel="0" collapsed="false">
      <c r="A63" s="89"/>
      <c r="O63" s="90"/>
    </row>
    <row r="64" customFormat="false" ht="15.75" hidden="false" customHeight="true" outlineLevel="0" collapsed="false">
      <c r="A64" s="89"/>
      <c r="O64" s="90"/>
    </row>
    <row r="65" customFormat="false" ht="15.75" hidden="false" customHeight="true" outlineLevel="0" collapsed="false">
      <c r="A65" s="89"/>
      <c r="O65" s="90"/>
    </row>
    <row r="66" customFormat="false" ht="15.75" hidden="false" customHeight="true" outlineLevel="0" collapsed="false">
      <c r="A66" s="89"/>
      <c r="O66" s="90"/>
    </row>
    <row r="67" customFormat="false" ht="15.75" hidden="false" customHeight="true" outlineLevel="0" collapsed="false">
      <c r="A67" s="89"/>
      <c r="O67" s="90"/>
    </row>
    <row r="68" customFormat="false" ht="15.75" hidden="false" customHeight="true" outlineLevel="0" collapsed="false">
      <c r="A68" s="89"/>
      <c r="O68" s="90"/>
    </row>
    <row r="69" customFormat="false" ht="15.75" hidden="false" customHeight="true" outlineLevel="0" collapsed="false">
      <c r="A69" s="89"/>
      <c r="O69" s="90"/>
    </row>
    <row r="70" customFormat="false" ht="15.75" hidden="false" customHeight="true" outlineLevel="0" collapsed="false">
      <c r="A70" s="89"/>
      <c r="O70" s="90"/>
    </row>
    <row r="71" customFormat="false" ht="15.75" hidden="false" customHeight="true" outlineLevel="0" collapsed="false">
      <c r="A71" s="89"/>
      <c r="O71" s="90"/>
    </row>
    <row r="72" customFormat="false" ht="15.75" hidden="false" customHeight="true" outlineLevel="0" collapsed="false">
      <c r="A72" s="89"/>
      <c r="O72" s="90"/>
    </row>
    <row r="73" customFormat="false" ht="15.75" hidden="false" customHeight="true" outlineLevel="0" collapsed="false">
      <c r="A73" s="89"/>
      <c r="O73" s="90"/>
    </row>
    <row r="74" customFormat="false" ht="15.75" hidden="false" customHeight="true" outlineLevel="0" collapsed="false">
      <c r="A74" s="89"/>
      <c r="O74" s="90"/>
    </row>
    <row r="75" customFormat="false" ht="15.75" hidden="false" customHeight="true" outlineLevel="0" collapsed="false">
      <c r="A75" s="89"/>
      <c r="O75" s="90"/>
    </row>
    <row r="76" customFormat="false" ht="15.75" hidden="false" customHeight="true" outlineLevel="0" collapsed="false">
      <c r="A76" s="89"/>
      <c r="O76" s="90"/>
    </row>
    <row r="77" customFormat="false" ht="15.75" hidden="false" customHeight="true" outlineLevel="0" collapsed="false">
      <c r="A77" s="89"/>
      <c r="O77" s="90"/>
    </row>
    <row r="78" customFormat="false" ht="15.75" hidden="false" customHeight="true" outlineLevel="0" collapsed="false">
      <c r="A78" s="89"/>
      <c r="O78" s="90"/>
    </row>
    <row r="79" customFormat="false" ht="15.75" hidden="false" customHeight="true" outlineLevel="0" collapsed="false">
      <c r="A79" s="89"/>
      <c r="O79" s="90"/>
    </row>
    <row r="80" customFormat="false" ht="15.75" hidden="false" customHeight="true" outlineLevel="0" collapsed="false">
      <c r="A80" s="89"/>
      <c r="O80" s="90"/>
    </row>
    <row r="81" customFormat="false" ht="15.75" hidden="false" customHeight="true" outlineLevel="0" collapsed="false">
      <c r="A81" s="89"/>
      <c r="O81" s="90"/>
    </row>
    <row r="82" customFormat="false" ht="15.75" hidden="false" customHeight="true" outlineLevel="0" collapsed="false">
      <c r="A82" s="89"/>
      <c r="O82" s="90"/>
    </row>
    <row r="83" customFormat="false" ht="15.75" hidden="false" customHeight="true" outlineLevel="0" collapsed="false">
      <c r="A83" s="89"/>
      <c r="O83" s="90"/>
    </row>
    <row r="84" customFormat="false" ht="15.75" hidden="false" customHeight="true" outlineLevel="0" collapsed="false">
      <c r="A84" s="89"/>
      <c r="O84" s="90"/>
    </row>
    <row r="85" customFormat="false" ht="15.75" hidden="false" customHeight="true" outlineLevel="0" collapsed="false">
      <c r="A85" s="89"/>
      <c r="O85" s="90"/>
    </row>
    <row r="86" customFormat="false" ht="15.75" hidden="false" customHeight="true" outlineLevel="0" collapsed="false">
      <c r="A86" s="89"/>
      <c r="O86" s="90"/>
    </row>
    <row r="87" customFormat="false" ht="15.75" hidden="false" customHeight="true" outlineLevel="0" collapsed="false">
      <c r="A87" s="89"/>
      <c r="O87" s="90"/>
    </row>
    <row r="88" customFormat="false" ht="15.75" hidden="false" customHeight="true" outlineLevel="0" collapsed="false">
      <c r="A88" s="89"/>
      <c r="O88" s="90"/>
    </row>
    <row r="89" customFormat="false" ht="15.75" hidden="false" customHeight="true" outlineLevel="0" collapsed="false">
      <c r="A89" s="89"/>
      <c r="O89" s="90"/>
    </row>
    <row r="90" customFormat="false" ht="15.75" hidden="false" customHeight="true" outlineLevel="0" collapsed="false">
      <c r="A90" s="89"/>
      <c r="O90" s="90"/>
    </row>
    <row r="91" customFormat="false" ht="15.75" hidden="false" customHeight="true" outlineLevel="0" collapsed="false">
      <c r="A91" s="89"/>
      <c r="O91" s="90"/>
    </row>
    <row r="92" customFormat="false" ht="15.75" hidden="false" customHeight="true" outlineLevel="0" collapsed="false">
      <c r="A92" s="89"/>
      <c r="O92" s="90"/>
    </row>
    <row r="93" customFormat="false" ht="15.75" hidden="false" customHeight="true" outlineLevel="0" collapsed="false">
      <c r="A93" s="89"/>
      <c r="O93" s="90"/>
    </row>
    <row r="94" customFormat="false" ht="15.75" hidden="false" customHeight="true" outlineLevel="0" collapsed="false">
      <c r="A94" s="89"/>
      <c r="O94" s="90"/>
    </row>
    <row r="95" customFormat="false" ht="15.75" hidden="false" customHeight="true" outlineLevel="0" collapsed="false">
      <c r="A95" s="89"/>
      <c r="O95" s="90"/>
    </row>
    <row r="96" customFormat="false" ht="15.75" hidden="false" customHeight="true" outlineLevel="0" collapsed="false">
      <c r="A96" s="89"/>
      <c r="O96" s="90"/>
    </row>
    <row r="97" customFormat="false" ht="15.75" hidden="false" customHeight="true" outlineLevel="0" collapsed="false">
      <c r="A97" s="89"/>
      <c r="O97" s="90"/>
    </row>
    <row r="98" customFormat="false" ht="15.75" hidden="false" customHeight="true" outlineLevel="0" collapsed="false">
      <c r="A98" s="89"/>
      <c r="O98" s="90"/>
    </row>
    <row r="99" customFormat="false" ht="15.75" hidden="false" customHeight="true" outlineLevel="0" collapsed="false">
      <c r="A99" s="89"/>
      <c r="O99" s="90"/>
    </row>
    <row r="100" customFormat="false" ht="15.75" hidden="false" customHeight="true" outlineLevel="0" collapsed="false">
      <c r="A100" s="89"/>
      <c r="O100" s="90"/>
    </row>
    <row r="101" customFormat="false" ht="15.75" hidden="false" customHeight="true" outlineLevel="0" collapsed="false">
      <c r="A101" s="89"/>
      <c r="O101" s="90"/>
    </row>
    <row r="102" customFormat="false" ht="15.75" hidden="false" customHeight="true" outlineLevel="0" collapsed="false">
      <c r="A102" s="89"/>
      <c r="O102" s="90"/>
    </row>
    <row r="103" customFormat="false" ht="15.75" hidden="false" customHeight="true" outlineLevel="0" collapsed="false">
      <c r="A103" s="89"/>
      <c r="O103" s="90"/>
    </row>
    <row r="104" customFormat="false" ht="15.75" hidden="false" customHeight="true" outlineLevel="0" collapsed="false">
      <c r="A104" s="89"/>
      <c r="O104" s="90"/>
    </row>
    <row r="105" customFormat="false" ht="15.75" hidden="false" customHeight="true" outlineLevel="0" collapsed="false">
      <c r="A105" s="89"/>
      <c r="O105" s="90"/>
    </row>
    <row r="106" customFormat="false" ht="15.75" hidden="false" customHeight="true" outlineLevel="0" collapsed="false">
      <c r="A106" s="89"/>
      <c r="O106" s="90"/>
    </row>
    <row r="107" customFormat="false" ht="15.75" hidden="false" customHeight="true" outlineLevel="0" collapsed="false">
      <c r="A107" s="89"/>
      <c r="O107" s="90"/>
    </row>
    <row r="108" customFormat="false" ht="15.75" hidden="false" customHeight="true" outlineLevel="0" collapsed="false">
      <c r="A108" s="89"/>
      <c r="O108" s="90"/>
    </row>
    <row r="109" customFormat="false" ht="15.75" hidden="false" customHeight="true" outlineLevel="0" collapsed="false">
      <c r="A109" s="89"/>
      <c r="O109" s="90"/>
    </row>
    <row r="110" customFormat="false" ht="15.75" hidden="false" customHeight="true" outlineLevel="0" collapsed="false">
      <c r="A110" s="89"/>
      <c r="O110" s="90"/>
    </row>
    <row r="111" customFormat="false" ht="15.75" hidden="false" customHeight="true" outlineLevel="0" collapsed="false">
      <c r="A111" s="89"/>
      <c r="O111" s="90"/>
    </row>
    <row r="112" customFormat="false" ht="15.75" hidden="false" customHeight="true" outlineLevel="0" collapsed="false">
      <c r="A112" s="89"/>
      <c r="O112" s="90"/>
    </row>
    <row r="113" customFormat="false" ht="15.75" hidden="false" customHeight="true" outlineLevel="0" collapsed="false">
      <c r="A113" s="89"/>
      <c r="O113" s="90"/>
    </row>
    <row r="114" customFormat="false" ht="15.75" hidden="false" customHeight="true" outlineLevel="0" collapsed="false">
      <c r="A114" s="89"/>
      <c r="O114" s="90"/>
    </row>
    <row r="115" customFormat="false" ht="15.75" hidden="false" customHeight="true" outlineLevel="0" collapsed="false">
      <c r="A115" s="89"/>
      <c r="O115" s="90"/>
    </row>
    <row r="116" customFormat="false" ht="15.75" hidden="false" customHeight="true" outlineLevel="0" collapsed="false">
      <c r="A116" s="89"/>
      <c r="O116" s="90"/>
    </row>
    <row r="117" customFormat="false" ht="15.75" hidden="false" customHeight="true" outlineLevel="0" collapsed="false">
      <c r="A117" s="89"/>
      <c r="O117" s="90"/>
    </row>
    <row r="118" customFormat="false" ht="15.75" hidden="false" customHeight="true" outlineLevel="0" collapsed="false">
      <c r="A118" s="89"/>
      <c r="O118" s="90"/>
    </row>
    <row r="119" customFormat="false" ht="15.75" hidden="false" customHeight="true" outlineLevel="0" collapsed="false">
      <c r="A119" s="89"/>
      <c r="O119" s="90"/>
    </row>
    <row r="120" customFormat="false" ht="15.75" hidden="false" customHeight="true" outlineLevel="0" collapsed="false">
      <c r="A120" s="89"/>
      <c r="O120" s="90"/>
    </row>
    <row r="121" customFormat="false" ht="15.75" hidden="false" customHeight="true" outlineLevel="0" collapsed="false">
      <c r="A121" s="89"/>
      <c r="O121" s="90"/>
    </row>
    <row r="122" customFormat="false" ht="15.75" hidden="false" customHeight="true" outlineLevel="0" collapsed="false">
      <c r="A122" s="89"/>
      <c r="O122" s="90"/>
    </row>
    <row r="123" customFormat="false" ht="15.75" hidden="false" customHeight="true" outlineLevel="0" collapsed="false">
      <c r="A123" s="89"/>
      <c r="O123" s="90"/>
    </row>
    <row r="124" customFormat="false" ht="15.75" hidden="false" customHeight="true" outlineLevel="0" collapsed="false">
      <c r="A124" s="89"/>
      <c r="O124" s="90"/>
    </row>
    <row r="125" customFormat="false" ht="15.75" hidden="false" customHeight="true" outlineLevel="0" collapsed="false">
      <c r="A125" s="89"/>
      <c r="O125" s="90"/>
    </row>
    <row r="126" customFormat="false" ht="15.75" hidden="false" customHeight="true" outlineLevel="0" collapsed="false">
      <c r="A126" s="89"/>
      <c r="O126" s="90"/>
    </row>
    <row r="127" customFormat="false" ht="15.75" hidden="false" customHeight="true" outlineLevel="0" collapsed="false">
      <c r="A127" s="89"/>
      <c r="O127" s="90"/>
    </row>
    <row r="128" customFormat="false" ht="15.75" hidden="false" customHeight="true" outlineLevel="0" collapsed="false">
      <c r="A128" s="89"/>
      <c r="O128" s="90"/>
    </row>
    <row r="129" customFormat="false" ht="15.75" hidden="false" customHeight="true" outlineLevel="0" collapsed="false">
      <c r="A129" s="89"/>
      <c r="O129" s="90"/>
    </row>
    <row r="130" customFormat="false" ht="15.75" hidden="false" customHeight="true" outlineLevel="0" collapsed="false">
      <c r="A130" s="89"/>
      <c r="O130" s="90"/>
    </row>
    <row r="131" customFormat="false" ht="15.75" hidden="false" customHeight="true" outlineLevel="0" collapsed="false">
      <c r="A131" s="89"/>
      <c r="O131" s="90"/>
    </row>
    <row r="132" customFormat="false" ht="15.75" hidden="false" customHeight="true" outlineLevel="0" collapsed="false">
      <c r="A132" s="89"/>
      <c r="O132" s="90"/>
    </row>
    <row r="133" customFormat="false" ht="15.75" hidden="false" customHeight="true" outlineLevel="0" collapsed="false">
      <c r="A133" s="89"/>
      <c r="O133" s="90"/>
    </row>
    <row r="134" customFormat="false" ht="15.75" hidden="false" customHeight="true" outlineLevel="0" collapsed="false">
      <c r="A134" s="89"/>
      <c r="O134" s="90"/>
    </row>
    <row r="135" customFormat="false" ht="15.75" hidden="false" customHeight="true" outlineLevel="0" collapsed="false">
      <c r="A135" s="89"/>
      <c r="O135" s="90"/>
    </row>
    <row r="136" customFormat="false" ht="15.75" hidden="false" customHeight="true" outlineLevel="0" collapsed="false">
      <c r="A136" s="89"/>
      <c r="O136" s="90"/>
    </row>
    <row r="137" customFormat="false" ht="15.75" hidden="false" customHeight="true" outlineLevel="0" collapsed="false">
      <c r="A137" s="89"/>
      <c r="O137" s="90"/>
    </row>
    <row r="138" customFormat="false" ht="15.75" hidden="false" customHeight="true" outlineLevel="0" collapsed="false">
      <c r="A138" s="89"/>
      <c r="O138" s="90"/>
    </row>
    <row r="139" customFormat="false" ht="15.75" hidden="false" customHeight="true" outlineLevel="0" collapsed="false">
      <c r="A139" s="89"/>
      <c r="O139" s="90"/>
    </row>
    <row r="140" customFormat="false" ht="15.75" hidden="false" customHeight="true" outlineLevel="0" collapsed="false">
      <c r="A140" s="89"/>
      <c r="O140" s="90"/>
    </row>
    <row r="141" customFormat="false" ht="15.75" hidden="false" customHeight="true" outlineLevel="0" collapsed="false">
      <c r="A141" s="89"/>
      <c r="O141" s="90"/>
    </row>
    <row r="142" customFormat="false" ht="15.75" hidden="false" customHeight="true" outlineLevel="0" collapsed="false">
      <c r="A142" s="89"/>
      <c r="O142" s="90"/>
    </row>
    <row r="143" customFormat="false" ht="15.75" hidden="false" customHeight="true" outlineLevel="0" collapsed="false">
      <c r="A143" s="89"/>
      <c r="O143" s="90"/>
    </row>
    <row r="144" customFormat="false" ht="15.75" hidden="false" customHeight="true" outlineLevel="0" collapsed="false">
      <c r="A144" s="89"/>
      <c r="O144" s="90"/>
    </row>
    <row r="145" customFormat="false" ht="15.75" hidden="false" customHeight="true" outlineLevel="0" collapsed="false">
      <c r="A145" s="89"/>
      <c r="O145" s="90"/>
    </row>
    <row r="146" customFormat="false" ht="15.75" hidden="false" customHeight="true" outlineLevel="0" collapsed="false">
      <c r="A146" s="89"/>
      <c r="O146" s="90"/>
    </row>
    <row r="147" customFormat="false" ht="15.75" hidden="false" customHeight="true" outlineLevel="0" collapsed="false">
      <c r="A147" s="89"/>
      <c r="O147" s="90"/>
    </row>
    <row r="148" customFormat="false" ht="15.75" hidden="false" customHeight="true" outlineLevel="0" collapsed="false">
      <c r="A148" s="89"/>
      <c r="O148" s="90"/>
    </row>
    <row r="149" customFormat="false" ht="15.75" hidden="false" customHeight="true" outlineLevel="0" collapsed="false">
      <c r="A149" s="89"/>
      <c r="O149" s="90"/>
    </row>
    <row r="150" customFormat="false" ht="15.75" hidden="false" customHeight="true" outlineLevel="0" collapsed="false">
      <c r="A150" s="89"/>
      <c r="O150" s="90"/>
    </row>
    <row r="151" customFormat="false" ht="15.75" hidden="false" customHeight="true" outlineLevel="0" collapsed="false">
      <c r="A151" s="89"/>
      <c r="O151" s="90"/>
    </row>
    <row r="152" customFormat="false" ht="15.75" hidden="false" customHeight="true" outlineLevel="0" collapsed="false">
      <c r="A152" s="89"/>
      <c r="O152" s="90"/>
    </row>
    <row r="153" customFormat="false" ht="15.75" hidden="false" customHeight="true" outlineLevel="0" collapsed="false">
      <c r="A153" s="89"/>
      <c r="O153" s="90"/>
    </row>
    <row r="154" customFormat="false" ht="15.75" hidden="false" customHeight="true" outlineLevel="0" collapsed="false">
      <c r="A154" s="89"/>
      <c r="O154" s="90"/>
    </row>
    <row r="155" customFormat="false" ht="15.75" hidden="false" customHeight="true" outlineLevel="0" collapsed="false">
      <c r="A155" s="89"/>
      <c r="O155" s="90"/>
    </row>
    <row r="156" customFormat="false" ht="15.75" hidden="false" customHeight="true" outlineLevel="0" collapsed="false">
      <c r="A156" s="89"/>
      <c r="O156" s="90"/>
    </row>
    <row r="157" customFormat="false" ht="15.75" hidden="false" customHeight="true" outlineLevel="0" collapsed="false">
      <c r="A157" s="89"/>
      <c r="O157" s="90"/>
    </row>
    <row r="158" customFormat="false" ht="15.75" hidden="false" customHeight="true" outlineLevel="0" collapsed="false">
      <c r="A158" s="89"/>
      <c r="O158" s="90"/>
    </row>
    <row r="159" customFormat="false" ht="15.75" hidden="false" customHeight="true" outlineLevel="0" collapsed="false">
      <c r="A159" s="89"/>
      <c r="O159" s="90"/>
    </row>
    <row r="160" customFormat="false" ht="15.75" hidden="false" customHeight="true" outlineLevel="0" collapsed="false">
      <c r="A160" s="89"/>
      <c r="O160" s="90"/>
    </row>
    <row r="161" customFormat="false" ht="15.75" hidden="false" customHeight="true" outlineLevel="0" collapsed="false">
      <c r="A161" s="89"/>
      <c r="O161" s="90"/>
    </row>
    <row r="162" customFormat="false" ht="15.75" hidden="false" customHeight="true" outlineLevel="0" collapsed="false">
      <c r="A162" s="89"/>
      <c r="O162" s="90"/>
    </row>
    <row r="163" customFormat="false" ht="15.75" hidden="false" customHeight="true" outlineLevel="0" collapsed="false">
      <c r="A163" s="89"/>
      <c r="O163" s="90"/>
    </row>
    <row r="164" customFormat="false" ht="15.75" hidden="false" customHeight="true" outlineLevel="0" collapsed="false">
      <c r="A164" s="89"/>
      <c r="O164" s="90"/>
    </row>
    <row r="165" customFormat="false" ht="15.75" hidden="false" customHeight="true" outlineLevel="0" collapsed="false">
      <c r="A165" s="89"/>
      <c r="O165" s="90"/>
    </row>
    <row r="166" customFormat="false" ht="15.75" hidden="false" customHeight="true" outlineLevel="0" collapsed="false">
      <c r="A166" s="89"/>
      <c r="O166" s="90"/>
    </row>
    <row r="167" customFormat="false" ht="15.75" hidden="false" customHeight="true" outlineLevel="0" collapsed="false">
      <c r="A167" s="89"/>
      <c r="O167" s="90"/>
    </row>
    <row r="168" customFormat="false" ht="15.75" hidden="false" customHeight="true" outlineLevel="0" collapsed="false">
      <c r="A168" s="89"/>
      <c r="O168" s="90"/>
    </row>
    <row r="169" customFormat="false" ht="15.75" hidden="false" customHeight="true" outlineLevel="0" collapsed="false">
      <c r="A169" s="89"/>
      <c r="O169" s="90"/>
    </row>
    <row r="170" customFormat="false" ht="15.75" hidden="false" customHeight="true" outlineLevel="0" collapsed="false">
      <c r="A170" s="89"/>
      <c r="O170" s="90"/>
    </row>
    <row r="171" customFormat="false" ht="15.75" hidden="false" customHeight="true" outlineLevel="0" collapsed="false">
      <c r="A171" s="89"/>
      <c r="O171" s="90"/>
    </row>
    <row r="172" customFormat="false" ht="15.75" hidden="false" customHeight="true" outlineLevel="0" collapsed="false">
      <c r="A172" s="89"/>
      <c r="O172" s="90"/>
    </row>
    <row r="173" customFormat="false" ht="15.75" hidden="false" customHeight="true" outlineLevel="0" collapsed="false">
      <c r="A173" s="89"/>
      <c r="O173" s="90"/>
    </row>
    <row r="174" customFormat="false" ht="15.75" hidden="false" customHeight="true" outlineLevel="0" collapsed="false">
      <c r="A174" s="89"/>
      <c r="O174" s="90"/>
    </row>
    <row r="175" customFormat="false" ht="15.75" hidden="false" customHeight="true" outlineLevel="0" collapsed="false">
      <c r="A175" s="89"/>
      <c r="O175" s="90"/>
    </row>
    <row r="176" customFormat="false" ht="15.75" hidden="false" customHeight="true" outlineLevel="0" collapsed="false">
      <c r="A176" s="89"/>
      <c r="O176" s="90"/>
    </row>
    <row r="177" customFormat="false" ht="15.75" hidden="false" customHeight="true" outlineLevel="0" collapsed="false">
      <c r="A177" s="89"/>
      <c r="O177" s="90"/>
    </row>
    <row r="178" customFormat="false" ht="15.75" hidden="false" customHeight="true" outlineLevel="0" collapsed="false">
      <c r="A178" s="89"/>
      <c r="O178" s="90"/>
    </row>
    <row r="179" customFormat="false" ht="15.75" hidden="false" customHeight="true" outlineLevel="0" collapsed="false">
      <c r="A179" s="89"/>
      <c r="O179" s="90"/>
    </row>
    <row r="180" customFormat="false" ht="15.75" hidden="false" customHeight="true" outlineLevel="0" collapsed="false">
      <c r="A180" s="89"/>
      <c r="O180" s="90"/>
    </row>
    <row r="181" customFormat="false" ht="15.75" hidden="false" customHeight="true" outlineLevel="0" collapsed="false">
      <c r="A181" s="89"/>
      <c r="O181" s="90"/>
    </row>
    <row r="182" customFormat="false" ht="15.75" hidden="false" customHeight="true" outlineLevel="0" collapsed="false">
      <c r="A182" s="89"/>
      <c r="O182" s="90"/>
    </row>
    <row r="183" customFormat="false" ht="15.75" hidden="false" customHeight="true" outlineLevel="0" collapsed="false">
      <c r="A183" s="89"/>
      <c r="O183" s="90"/>
    </row>
    <row r="184" customFormat="false" ht="15.75" hidden="false" customHeight="true" outlineLevel="0" collapsed="false">
      <c r="A184" s="89"/>
      <c r="O184" s="90"/>
    </row>
    <row r="185" customFormat="false" ht="15.75" hidden="false" customHeight="true" outlineLevel="0" collapsed="false">
      <c r="A185" s="89"/>
      <c r="O185" s="90"/>
    </row>
    <row r="186" customFormat="false" ht="15.75" hidden="false" customHeight="true" outlineLevel="0" collapsed="false">
      <c r="A186" s="89"/>
      <c r="O186" s="90"/>
    </row>
    <row r="187" customFormat="false" ht="15.75" hidden="false" customHeight="true" outlineLevel="0" collapsed="false">
      <c r="A187" s="89"/>
      <c r="O187" s="90"/>
    </row>
    <row r="188" customFormat="false" ht="15.75" hidden="false" customHeight="true" outlineLevel="0" collapsed="false">
      <c r="A188" s="89"/>
      <c r="O188" s="90"/>
    </row>
    <row r="189" customFormat="false" ht="15.75" hidden="false" customHeight="true" outlineLevel="0" collapsed="false">
      <c r="A189" s="89"/>
      <c r="O189" s="90"/>
    </row>
    <row r="190" customFormat="false" ht="15.75" hidden="false" customHeight="true" outlineLevel="0" collapsed="false">
      <c r="A190" s="89"/>
      <c r="O190" s="90"/>
    </row>
    <row r="191" customFormat="false" ht="15.75" hidden="false" customHeight="true" outlineLevel="0" collapsed="false">
      <c r="A191" s="89"/>
      <c r="O191" s="90"/>
    </row>
    <row r="192" customFormat="false" ht="15.75" hidden="false" customHeight="true" outlineLevel="0" collapsed="false">
      <c r="A192" s="89"/>
      <c r="O192" s="90"/>
    </row>
    <row r="193" customFormat="false" ht="15.75" hidden="false" customHeight="true" outlineLevel="0" collapsed="false">
      <c r="A193" s="89"/>
      <c r="O193" s="90"/>
    </row>
    <row r="194" customFormat="false" ht="15.75" hidden="false" customHeight="true" outlineLevel="0" collapsed="false">
      <c r="A194" s="89"/>
      <c r="O194" s="90"/>
    </row>
    <row r="195" customFormat="false" ht="15.75" hidden="false" customHeight="true" outlineLevel="0" collapsed="false">
      <c r="A195" s="89"/>
      <c r="O195" s="90"/>
    </row>
    <row r="196" customFormat="false" ht="15.75" hidden="false" customHeight="true" outlineLevel="0" collapsed="false">
      <c r="A196" s="89"/>
      <c r="O196" s="90"/>
    </row>
    <row r="197" customFormat="false" ht="15.75" hidden="false" customHeight="true" outlineLevel="0" collapsed="false">
      <c r="A197" s="89"/>
      <c r="O197" s="90"/>
    </row>
    <row r="198" customFormat="false" ht="15.75" hidden="false" customHeight="true" outlineLevel="0" collapsed="false">
      <c r="A198" s="89"/>
      <c r="O198" s="90"/>
    </row>
    <row r="199" customFormat="false" ht="15.75" hidden="false" customHeight="true" outlineLevel="0" collapsed="false">
      <c r="A199" s="89"/>
      <c r="O199" s="90"/>
    </row>
    <row r="200" customFormat="false" ht="15.75" hidden="false" customHeight="true" outlineLevel="0" collapsed="false">
      <c r="A200" s="89"/>
      <c r="O200" s="90"/>
    </row>
    <row r="201" customFormat="false" ht="15.75" hidden="false" customHeight="true" outlineLevel="0" collapsed="false">
      <c r="A201" s="89"/>
      <c r="O201" s="90"/>
    </row>
    <row r="202" customFormat="false" ht="15.75" hidden="false" customHeight="true" outlineLevel="0" collapsed="false">
      <c r="A202" s="89"/>
      <c r="O202" s="90"/>
    </row>
    <row r="203" customFormat="false" ht="15.75" hidden="false" customHeight="true" outlineLevel="0" collapsed="false">
      <c r="A203" s="89"/>
      <c r="O203" s="90"/>
    </row>
    <row r="204" customFormat="false" ht="15.75" hidden="false" customHeight="true" outlineLevel="0" collapsed="false">
      <c r="A204" s="89"/>
      <c r="O204" s="90"/>
    </row>
    <row r="205" customFormat="false" ht="15.75" hidden="false" customHeight="true" outlineLevel="0" collapsed="false">
      <c r="A205" s="89"/>
      <c r="O205" s="90"/>
    </row>
    <row r="206" customFormat="false" ht="15.75" hidden="false" customHeight="true" outlineLevel="0" collapsed="false">
      <c r="A206" s="89"/>
      <c r="O206" s="90"/>
    </row>
    <row r="207" customFormat="false" ht="15.75" hidden="false" customHeight="true" outlineLevel="0" collapsed="false">
      <c r="A207" s="89"/>
      <c r="O207" s="90"/>
    </row>
    <row r="208" customFormat="false" ht="15.75" hidden="false" customHeight="true" outlineLevel="0" collapsed="false">
      <c r="A208" s="89"/>
      <c r="O208" s="90"/>
    </row>
    <row r="209" customFormat="false" ht="15.75" hidden="false" customHeight="true" outlineLevel="0" collapsed="false">
      <c r="A209" s="89"/>
      <c r="O209" s="90"/>
    </row>
    <row r="210" customFormat="false" ht="15.75" hidden="false" customHeight="true" outlineLevel="0" collapsed="false">
      <c r="A210" s="89"/>
      <c r="O210" s="90"/>
    </row>
    <row r="211" customFormat="false" ht="15.75" hidden="false" customHeight="true" outlineLevel="0" collapsed="false">
      <c r="A211" s="89"/>
      <c r="O211" s="90"/>
    </row>
    <row r="212" customFormat="false" ht="15.75" hidden="false" customHeight="true" outlineLevel="0" collapsed="false">
      <c r="A212" s="89"/>
      <c r="O212" s="90"/>
    </row>
    <row r="213" customFormat="false" ht="15.75" hidden="false" customHeight="true" outlineLevel="0" collapsed="false">
      <c r="A213" s="89"/>
      <c r="O213" s="90"/>
    </row>
    <row r="214" customFormat="false" ht="15.75" hidden="false" customHeight="true" outlineLevel="0" collapsed="false">
      <c r="A214" s="89"/>
      <c r="O214" s="90"/>
    </row>
    <row r="215" customFormat="false" ht="15.75" hidden="false" customHeight="true" outlineLevel="0" collapsed="false">
      <c r="A215" s="89"/>
      <c r="O215" s="90"/>
    </row>
    <row r="216" customFormat="false" ht="15.75" hidden="false" customHeight="true" outlineLevel="0" collapsed="false">
      <c r="A216" s="89"/>
      <c r="O216" s="90"/>
    </row>
    <row r="217" customFormat="false" ht="15.75" hidden="false" customHeight="true" outlineLevel="0" collapsed="false">
      <c r="A217" s="89"/>
      <c r="O217" s="90"/>
    </row>
    <row r="218" customFormat="false" ht="15.75" hidden="false" customHeight="true" outlineLevel="0" collapsed="false">
      <c r="A218" s="89"/>
      <c r="O218" s="90"/>
    </row>
    <row r="219" customFormat="false" ht="15.75" hidden="false" customHeight="true" outlineLevel="0" collapsed="false">
      <c r="A219" s="89"/>
      <c r="O219" s="90"/>
    </row>
    <row r="220" customFormat="false" ht="15.75" hidden="false" customHeight="true" outlineLevel="0" collapsed="false">
      <c r="A220" s="89"/>
      <c r="O220" s="90"/>
    </row>
    <row r="221" customFormat="false" ht="15.75" hidden="false" customHeight="true" outlineLevel="0" collapsed="false">
      <c r="A221" s="89"/>
      <c r="O221" s="90"/>
    </row>
    <row r="222" customFormat="false" ht="15.75" hidden="false" customHeight="true" outlineLevel="0" collapsed="false">
      <c r="A222" s="89"/>
      <c r="O222" s="90"/>
    </row>
    <row r="223" customFormat="false" ht="15.75" hidden="false" customHeight="true" outlineLevel="0" collapsed="false">
      <c r="A223" s="89"/>
      <c r="O223" s="90"/>
    </row>
    <row r="224" customFormat="false" ht="15.75" hidden="false" customHeight="true" outlineLevel="0" collapsed="false">
      <c r="A224" s="89"/>
      <c r="O224" s="90"/>
    </row>
    <row r="225" customFormat="false" ht="15.75" hidden="false" customHeight="true" outlineLevel="0" collapsed="false">
      <c r="A225" s="89"/>
      <c r="O225" s="90"/>
    </row>
    <row r="226" customFormat="false" ht="15.75" hidden="false" customHeight="true" outlineLevel="0" collapsed="false">
      <c r="A226" s="89"/>
      <c r="O226" s="90"/>
    </row>
    <row r="227" customFormat="false" ht="15.75" hidden="false" customHeight="true" outlineLevel="0" collapsed="false">
      <c r="A227" s="89"/>
      <c r="O227" s="90"/>
    </row>
    <row r="228" customFormat="false" ht="15.75" hidden="false" customHeight="true" outlineLevel="0" collapsed="false">
      <c r="A228" s="89"/>
      <c r="O228" s="90"/>
    </row>
    <row r="229" customFormat="false" ht="15.75" hidden="false" customHeight="true" outlineLevel="0" collapsed="false">
      <c r="A229" s="89"/>
      <c r="O229" s="90"/>
    </row>
    <row r="230" customFormat="false" ht="15.75" hidden="false" customHeight="true" outlineLevel="0" collapsed="false">
      <c r="A230" s="89"/>
      <c r="O230" s="90"/>
    </row>
    <row r="231" customFormat="false" ht="15.75" hidden="false" customHeight="true" outlineLevel="0" collapsed="false">
      <c r="A231" s="89"/>
      <c r="O231" s="90"/>
    </row>
    <row r="232" customFormat="false" ht="15.75" hidden="false" customHeight="true" outlineLevel="0" collapsed="false">
      <c r="A232" s="89"/>
      <c r="O232" s="90"/>
    </row>
    <row r="233" customFormat="false" ht="15.75" hidden="false" customHeight="true" outlineLevel="0" collapsed="false">
      <c r="A233" s="89"/>
      <c r="O233" s="90"/>
    </row>
    <row r="234" customFormat="false" ht="15.75" hidden="false" customHeight="true" outlineLevel="0" collapsed="false">
      <c r="A234" s="89"/>
      <c r="O234" s="90"/>
    </row>
    <row r="235" customFormat="false" ht="15.75" hidden="false" customHeight="true" outlineLevel="0" collapsed="false">
      <c r="A235" s="89"/>
      <c r="O235" s="90"/>
    </row>
    <row r="236" customFormat="false" ht="15.75" hidden="false" customHeight="true" outlineLevel="0" collapsed="false">
      <c r="A236" s="89"/>
      <c r="O236" s="90"/>
    </row>
    <row r="237" customFormat="false" ht="15.75" hidden="false" customHeight="true" outlineLevel="0" collapsed="false">
      <c r="A237" s="89"/>
      <c r="O237" s="90"/>
    </row>
    <row r="238" customFormat="false" ht="15.75" hidden="false" customHeight="true" outlineLevel="0" collapsed="false">
      <c r="A238" s="89"/>
      <c r="O238" s="90"/>
    </row>
    <row r="239" customFormat="false" ht="15.75" hidden="false" customHeight="true" outlineLevel="0" collapsed="false">
      <c r="A239" s="89"/>
      <c r="O239" s="90"/>
    </row>
    <row r="240" customFormat="false" ht="15.75" hidden="false" customHeight="true" outlineLevel="0" collapsed="false">
      <c r="A240" s="89"/>
      <c r="O240" s="90"/>
    </row>
    <row r="241" customFormat="false" ht="15.75" hidden="false" customHeight="true" outlineLevel="0" collapsed="false">
      <c r="A241" s="89"/>
      <c r="O241" s="90"/>
    </row>
    <row r="242" customFormat="false" ht="15.75" hidden="false" customHeight="true" outlineLevel="0" collapsed="false">
      <c r="A242" s="89"/>
      <c r="O242" s="90"/>
    </row>
    <row r="243" customFormat="false" ht="15.75" hidden="false" customHeight="true" outlineLevel="0" collapsed="false">
      <c r="A243" s="89"/>
      <c r="O243" s="90"/>
    </row>
    <row r="244" customFormat="false" ht="15.75" hidden="false" customHeight="true" outlineLevel="0" collapsed="false">
      <c r="A244" s="89"/>
      <c r="O244" s="90"/>
    </row>
    <row r="245" customFormat="false" ht="15.75" hidden="false" customHeight="true" outlineLevel="0" collapsed="false">
      <c r="A245" s="89"/>
      <c r="O245" s="90"/>
    </row>
    <row r="246" customFormat="false" ht="15.75" hidden="false" customHeight="true" outlineLevel="0" collapsed="false">
      <c r="A246" s="89"/>
      <c r="O246" s="90"/>
    </row>
    <row r="247" customFormat="false" ht="15.75" hidden="false" customHeight="true" outlineLevel="0" collapsed="false">
      <c r="A247" s="89"/>
      <c r="O247" s="90"/>
    </row>
    <row r="248" customFormat="false" ht="15.75" hidden="false" customHeight="true" outlineLevel="0" collapsed="false">
      <c r="A248" s="89"/>
      <c r="O248" s="90"/>
    </row>
    <row r="249" customFormat="false" ht="15.75" hidden="false" customHeight="true" outlineLevel="0" collapsed="false">
      <c r="A249" s="89"/>
      <c r="O249" s="90"/>
    </row>
    <row r="250" customFormat="false" ht="15.75" hidden="false" customHeight="true" outlineLevel="0" collapsed="false">
      <c r="A250" s="89"/>
      <c r="O250" s="90"/>
    </row>
    <row r="251" customFormat="false" ht="15.75" hidden="false" customHeight="true" outlineLevel="0" collapsed="false">
      <c r="A251" s="89"/>
      <c r="O251" s="90"/>
    </row>
    <row r="252" customFormat="false" ht="15.75" hidden="false" customHeight="true" outlineLevel="0" collapsed="false">
      <c r="A252" s="89"/>
      <c r="O252" s="90"/>
    </row>
    <row r="253" customFormat="false" ht="15.75" hidden="false" customHeight="true" outlineLevel="0" collapsed="false">
      <c r="A253" s="89"/>
      <c r="O253" s="90"/>
    </row>
    <row r="254" customFormat="false" ht="15.75" hidden="false" customHeight="true" outlineLevel="0" collapsed="false">
      <c r="A254" s="89"/>
      <c r="O254" s="90"/>
    </row>
    <row r="255" customFormat="false" ht="15.75" hidden="false" customHeight="true" outlineLevel="0" collapsed="false">
      <c r="A255" s="89"/>
      <c r="O255" s="90"/>
    </row>
    <row r="256" customFormat="false" ht="15.75" hidden="false" customHeight="true" outlineLevel="0" collapsed="false">
      <c r="A256" s="89"/>
      <c r="O256" s="90"/>
    </row>
    <row r="257" customFormat="false" ht="15.75" hidden="false" customHeight="true" outlineLevel="0" collapsed="false">
      <c r="A257" s="89"/>
      <c r="O257" s="90"/>
    </row>
    <row r="258" customFormat="false" ht="15.75" hidden="false" customHeight="true" outlineLevel="0" collapsed="false">
      <c r="A258" s="89"/>
      <c r="O258" s="90"/>
    </row>
    <row r="259" customFormat="false" ht="15.75" hidden="false" customHeight="true" outlineLevel="0" collapsed="false">
      <c r="A259" s="89"/>
      <c r="O259" s="90"/>
    </row>
    <row r="260" customFormat="false" ht="15.75" hidden="false" customHeight="true" outlineLevel="0" collapsed="false">
      <c r="A260" s="89"/>
      <c r="O260" s="90"/>
    </row>
    <row r="261" customFormat="false" ht="15.75" hidden="false" customHeight="true" outlineLevel="0" collapsed="false">
      <c r="A261" s="89"/>
      <c r="O261" s="90"/>
    </row>
    <row r="262" customFormat="false" ht="15.75" hidden="false" customHeight="true" outlineLevel="0" collapsed="false">
      <c r="A262" s="89"/>
      <c r="O262" s="90"/>
    </row>
    <row r="263" customFormat="false" ht="15.75" hidden="false" customHeight="true" outlineLevel="0" collapsed="false">
      <c r="A263" s="89"/>
      <c r="O263" s="90"/>
    </row>
    <row r="264" customFormat="false" ht="15.75" hidden="false" customHeight="true" outlineLevel="0" collapsed="false">
      <c r="A264" s="89"/>
      <c r="O264" s="90"/>
    </row>
    <row r="265" customFormat="false" ht="15.75" hidden="false" customHeight="true" outlineLevel="0" collapsed="false">
      <c r="A265" s="89"/>
      <c r="O265" s="90"/>
    </row>
    <row r="266" customFormat="false" ht="15.75" hidden="false" customHeight="true" outlineLevel="0" collapsed="false">
      <c r="A266" s="89"/>
      <c r="O266" s="90"/>
    </row>
    <row r="267" customFormat="false" ht="15.75" hidden="false" customHeight="true" outlineLevel="0" collapsed="false">
      <c r="A267" s="89"/>
      <c r="O267" s="90"/>
    </row>
    <row r="268" customFormat="false" ht="15.75" hidden="false" customHeight="true" outlineLevel="0" collapsed="false">
      <c r="A268" s="89"/>
      <c r="O268" s="90"/>
    </row>
    <row r="269" customFormat="false" ht="15.75" hidden="false" customHeight="true" outlineLevel="0" collapsed="false">
      <c r="A269" s="89"/>
      <c r="O269" s="90"/>
    </row>
    <row r="270" customFormat="false" ht="15.75" hidden="false" customHeight="true" outlineLevel="0" collapsed="false">
      <c r="A270" s="89"/>
      <c r="O270" s="90"/>
    </row>
    <row r="271" customFormat="false" ht="15.75" hidden="false" customHeight="true" outlineLevel="0" collapsed="false">
      <c r="A271" s="89"/>
      <c r="O271" s="90"/>
    </row>
    <row r="272" customFormat="false" ht="15.75" hidden="false" customHeight="true" outlineLevel="0" collapsed="false">
      <c r="A272" s="89"/>
      <c r="O272" s="90"/>
    </row>
    <row r="273" customFormat="false" ht="15.75" hidden="false" customHeight="true" outlineLevel="0" collapsed="false">
      <c r="A273" s="89"/>
      <c r="O273" s="90"/>
    </row>
    <row r="274" customFormat="false" ht="15.75" hidden="false" customHeight="true" outlineLevel="0" collapsed="false">
      <c r="A274" s="89"/>
      <c r="O274" s="90"/>
    </row>
    <row r="275" customFormat="false" ht="15.75" hidden="false" customHeight="true" outlineLevel="0" collapsed="false">
      <c r="A275" s="89"/>
      <c r="O275" s="90"/>
    </row>
    <row r="276" customFormat="false" ht="15.75" hidden="false" customHeight="true" outlineLevel="0" collapsed="false">
      <c r="A276" s="89"/>
      <c r="O276" s="90"/>
    </row>
    <row r="277" customFormat="false" ht="15.75" hidden="false" customHeight="true" outlineLevel="0" collapsed="false">
      <c r="A277" s="89"/>
      <c r="O277" s="90"/>
    </row>
    <row r="278" customFormat="false" ht="15.75" hidden="false" customHeight="true" outlineLevel="0" collapsed="false">
      <c r="A278" s="89"/>
      <c r="O278" s="90"/>
    </row>
    <row r="279" customFormat="false" ht="15.75" hidden="false" customHeight="true" outlineLevel="0" collapsed="false">
      <c r="A279" s="89"/>
      <c r="O279" s="90"/>
    </row>
    <row r="280" customFormat="false" ht="15.75" hidden="false" customHeight="true" outlineLevel="0" collapsed="false">
      <c r="A280" s="89"/>
      <c r="O280" s="90"/>
    </row>
    <row r="281" customFormat="false" ht="15.75" hidden="false" customHeight="true" outlineLevel="0" collapsed="false">
      <c r="A281" s="89"/>
      <c r="O281" s="90"/>
    </row>
    <row r="282" customFormat="false" ht="15.75" hidden="false" customHeight="true" outlineLevel="0" collapsed="false">
      <c r="A282" s="89"/>
      <c r="O282" s="90"/>
    </row>
    <row r="283" customFormat="false" ht="15.75" hidden="false" customHeight="true" outlineLevel="0" collapsed="false">
      <c r="A283" s="89"/>
      <c r="O283" s="90"/>
    </row>
    <row r="284" customFormat="false" ht="15.75" hidden="false" customHeight="true" outlineLevel="0" collapsed="false">
      <c r="A284" s="89"/>
      <c r="O284" s="90"/>
    </row>
    <row r="285" customFormat="false" ht="15.75" hidden="false" customHeight="true" outlineLevel="0" collapsed="false">
      <c r="A285" s="89"/>
      <c r="O285" s="90"/>
    </row>
    <row r="286" customFormat="false" ht="15.75" hidden="false" customHeight="true" outlineLevel="0" collapsed="false">
      <c r="A286" s="89"/>
      <c r="O286" s="90"/>
    </row>
    <row r="287" customFormat="false" ht="15.75" hidden="false" customHeight="true" outlineLevel="0" collapsed="false">
      <c r="A287" s="89"/>
      <c r="O287" s="90"/>
    </row>
    <row r="288" customFormat="false" ht="15.75" hidden="false" customHeight="true" outlineLevel="0" collapsed="false">
      <c r="A288" s="89"/>
      <c r="O288" s="90"/>
    </row>
    <row r="289" customFormat="false" ht="15.75" hidden="false" customHeight="true" outlineLevel="0" collapsed="false">
      <c r="A289" s="89"/>
      <c r="O289" s="90"/>
    </row>
    <row r="290" customFormat="false" ht="15.75" hidden="false" customHeight="true" outlineLevel="0" collapsed="false">
      <c r="A290" s="89"/>
      <c r="O290" s="90"/>
    </row>
    <row r="291" customFormat="false" ht="15.75" hidden="false" customHeight="true" outlineLevel="0" collapsed="false">
      <c r="A291" s="89"/>
      <c r="O291" s="90"/>
    </row>
    <row r="292" customFormat="false" ht="15.75" hidden="false" customHeight="true" outlineLevel="0" collapsed="false">
      <c r="A292" s="89"/>
      <c r="O292" s="90"/>
    </row>
    <row r="293" customFormat="false" ht="15.75" hidden="false" customHeight="true" outlineLevel="0" collapsed="false">
      <c r="A293" s="89"/>
      <c r="O293" s="90"/>
    </row>
    <row r="294" customFormat="false" ht="15.75" hidden="false" customHeight="true" outlineLevel="0" collapsed="false">
      <c r="A294" s="89"/>
      <c r="O294" s="90"/>
    </row>
    <row r="295" customFormat="false" ht="15.75" hidden="false" customHeight="true" outlineLevel="0" collapsed="false">
      <c r="A295" s="89"/>
      <c r="O295" s="90"/>
    </row>
    <row r="296" customFormat="false" ht="15.75" hidden="false" customHeight="true" outlineLevel="0" collapsed="false">
      <c r="A296" s="89"/>
      <c r="O296" s="90"/>
    </row>
    <row r="297" customFormat="false" ht="15.75" hidden="false" customHeight="true" outlineLevel="0" collapsed="false">
      <c r="A297" s="89"/>
      <c r="O297" s="90"/>
    </row>
    <row r="298" customFormat="false" ht="15.75" hidden="false" customHeight="true" outlineLevel="0" collapsed="false">
      <c r="A298" s="89"/>
      <c r="O298" s="90"/>
    </row>
    <row r="299" customFormat="false" ht="15.75" hidden="false" customHeight="true" outlineLevel="0" collapsed="false">
      <c r="A299" s="89"/>
      <c r="O299" s="90"/>
    </row>
    <row r="300" customFormat="false" ht="15.75" hidden="false" customHeight="true" outlineLevel="0" collapsed="false">
      <c r="A300" s="89"/>
      <c r="O300" s="90"/>
    </row>
    <row r="301" customFormat="false" ht="15.75" hidden="false" customHeight="true" outlineLevel="0" collapsed="false">
      <c r="A301" s="89"/>
      <c r="O301" s="90"/>
    </row>
    <row r="302" customFormat="false" ht="15.75" hidden="false" customHeight="true" outlineLevel="0" collapsed="false">
      <c r="A302" s="89"/>
      <c r="O302" s="90"/>
    </row>
    <row r="303" customFormat="false" ht="15.75" hidden="false" customHeight="true" outlineLevel="0" collapsed="false">
      <c r="A303" s="89"/>
      <c r="O303" s="90"/>
    </row>
    <row r="304" customFormat="false" ht="15.75" hidden="false" customHeight="true" outlineLevel="0" collapsed="false">
      <c r="A304" s="89"/>
      <c r="O304" s="90"/>
    </row>
    <row r="305" customFormat="false" ht="15.75" hidden="false" customHeight="true" outlineLevel="0" collapsed="false">
      <c r="A305" s="89"/>
      <c r="O305" s="90"/>
    </row>
    <row r="306" customFormat="false" ht="15.75" hidden="false" customHeight="true" outlineLevel="0" collapsed="false">
      <c r="A306" s="89"/>
      <c r="O306" s="90"/>
    </row>
    <row r="307" customFormat="false" ht="15.75" hidden="false" customHeight="true" outlineLevel="0" collapsed="false">
      <c r="A307" s="89"/>
      <c r="O307" s="90"/>
    </row>
    <row r="308" customFormat="false" ht="15.75" hidden="false" customHeight="true" outlineLevel="0" collapsed="false">
      <c r="A308" s="89"/>
      <c r="O308" s="90"/>
    </row>
    <row r="309" customFormat="false" ht="15.75" hidden="false" customHeight="true" outlineLevel="0" collapsed="false">
      <c r="A309" s="89"/>
      <c r="O309" s="90"/>
    </row>
    <row r="310" customFormat="false" ht="15.75" hidden="false" customHeight="true" outlineLevel="0" collapsed="false">
      <c r="A310" s="89"/>
      <c r="O310" s="90"/>
    </row>
    <row r="311" customFormat="false" ht="15.75" hidden="false" customHeight="true" outlineLevel="0" collapsed="false">
      <c r="A311" s="89"/>
      <c r="O311" s="90"/>
    </row>
    <row r="312" customFormat="false" ht="15.75" hidden="false" customHeight="true" outlineLevel="0" collapsed="false">
      <c r="A312" s="89"/>
      <c r="O312" s="90"/>
    </row>
    <row r="313" customFormat="false" ht="15.75" hidden="false" customHeight="true" outlineLevel="0" collapsed="false">
      <c r="A313" s="89"/>
      <c r="O313" s="90"/>
    </row>
    <row r="314" customFormat="false" ht="15.75" hidden="false" customHeight="true" outlineLevel="0" collapsed="false">
      <c r="A314" s="89"/>
      <c r="O314" s="90"/>
    </row>
    <row r="315" customFormat="false" ht="15.75" hidden="false" customHeight="true" outlineLevel="0" collapsed="false">
      <c r="A315" s="89"/>
      <c r="O315" s="90"/>
    </row>
    <row r="316" customFormat="false" ht="15.75" hidden="false" customHeight="true" outlineLevel="0" collapsed="false">
      <c r="A316" s="89"/>
      <c r="O316" s="90"/>
    </row>
    <row r="317" customFormat="false" ht="15.75" hidden="false" customHeight="true" outlineLevel="0" collapsed="false">
      <c r="A317" s="89"/>
      <c r="O317" s="90"/>
    </row>
    <row r="318" customFormat="false" ht="15.75" hidden="false" customHeight="true" outlineLevel="0" collapsed="false">
      <c r="A318" s="89"/>
      <c r="O318" s="90"/>
    </row>
    <row r="319" customFormat="false" ht="15.75" hidden="false" customHeight="true" outlineLevel="0" collapsed="false">
      <c r="A319" s="89"/>
      <c r="O319" s="90"/>
    </row>
    <row r="320" customFormat="false" ht="15.75" hidden="false" customHeight="true" outlineLevel="0" collapsed="false">
      <c r="A320" s="89"/>
      <c r="O320" s="90"/>
    </row>
    <row r="321" customFormat="false" ht="15.75" hidden="false" customHeight="true" outlineLevel="0" collapsed="false">
      <c r="A321" s="89"/>
      <c r="O321" s="90"/>
    </row>
    <row r="322" customFormat="false" ht="15.75" hidden="false" customHeight="true" outlineLevel="0" collapsed="false">
      <c r="A322" s="89"/>
      <c r="O322" s="90"/>
    </row>
    <row r="323" customFormat="false" ht="15.75" hidden="false" customHeight="true" outlineLevel="0" collapsed="false">
      <c r="A323" s="89"/>
      <c r="O323" s="90"/>
    </row>
    <row r="324" customFormat="false" ht="15.75" hidden="false" customHeight="true" outlineLevel="0" collapsed="false">
      <c r="A324" s="89"/>
      <c r="O324" s="90"/>
    </row>
    <row r="325" customFormat="false" ht="15.75" hidden="false" customHeight="true" outlineLevel="0" collapsed="false">
      <c r="A325" s="89"/>
      <c r="O325" s="90"/>
    </row>
    <row r="326" customFormat="false" ht="15.75" hidden="false" customHeight="true" outlineLevel="0" collapsed="false">
      <c r="A326" s="89"/>
      <c r="O326" s="90"/>
    </row>
    <row r="327" customFormat="false" ht="15.75" hidden="false" customHeight="true" outlineLevel="0" collapsed="false">
      <c r="A327" s="89"/>
      <c r="O327" s="90"/>
    </row>
    <row r="328" customFormat="false" ht="15.75" hidden="false" customHeight="true" outlineLevel="0" collapsed="false">
      <c r="A328" s="89"/>
      <c r="O328" s="90"/>
    </row>
    <row r="329" customFormat="false" ht="15.75" hidden="false" customHeight="true" outlineLevel="0" collapsed="false">
      <c r="A329" s="89"/>
      <c r="O329" s="90"/>
    </row>
    <row r="330" customFormat="false" ht="15.75" hidden="false" customHeight="true" outlineLevel="0" collapsed="false">
      <c r="A330" s="89"/>
      <c r="O330" s="90"/>
    </row>
    <row r="331" customFormat="false" ht="15.75" hidden="false" customHeight="true" outlineLevel="0" collapsed="false">
      <c r="A331" s="89"/>
      <c r="O331" s="90"/>
    </row>
    <row r="332" customFormat="false" ht="15.75" hidden="false" customHeight="true" outlineLevel="0" collapsed="false">
      <c r="A332" s="89"/>
      <c r="O332" s="90"/>
    </row>
    <row r="333" customFormat="false" ht="15.75" hidden="false" customHeight="true" outlineLevel="0" collapsed="false">
      <c r="A333" s="89"/>
      <c r="O333" s="90"/>
    </row>
    <row r="334" customFormat="false" ht="15.75" hidden="false" customHeight="true" outlineLevel="0" collapsed="false">
      <c r="A334" s="89"/>
      <c r="O334" s="90"/>
    </row>
    <row r="335" customFormat="false" ht="15.75" hidden="false" customHeight="true" outlineLevel="0" collapsed="false">
      <c r="A335" s="89"/>
      <c r="O335" s="90"/>
    </row>
    <row r="336" customFormat="false" ht="15.75" hidden="false" customHeight="true" outlineLevel="0" collapsed="false">
      <c r="A336" s="89"/>
      <c r="O336" s="90"/>
    </row>
    <row r="337" customFormat="false" ht="15.75" hidden="false" customHeight="true" outlineLevel="0" collapsed="false">
      <c r="A337" s="89"/>
      <c r="O337" s="90"/>
    </row>
    <row r="338" customFormat="false" ht="15.75" hidden="false" customHeight="true" outlineLevel="0" collapsed="false">
      <c r="A338" s="89"/>
      <c r="O338" s="90"/>
    </row>
    <row r="339" customFormat="false" ht="15.75" hidden="false" customHeight="true" outlineLevel="0" collapsed="false">
      <c r="A339" s="89"/>
      <c r="O339" s="90"/>
    </row>
    <row r="340" customFormat="false" ht="15.75" hidden="false" customHeight="true" outlineLevel="0" collapsed="false">
      <c r="A340" s="89"/>
      <c r="O340" s="90"/>
    </row>
    <row r="341" customFormat="false" ht="15.75" hidden="false" customHeight="true" outlineLevel="0" collapsed="false">
      <c r="A341" s="89"/>
      <c r="O341" s="90"/>
    </row>
    <row r="342" customFormat="false" ht="15.75" hidden="false" customHeight="true" outlineLevel="0" collapsed="false">
      <c r="A342" s="89"/>
      <c r="O342" s="90"/>
    </row>
    <row r="343" customFormat="false" ht="15.75" hidden="false" customHeight="true" outlineLevel="0" collapsed="false">
      <c r="A343" s="89"/>
      <c r="O343" s="90"/>
    </row>
    <row r="344" customFormat="false" ht="15.75" hidden="false" customHeight="true" outlineLevel="0" collapsed="false">
      <c r="A344" s="89"/>
      <c r="O344" s="90"/>
    </row>
    <row r="345" customFormat="false" ht="15.75" hidden="false" customHeight="true" outlineLevel="0" collapsed="false">
      <c r="A345" s="89"/>
      <c r="O345" s="90"/>
    </row>
    <row r="346" customFormat="false" ht="15.75" hidden="false" customHeight="true" outlineLevel="0" collapsed="false">
      <c r="A346" s="89"/>
      <c r="O346" s="90"/>
    </row>
    <row r="347" customFormat="false" ht="15.75" hidden="false" customHeight="true" outlineLevel="0" collapsed="false">
      <c r="A347" s="89"/>
      <c r="O347" s="90"/>
    </row>
    <row r="348" customFormat="false" ht="15.75" hidden="false" customHeight="true" outlineLevel="0" collapsed="false">
      <c r="A348" s="89"/>
      <c r="O348" s="90"/>
    </row>
    <row r="349" customFormat="false" ht="15.75" hidden="false" customHeight="true" outlineLevel="0" collapsed="false">
      <c r="A349" s="89"/>
      <c r="O349" s="90"/>
    </row>
    <row r="350" customFormat="false" ht="15.75" hidden="false" customHeight="true" outlineLevel="0" collapsed="false">
      <c r="A350" s="89"/>
      <c r="O350" s="90"/>
    </row>
    <row r="351" customFormat="false" ht="15.75" hidden="false" customHeight="true" outlineLevel="0" collapsed="false">
      <c r="A351" s="89"/>
      <c r="O351" s="90"/>
    </row>
    <row r="352" customFormat="false" ht="15.75" hidden="false" customHeight="true" outlineLevel="0" collapsed="false">
      <c r="A352" s="89"/>
      <c r="O352" s="90"/>
    </row>
    <row r="353" customFormat="false" ht="15.75" hidden="false" customHeight="true" outlineLevel="0" collapsed="false">
      <c r="A353" s="89"/>
      <c r="O353" s="90"/>
    </row>
    <row r="354" customFormat="false" ht="15.75" hidden="false" customHeight="true" outlineLevel="0" collapsed="false">
      <c r="A354" s="89"/>
      <c r="O354" s="90"/>
    </row>
    <row r="355" customFormat="false" ht="15.75" hidden="false" customHeight="true" outlineLevel="0" collapsed="false">
      <c r="A355" s="89"/>
      <c r="O355" s="90"/>
    </row>
    <row r="356" customFormat="false" ht="15.75" hidden="false" customHeight="true" outlineLevel="0" collapsed="false">
      <c r="A356" s="89"/>
      <c r="O356" s="90"/>
    </row>
    <row r="357" customFormat="false" ht="15.75" hidden="false" customHeight="true" outlineLevel="0" collapsed="false">
      <c r="A357" s="89"/>
      <c r="O357" s="90"/>
    </row>
    <row r="358" customFormat="false" ht="15.75" hidden="false" customHeight="true" outlineLevel="0" collapsed="false">
      <c r="A358" s="89"/>
      <c r="O358" s="90"/>
    </row>
    <row r="359" customFormat="false" ht="15.75" hidden="false" customHeight="true" outlineLevel="0" collapsed="false">
      <c r="A359" s="89"/>
      <c r="O359" s="90"/>
    </row>
    <row r="360" customFormat="false" ht="15.75" hidden="false" customHeight="true" outlineLevel="0" collapsed="false">
      <c r="A360" s="89"/>
      <c r="O360" s="90"/>
    </row>
    <row r="361" customFormat="false" ht="15.75" hidden="false" customHeight="true" outlineLevel="0" collapsed="false">
      <c r="A361" s="89"/>
      <c r="O361" s="90"/>
    </row>
    <row r="362" customFormat="false" ht="15.75" hidden="false" customHeight="true" outlineLevel="0" collapsed="false">
      <c r="A362" s="89"/>
      <c r="O362" s="90"/>
    </row>
    <row r="363" customFormat="false" ht="15.75" hidden="false" customHeight="true" outlineLevel="0" collapsed="false">
      <c r="A363" s="89"/>
      <c r="O363" s="90"/>
    </row>
    <row r="364" customFormat="false" ht="15.75" hidden="false" customHeight="true" outlineLevel="0" collapsed="false">
      <c r="A364" s="89"/>
      <c r="O364" s="90"/>
    </row>
    <row r="365" customFormat="false" ht="15.75" hidden="false" customHeight="true" outlineLevel="0" collapsed="false">
      <c r="A365" s="89"/>
      <c r="O365" s="90"/>
    </row>
    <row r="366" customFormat="false" ht="15.75" hidden="false" customHeight="true" outlineLevel="0" collapsed="false">
      <c r="A366" s="89"/>
      <c r="O366" s="90"/>
    </row>
    <row r="367" customFormat="false" ht="15.75" hidden="false" customHeight="true" outlineLevel="0" collapsed="false">
      <c r="A367" s="89"/>
      <c r="O367" s="90"/>
    </row>
    <row r="368" customFormat="false" ht="15.75" hidden="false" customHeight="true" outlineLevel="0" collapsed="false">
      <c r="A368" s="89"/>
      <c r="O368" s="90"/>
    </row>
    <row r="369" customFormat="false" ht="15.75" hidden="false" customHeight="true" outlineLevel="0" collapsed="false">
      <c r="A369" s="89"/>
      <c r="O369" s="90"/>
    </row>
    <row r="370" customFormat="false" ht="15.75" hidden="false" customHeight="true" outlineLevel="0" collapsed="false">
      <c r="A370" s="89"/>
      <c r="O370" s="90"/>
    </row>
    <row r="371" customFormat="false" ht="15.75" hidden="false" customHeight="true" outlineLevel="0" collapsed="false">
      <c r="A371" s="89"/>
      <c r="O371" s="90"/>
    </row>
    <row r="372" customFormat="false" ht="15.75" hidden="false" customHeight="true" outlineLevel="0" collapsed="false">
      <c r="A372" s="89"/>
      <c r="O372" s="90"/>
    </row>
    <row r="373" customFormat="false" ht="15.75" hidden="false" customHeight="true" outlineLevel="0" collapsed="false">
      <c r="A373" s="89"/>
      <c r="O373" s="90"/>
    </row>
    <row r="374" customFormat="false" ht="15.75" hidden="false" customHeight="true" outlineLevel="0" collapsed="false">
      <c r="A374" s="89"/>
      <c r="O374" s="90"/>
    </row>
    <row r="375" customFormat="false" ht="15.75" hidden="false" customHeight="true" outlineLevel="0" collapsed="false">
      <c r="A375" s="89"/>
      <c r="O375" s="90"/>
    </row>
    <row r="376" customFormat="false" ht="15.75" hidden="false" customHeight="true" outlineLevel="0" collapsed="false">
      <c r="A376" s="89"/>
      <c r="O376" s="90"/>
    </row>
    <row r="377" customFormat="false" ht="15.75" hidden="false" customHeight="true" outlineLevel="0" collapsed="false">
      <c r="A377" s="89"/>
      <c r="O377" s="90"/>
    </row>
    <row r="378" customFormat="false" ht="15.75" hidden="false" customHeight="true" outlineLevel="0" collapsed="false">
      <c r="A378" s="89"/>
      <c r="O378" s="90"/>
    </row>
    <row r="379" customFormat="false" ht="15.75" hidden="false" customHeight="true" outlineLevel="0" collapsed="false">
      <c r="A379" s="89"/>
      <c r="O379" s="90"/>
    </row>
    <row r="380" customFormat="false" ht="15.75" hidden="false" customHeight="true" outlineLevel="0" collapsed="false">
      <c r="A380" s="89"/>
      <c r="O380" s="90"/>
    </row>
    <row r="381" customFormat="false" ht="15.75" hidden="false" customHeight="true" outlineLevel="0" collapsed="false">
      <c r="A381" s="89"/>
      <c r="O381" s="90"/>
    </row>
    <row r="382" customFormat="false" ht="15.75" hidden="false" customHeight="true" outlineLevel="0" collapsed="false">
      <c r="A382" s="89"/>
      <c r="O382" s="90"/>
    </row>
    <row r="383" customFormat="false" ht="15.75" hidden="false" customHeight="true" outlineLevel="0" collapsed="false">
      <c r="A383" s="89"/>
      <c r="O383" s="90"/>
    </row>
    <row r="384" customFormat="false" ht="15.75" hidden="false" customHeight="true" outlineLevel="0" collapsed="false">
      <c r="A384" s="89"/>
      <c r="O384" s="90"/>
    </row>
    <row r="385" customFormat="false" ht="15.75" hidden="false" customHeight="true" outlineLevel="0" collapsed="false">
      <c r="A385" s="89"/>
      <c r="O385" s="90"/>
    </row>
    <row r="386" customFormat="false" ht="15.75" hidden="false" customHeight="true" outlineLevel="0" collapsed="false">
      <c r="A386" s="89"/>
      <c r="O386" s="90"/>
    </row>
    <row r="387" customFormat="false" ht="15.75" hidden="false" customHeight="true" outlineLevel="0" collapsed="false">
      <c r="A387" s="89"/>
      <c r="O387" s="90"/>
    </row>
    <row r="388" customFormat="false" ht="15.75" hidden="false" customHeight="true" outlineLevel="0" collapsed="false">
      <c r="A388" s="89"/>
      <c r="O388" s="90"/>
    </row>
    <row r="389" customFormat="false" ht="15.75" hidden="false" customHeight="true" outlineLevel="0" collapsed="false">
      <c r="A389" s="89"/>
      <c r="O389" s="90"/>
    </row>
    <row r="390" customFormat="false" ht="15.75" hidden="false" customHeight="true" outlineLevel="0" collapsed="false">
      <c r="A390" s="89"/>
      <c r="O390" s="90"/>
    </row>
    <row r="391" customFormat="false" ht="15.75" hidden="false" customHeight="true" outlineLevel="0" collapsed="false">
      <c r="A391" s="89"/>
      <c r="O391" s="90"/>
    </row>
    <row r="392" customFormat="false" ht="15.75" hidden="false" customHeight="true" outlineLevel="0" collapsed="false">
      <c r="A392" s="89"/>
      <c r="O392" s="90"/>
    </row>
    <row r="393" customFormat="false" ht="15.75" hidden="false" customHeight="true" outlineLevel="0" collapsed="false">
      <c r="A393" s="89"/>
      <c r="O393" s="90"/>
    </row>
    <row r="394" customFormat="false" ht="15.75" hidden="false" customHeight="true" outlineLevel="0" collapsed="false">
      <c r="A394" s="89"/>
      <c r="O394" s="90"/>
    </row>
    <row r="395" customFormat="false" ht="15.75" hidden="false" customHeight="true" outlineLevel="0" collapsed="false">
      <c r="A395" s="89"/>
      <c r="O395" s="90"/>
    </row>
    <row r="396" customFormat="false" ht="15.75" hidden="false" customHeight="true" outlineLevel="0" collapsed="false">
      <c r="A396" s="89"/>
      <c r="O396" s="90"/>
    </row>
    <row r="397" customFormat="false" ht="15.75" hidden="false" customHeight="true" outlineLevel="0" collapsed="false">
      <c r="A397" s="89"/>
      <c r="O397" s="90"/>
    </row>
    <row r="398" customFormat="false" ht="15.75" hidden="false" customHeight="true" outlineLevel="0" collapsed="false">
      <c r="A398" s="89"/>
      <c r="O398" s="90"/>
    </row>
    <row r="399" customFormat="false" ht="15.75" hidden="false" customHeight="true" outlineLevel="0" collapsed="false">
      <c r="A399" s="89"/>
      <c r="O399" s="90"/>
    </row>
    <row r="400" customFormat="false" ht="15.75" hidden="false" customHeight="true" outlineLevel="0" collapsed="false">
      <c r="A400" s="89"/>
      <c r="O400" s="90"/>
    </row>
    <row r="401" customFormat="false" ht="15.75" hidden="false" customHeight="true" outlineLevel="0" collapsed="false">
      <c r="A401" s="89"/>
      <c r="O401" s="90"/>
    </row>
    <row r="402" customFormat="false" ht="15.75" hidden="false" customHeight="true" outlineLevel="0" collapsed="false">
      <c r="A402" s="89"/>
      <c r="O402" s="90"/>
    </row>
    <row r="403" customFormat="false" ht="15.75" hidden="false" customHeight="true" outlineLevel="0" collapsed="false">
      <c r="A403" s="89"/>
      <c r="O403" s="90"/>
    </row>
    <row r="404" customFormat="false" ht="15.75" hidden="false" customHeight="true" outlineLevel="0" collapsed="false">
      <c r="A404" s="89"/>
      <c r="O404" s="90"/>
    </row>
    <row r="405" customFormat="false" ht="15.75" hidden="false" customHeight="true" outlineLevel="0" collapsed="false">
      <c r="A405" s="89"/>
      <c r="O405" s="90"/>
    </row>
    <row r="406" customFormat="false" ht="15.75" hidden="false" customHeight="true" outlineLevel="0" collapsed="false">
      <c r="A406" s="89"/>
      <c r="O406" s="90"/>
    </row>
    <row r="407" customFormat="false" ht="15.75" hidden="false" customHeight="true" outlineLevel="0" collapsed="false">
      <c r="A407" s="89"/>
      <c r="O407" s="90"/>
    </row>
    <row r="408" customFormat="false" ht="15.75" hidden="false" customHeight="true" outlineLevel="0" collapsed="false">
      <c r="A408" s="89"/>
      <c r="O408" s="90"/>
    </row>
    <row r="409" customFormat="false" ht="15.75" hidden="false" customHeight="true" outlineLevel="0" collapsed="false">
      <c r="A409" s="89"/>
      <c r="O409" s="90"/>
    </row>
    <row r="410" customFormat="false" ht="15.75" hidden="false" customHeight="true" outlineLevel="0" collapsed="false">
      <c r="A410" s="89"/>
      <c r="O410" s="90"/>
    </row>
    <row r="411" customFormat="false" ht="15.75" hidden="false" customHeight="true" outlineLevel="0" collapsed="false">
      <c r="A411" s="89"/>
      <c r="O411" s="90"/>
    </row>
    <row r="412" customFormat="false" ht="15.75" hidden="false" customHeight="true" outlineLevel="0" collapsed="false">
      <c r="A412" s="89"/>
      <c r="O412" s="90"/>
    </row>
    <row r="413" customFormat="false" ht="15.75" hidden="false" customHeight="true" outlineLevel="0" collapsed="false">
      <c r="A413" s="89"/>
      <c r="O413" s="90"/>
    </row>
    <row r="414" customFormat="false" ht="15.75" hidden="false" customHeight="true" outlineLevel="0" collapsed="false">
      <c r="A414" s="89"/>
      <c r="O414" s="90"/>
    </row>
    <row r="415" customFormat="false" ht="15.75" hidden="false" customHeight="true" outlineLevel="0" collapsed="false">
      <c r="A415" s="89"/>
      <c r="O415" s="90"/>
    </row>
    <row r="416" customFormat="false" ht="15.75" hidden="false" customHeight="true" outlineLevel="0" collapsed="false">
      <c r="A416" s="89"/>
      <c r="O416" s="90"/>
    </row>
    <row r="417" customFormat="false" ht="15.75" hidden="false" customHeight="true" outlineLevel="0" collapsed="false">
      <c r="A417" s="89"/>
      <c r="O417" s="90"/>
    </row>
    <row r="418" customFormat="false" ht="15.75" hidden="false" customHeight="true" outlineLevel="0" collapsed="false">
      <c r="A418" s="89"/>
      <c r="O418" s="90"/>
    </row>
    <row r="419" customFormat="false" ht="15.75" hidden="false" customHeight="true" outlineLevel="0" collapsed="false">
      <c r="A419" s="89"/>
      <c r="O419" s="90"/>
    </row>
    <row r="420" customFormat="false" ht="15.75" hidden="false" customHeight="true" outlineLevel="0" collapsed="false">
      <c r="A420" s="89"/>
      <c r="O420" s="90"/>
    </row>
    <row r="421" customFormat="false" ht="15.75" hidden="false" customHeight="true" outlineLevel="0" collapsed="false">
      <c r="A421" s="89"/>
      <c r="O421" s="90"/>
    </row>
    <row r="422" customFormat="false" ht="15.75" hidden="false" customHeight="true" outlineLevel="0" collapsed="false">
      <c r="A422" s="89"/>
      <c r="O422" s="90"/>
    </row>
    <row r="423" customFormat="false" ht="15.75" hidden="false" customHeight="true" outlineLevel="0" collapsed="false">
      <c r="A423" s="89"/>
      <c r="O423" s="90"/>
    </row>
    <row r="424" customFormat="false" ht="15.75" hidden="false" customHeight="true" outlineLevel="0" collapsed="false">
      <c r="A424" s="89"/>
      <c r="O424" s="90"/>
    </row>
    <row r="425" customFormat="false" ht="15.75" hidden="false" customHeight="true" outlineLevel="0" collapsed="false">
      <c r="A425" s="89"/>
      <c r="O425" s="90"/>
    </row>
    <row r="426" customFormat="false" ht="15.75" hidden="false" customHeight="true" outlineLevel="0" collapsed="false">
      <c r="A426" s="89"/>
      <c r="O426" s="90"/>
    </row>
    <row r="427" customFormat="false" ht="15.75" hidden="false" customHeight="true" outlineLevel="0" collapsed="false">
      <c r="A427" s="89"/>
      <c r="O427" s="90"/>
    </row>
    <row r="428" customFormat="false" ht="15.75" hidden="false" customHeight="true" outlineLevel="0" collapsed="false">
      <c r="A428" s="89"/>
      <c r="O428" s="90"/>
    </row>
    <row r="429" customFormat="false" ht="15.75" hidden="false" customHeight="true" outlineLevel="0" collapsed="false">
      <c r="A429" s="89"/>
      <c r="O429" s="90"/>
    </row>
    <row r="430" customFormat="false" ht="15.75" hidden="false" customHeight="true" outlineLevel="0" collapsed="false">
      <c r="A430" s="89"/>
      <c r="O430" s="90"/>
    </row>
    <row r="431" customFormat="false" ht="15.75" hidden="false" customHeight="true" outlineLevel="0" collapsed="false">
      <c r="A431" s="89"/>
      <c r="O431" s="90"/>
    </row>
    <row r="432" customFormat="false" ht="15.75" hidden="false" customHeight="true" outlineLevel="0" collapsed="false">
      <c r="A432" s="89"/>
      <c r="O432" s="90"/>
    </row>
    <row r="433" customFormat="false" ht="15.75" hidden="false" customHeight="true" outlineLevel="0" collapsed="false">
      <c r="A433" s="89"/>
      <c r="O433" s="90"/>
    </row>
    <row r="434" customFormat="false" ht="15.75" hidden="false" customHeight="true" outlineLevel="0" collapsed="false">
      <c r="A434" s="89"/>
      <c r="O434" s="90"/>
    </row>
    <row r="435" customFormat="false" ht="15.75" hidden="false" customHeight="true" outlineLevel="0" collapsed="false">
      <c r="A435" s="89"/>
      <c r="O435" s="90"/>
    </row>
    <row r="436" customFormat="false" ht="15.75" hidden="false" customHeight="true" outlineLevel="0" collapsed="false">
      <c r="A436" s="89"/>
      <c r="O436" s="90"/>
    </row>
    <row r="437" customFormat="false" ht="15.75" hidden="false" customHeight="true" outlineLevel="0" collapsed="false">
      <c r="A437" s="89"/>
      <c r="O437" s="90"/>
    </row>
    <row r="438" customFormat="false" ht="15.75" hidden="false" customHeight="true" outlineLevel="0" collapsed="false">
      <c r="A438" s="89"/>
      <c r="O438" s="90"/>
    </row>
    <row r="439" customFormat="false" ht="15.75" hidden="false" customHeight="true" outlineLevel="0" collapsed="false">
      <c r="A439" s="89"/>
      <c r="O439" s="90"/>
    </row>
    <row r="440" customFormat="false" ht="15.75" hidden="false" customHeight="true" outlineLevel="0" collapsed="false">
      <c r="A440" s="89"/>
      <c r="O440" s="90"/>
    </row>
    <row r="441" customFormat="false" ht="15.75" hidden="false" customHeight="true" outlineLevel="0" collapsed="false">
      <c r="A441" s="89"/>
      <c r="O441" s="90"/>
    </row>
    <row r="442" customFormat="false" ht="15.75" hidden="false" customHeight="true" outlineLevel="0" collapsed="false">
      <c r="A442" s="89"/>
      <c r="O442" s="90"/>
    </row>
    <row r="443" customFormat="false" ht="15.75" hidden="false" customHeight="true" outlineLevel="0" collapsed="false">
      <c r="A443" s="89"/>
      <c r="O443" s="90"/>
    </row>
    <row r="444" customFormat="false" ht="15.75" hidden="false" customHeight="true" outlineLevel="0" collapsed="false">
      <c r="A444" s="89"/>
      <c r="O444" s="90"/>
    </row>
    <row r="445" customFormat="false" ht="15.75" hidden="false" customHeight="true" outlineLevel="0" collapsed="false">
      <c r="A445" s="89"/>
      <c r="O445" s="90"/>
    </row>
    <row r="446" customFormat="false" ht="15.75" hidden="false" customHeight="true" outlineLevel="0" collapsed="false">
      <c r="A446" s="89"/>
      <c r="O446" s="90"/>
    </row>
    <row r="447" customFormat="false" ht="15.75" hidden="false" customHeight="true" outlineLevel="0" collapsed="false">
      <c r="A447" s="89"/>
      <c r="O447" s="90"/>
    </row>
    <row r="448" customFormat="false" ht="15.75" hidden="false" customHeight="true" outlineLevel="0" collapsed="false">
      <c r="A448" s="89"/>
      <c r="O448" s="90"/>
    </row>
    <row r="449" customFormat="false" ht="15.75" hidden="false" customHeight="true" outlineLevel="0" collapsed="false">
      <c r="A449" s="89"/>
      <c r="O449" s="90"/>
    </row>
    <row r="450" customFormat="false" ht="15.75" hidden="false" customHeight="true" outlineLevel="0" collapsed="false">
      <c r="A450" s="89"/>
      <c r="O450" s="90"/>
    </row>
    <row r="451" customFormat="false" ht="15.75" hidden="false" customHeight="true" outlineLevel="0" collapsed="false">
      <c r="A451" s="89"/>
      <c r="O451" s="90"/>
    </row>
    <row r="452" customFormat="false" ht="15.75" hidden="false" customHeight="true" outlineLevel="0" collapsed="false">
      <c r="A452" s="89"/>
      <c r="O452" s="90"/>
    </row>
    <row r="453" customFormat="false" ht="15.75" hidden="false" customHeight="true" outlineLevel="0" collapsed="false">
      <c r="A453" s="89"/>
      <c r="O453" s="90"/>
    </row>
    <row r="454" customFormat="false" ht="15.75" hidden="false" customHeight="true" outlineLevel="0" collapsed="false">
      <c r="A454" s="89"/>
      <c r="O454" s="90"/>
    </row>
    <row r="455" customFormat="false" ht="15.75" hidden="false" customHeight="true" outlineLevel="0" collapsed="false">
      <c r="A455" s="89"/>
      <c r="O455" s="90"/>
    </row>
    <row r="456" customFormat="false" ht="15.75" hidden="false" customHeight="true" outlineLevel="0" collapsed="false">
      <c r="A456" s="89"/>
      <c r="O456" s="90"/>
    </row>
    <row r="457" customFormat="false" ht="15.75" hidden="false" customHeight="true" outlineLevel="0" collapsed="false">
      <c r="A457" s="89"/>
      <c r="O457" s="90"/>
    </row>
    <row r="458" customFormat="false" ht="15.75" hidden="false" customHeight="true" outlineLevel="0" collapsed="false">
      <c r="A458" s="89"/>
      <c r="O458" s="90"/>
    </row>
    <row r="459" customFormat="false" ht="15.75" hidden="false" customHeight="true" outlineLevel="0" collapsed="false">
      <c r="A459" s="89"/>
      <c r="O459" s="90"/>
    </row>
    <row r="460" customFormat="false" ht="15.75" hidden="false" customHeight="true" outlineLevel="0" collapsed="false">
      <c r="A460" s="89"/>
      <c r="O460" s="90"/>
    </row>
    <row r="461" customFormat="false" ht="15.75" hidden="false" customHeight="true" outlineLevel="0" collapsed="false">
      <c r="A461" s="89"/>
      <c r="O461" s="90"/>
    </row>
    <row r="462" customFormat="false" ht="15.75" hidden="false" customHeight="true" outlineLevel="0" collapsed="false">
      <c r="A462" s="89"/>
      <c r="O462" s="90"/>
    </row>
    <row r="463" customFormat="false" ht="15.75" hidden="false" customHeight="true" outlineLevel="0" collapsed="false">
      <c r="A463" s="89"/>
      <c r="O463" s="90"/>
    </row>
    <row r="464" customFormat="false" ht="15.75" hidden="false" customHeight="true" outlineLevel="0" collapsed="false">
      <c r="A464" s="89"/>
      <c r="O464" s="90"/>
    </row>
    <row r="465" customFormat="false" ht="15.75" hidden="false" customHeight="true" outlineLevel="0" collapsed="false">
      <c r="A465" s="89"/>
      <c r="O465" s="90"/>
    </row>
    <row r="466" customFormat="false" ht="15.75" hidden="false" customHeight="true" outlineLevel="0" collapsed="false">
      <c r="A466" s="89"/>
      <c r="O466" s="90"/>
    </row>
    <row r="467" customFormat="false" ht="15.75" hidden="false" customHeight="true" outlineLevel="0" collapsed="false">
      <c r="A467" s="89"/>
      <c r="O467" s="90"/>
    </row>
    <row r="468" customFormat="false" ht="15.75" hidden="false" customHeight="true" outlineLevel="0" collapsed="false">
      <c r="A468" s="89"/>
      <c r="O468" s="90"/>
    </row>
    <row r="469" customFormat="false" ht="15.75" hidden="false" customHeight="true" outlineLevel="0" collapsed="false">
      <c r="A469" s="89"/>
      <c r="O469" s="90"/>
    </row>
    <row r="470" customFormat="false" ht="15.75" hidden="false" customHeight="true" outlineLevel="0" collapsed="false">
      <c r="A470" s="89"/>
      <c r="O470" s="90"/>
    </row>
    <row r="471" customFormat="false" ht="15.75" hidden="false" customHeight="true" outlineLevel="0" collapsed="false">
      <c r="A471" s="89"/>
      <c r="O471" s="90"/>
    </row>
    <row r="472" customFormat="false" ht="15.75" hidden="false" customHeight="true" outlineLevel="0" collapsed="false">
      <c r="A472" s="89"/>
      <c r="O472" s="90"/>
    </row>
    <row r="473" customFormat="false" ht="15.75" hidden="false" customHeight="true" outlineLevel="0" collapsed="false">
      <c r="A473" s="89"/>
      <c r="O473" s="90"/>
    </row>
    <row r="474" customFormat="false" ht="15.75" hidden="false" customHeight="true" outlineLevel="0" collapsed="false">
      <c r="A474" s="89"/>
      <c r="O474" s="90"/>
    </row>
    <row r="475" customFormat="false" ht="15.75" hidden="false" customHeight="true" outlineLevel="0" collapsed="false">
      <c r="A475" s="89"/>
      <c r="O475" s="90"/>
    </row>
    <row r="476" customFormat="false" ht="15.75" hidden="false" customHeight="true" outlineLevel="0" collapsed="false">
      <c r="A476" s="89"/>
      <c r="O476" s="90"/>
    </row>
    <row r="477" customFormat="false" ht="15.75" hidden="false" customHeight="true" outlineLevel="0" collapsed="false">
      <c r="A477" s="89"/>
      <c r="O477" s="90"/>
    </row>
    <row r="478" customFormat="false" ht="15.75" hidden="false" customHeight="true" outlineLevel="0" collapsed="false">
      <c r="A478" s="89"/>
      <c r="O478" s="90"/>
    </row>
    <row r="479" customFormat="false" ht="15.75" hidden="false" customHeight="true" outlineLevel="0" collapsed="false">
      <c r="A479" s="89"/>
      <c r="O479" s="90"/>
    </row>
    <row r="480" customFormat="false" ht="15.75" hidden="false" customHeight="true" outlineLevel="0" collapsed="false">
      <c r="A480" s="89"/>
      <c r="O480" s="90"/>
    </row>
    <row r="481" customFormat="false" ht="15.75" hidden="false" customHeight="true" outlineLevel="0" collapsed="false">
      <c r="A481" s="89"/>
      <c r="O481" s="90"/>
    </row>
    <row r="482" customFormat="false" ht="15.75" hidden="false" customHeight="true" outlineLevel="0" collapsed="false">
      <c r="A482" s="89"/>
      <c r="O482" s="90"/>
    </row>
    <row r="483" customFormat="false" ht="15.75" hidden="false" customHeight="true" outlineLevel="0" collapsed="false">
      <c r="A483" s="89"/>
      <c r="O483" s="90"/>
    </row>
    <row r="484" customFormat="false" ht="15.75" hidden="false" customHeight="true" outlineLevel="0" collapsed="false">
      <c r="A484" s="89"/>
      <c r="O484" s="90"/>
    </row>
    <row r="485" customFormat="false" ht="15.75" hidden="false" customHeight="true" outlineLevel="0" collapsed="false">
      <c r="A485" s="89"/>
      <c r="O485" s="90"/>
    </row>
    <row r="486" customFormat="false" ht="15.75" hidden="false" customHeight="true" outlineLevel="0" collapsed="false">
      <c r="A486" s="89"/>
      <c r="O486" s="90"/>
    </row>
    <row r="487" customFormat="false" ht="15.75" hidden="false" customHeight="true" outlineLevel="0" collapsed="false">
      <c r="A487" s="89"/>
      <c r="O487" s="90"/>
    </row>
    <row r="488" customFormat="false" ht="15.75" hidden="false" customHeight="true" outlineLevel="0" collapsed="false">
      <c r="A488" s="89"/>
      <c r="O488" s="90"/>
    </row>
    <row r="489" customFormat="false" ht="15.75" hidden="false" customHeight="true" outlineLevel="0" collapsed="false">
      <c r="A489" s="89"/>
      <c r="O489" s="90"/>
    </row>
    <row r="490" customFormat="false" ht="15.75" hidden="false" customHeight="true" outlineLevel="0" collapsed="false">
      <c r="A490" s="89"/>
      <c r="O490" s="90"/>
    </row>
    <row r="491" customFormat="false" ht="15.75" hidden="false" customHeight="true" outlineLevel="0" collapsed="false">
      <c r="A491" s="89"/>
      <c r="O491" s="90"/>
    </row>
    <row r="492" customFormat="false" ht="15.75" hidden="false" customHeight="true" outlineLevel="0" collapsed="false">
      <c r="A492" s="89"/>
      <c r="O492" s="90"/>
    </row>
    <row r="493" customFormat="false" ht="15.75" hidden="false" customHeight="true" outlineLevel="0" collapsed="false">
      <c r="A493" s="89"/>
      <c r="O493" s="90"/>
    </row>
    <row r="494" customFormat="false" ht="15.75" hidden="false" customHeight="true" outlineLevel="0" collapsed="false">
      <c r="A494" s="89"/>
      <c r="O494" s="90"/>
    </row>
    <row r="495" customFormat="false" ht="15.75" hidden="false" customHeight="true" outlineLevel="0" collapsed="false">
      <c r="A495" s="89"/>
      <c r="O495" s="90"/>
    </row>
    <row r="496" customFormat="false" ht="15.75" hidden="false" customHeight="true" outlineLevel="0" collapsed="false">
      <c r="A496" s="89"/>
      <c r="O496" s="90"/>
    </row>
    <row r="497" customFormat="false" ht="15.75" hidden="false" customHeight="true" outlineLevel="0" collapsed="false">
      <c r="A497" s="89"/>
      <c r="O497" s="90"/>
    </row>
    <row r="498" customFormat="false" ht="15.75" hidden="false" customHeight="true" outlineLevel="0" collapsed="false">
      <c r="A498" s="89"/>
      <c r="O498" s="90"/>
    </row>
    <row r="499" customFormat="false" ht="15.75" hidden="false" customHeight="true" outlineLevel="0" collapsed="false">
      <c r="A499" s="89"/>
      <c r="O499" s="90"/>
    </row>
    <row r="500" customFormat="false" ht="15.75" hidden="false" customHeight="true" outlineLevel="0" collapsed="false">
      <c r="A500" s="89"/>
      <c r="O500" s="90"/>
    </row>
    <row r="501" customFormat="false" ht="15.75" hidden="false" customHeight="true" outlineLevel="0" collapsed="false">
      <c r="A501" s="89"/>
      <c r="O501" s="90"/>
    </row>
    <row r="502" customFormat="false" ht="15.75" hidden="false" customHeight="true" outlineLevel="0" collapsed="false">
      <c r="A502" s="89"/>
      <c r="O502" s="90"/>
    </row>
    <row r="503" customFormat="false" ht="15.75" hidden="false" customHeight="true" outlineLevel="0" collapsed="false">
      <c r="A503" s="89"/>
      <c r="O503" s="90"/>
    </row>
    <row r="504" customFormat="false" ht="15.75" hidden="false" customHeight="true" outlineLevel="0" collapsed="false">
      <c r="A504" s="89"/>
      <c r="O504" s="90"/>
    </row>
    <row r="505" customFormat="false" ht="15.75" hidden="false" customHeight="true" outlineLevel="0" collapsed="false">
      <c r="A505" s="89"/>
      <c r="O505" s="90"/>
    </row>
    <row r="506" customFormat="false" ht="15.75" hidden="false" customHeight="true" outlineLevel="0" collapsed="false">
      <c r="A506" s="89"/>
      <c r="O506" s="90"/>
    </row>
    <row r="507" customFormat="false" ht="15.75" hidden="false" customHeight="true" outlineLevel="0" collapsed="false">
      <c r="A507" s="89"/>
      <c r="O507" s="90"/>
    </row>
    <row r="508" customFormat="false" ht="15.75" hidden="false" customHeight="true" outlineLevel="0" collapsed="false">
      <c r="A508" s="89"/>
      <c r="O508" s="90"/>
    </row>
    <row r="509" customFormat="false" ht="15.75" hidden="false" customHeight="true" outlineLevel="0" collapsed="false">
      <c r="A509" s="89"/>
      <c r="O509" s="90"/>
    </row>
    <row r="510" customFormat="false" ht="15.75" hidden="false" customHeight="true" outlineLevel="0" collapsed="false">
      <c r="A510" s="89"/>
      <c r="O510" s="90"/>
    </row>
    <row r="511" customFormat="false" ht="15.75" hidden="false" customHeight="true" outlineLevel="0" collapsed="false">
      <c r="A511" s="89"/>
      <c r="O511" s="90"/>
    </row>
    <row r="512" customFormat="false" ht="15.75" hidden="false" customHeight="true" outlineLevel="0" collapsed="false">
      <c r="A512" s="89"/>
      <c r="O512" s="90"/>
    </row>
    <row r="513" customFormat="false" ht="15.75" hidden="false" customHeight="true" outlineLevel="0" collapsed="false">
      <c r="A513" s="89"/>
      <c r="O513" s="90"/>
    </row>
    <row r="514" customFormat="false" ht="15.75" hidden="false" customHeight="true" outlineLevel="0" collapsed="false">
      <c r="A514" s="89"/>
      <c r="O514" s="90"/>
    </row>
    <row r="515" customFormat="false" ht="15.75" hidden="false" customHeight="true" outlineLevel="0" collapsed="false">
      <c r="A515" s="89"/>
      <c r="O515" s="90"/>
    </row>
    <row r="516" customFormat="false" ht="15.75" hidden="false" customHeight="true" outlineLevel="0" collapsed="false">
      <c r="A516" s="89"/>
      <c r="O516" s="90"/>
    </row>
    <row r="517" customFormat="false" ht="15.75" hidden="false" customHeight="true" outlineLevel="0" collapsed="false">
      <c r="A517" s="89"/>
      <c r="O517" s="90"/>
    </row>
    <row r="518" customFormat="false" ht="15.75" hidden="false" customHeight="true" outlineLevel="0" collapsed="false">
      <c r="A518" s="89"/>
      <c r="O518" s="90"/>
    </row>
    <row r="519" customFormat="false" ht="15.75" hidden="false" customHeight="true" outlineLevel="0" collapsed="false">
      <c r="A519" s="89"/>
      <c r="O519" s="90"/>
    </row>
    <row r="520" customFormat="false" ht="15.75" hidden="false" customHeight="true" outlineLevel="0" collapsed="false">
      <c r="A520" s="89"/>
      <c r="O520" s="90"/>
    </row>
    <row r="521" customFormat="false" ht="15.75" hidden="false" customHeight="true" outlineLevel="0" collapsed="false">
      <c r="A521" s="89"/>
      <c r="O521" s="90"/>
    </row>
    <row r="522" customFormat="false" ht="15.75" hidden="false" customHeight="true" outlineLevel="0" collapsed="false">
      <c r="A522" s="89"/>
      <c r="O522" s="90"/>
    </row>
    <row r="523" customFormat="false" ht="15.75" hidden="false" customHeight="true" outlineLevel="0" collapsed="false">
      <c r="A523" s="89"/>
      <c r="O523" s="90"/>
    </row>
    <row r="524" customFormat="false" ht="15.75" hidden="false" customHeight="true" outlineLevel="0" collapsed="false">
      <c r="A524" s="89"/>
      <c r="O524" s="90"/>
    </row>
    <row r="525" customFormat="false" ht="15.75" hidden="false" customHeight="true" outlineLevel="0" collapsed="false">
      <c r="A525" s="89"/>
      <c r="O525" s="90"/>
    </row>
    <row r="526" customFormat="false" ht="15.75" hidden="false" customHeight="true" outlineLevel="0" collapsed="false">
      <c r="A526" s="89"/>
      <c r="O526" s="90"/>
    </row>
    <row r="527" customFormat="false" ht="15.75" hidden="false" customHeight="true" outlineLevel="0" collapsed="false">
      <c r="A527" s="89"/>
      <c r="O527" s="90"/>
    </row>
    <row r="528" customFormat="false" ht="15.75" hidden="false" customHeight="true" outlineLevel="0" collapsed="false">
      <c r="A528" s="89"/>
      <c r="O528" s="90"/>
    </row>
    <row r="529" customFormat="false" ht="15.75" hidden="false" customHeight="true" outlineLevel="0" collapsed="false">
      <c r="A529" s="89"/>
      <c r="O529" s="90"/>
    </row>
    <row r="530" customFormat="false" ht="15.75" hidden="false" customHeight="true" outlineLevel="0" collapsed="false">
      <c r="A530" s="89"/>
      <c r="O530" s="90"/>
    </row>
    <row r="531" customFormat="false" ht="15.75" hidden="false" customHeight="true" outlineLevel="0" collapsed="false">
      <c r="A531" s="89"/>
      <c r="O531" s="90"/>
    </row>
    <row r="532" customFormat="false" ht="15.75" hidden="false" customHeight="true" outlineLevel="0" collapsed="false">
      <c r="A532" s="89"/>
      <c r="O532" s="90"/>
    </row>
    <row r="533" customFormat="false" ht="15.75" hidden="false" customHeight="true" outlineLevel="0" collapsed="false">
      <c r="A533" s="89"/>
      <c r="O533" s="90"/>
    </row>
    <row r="534" customFormat="false" ht="15.75" hidden="false" customHeight="true" outlineLevel="0" collapsed="false">
      <c r="A534" s="89"/>
      <c r="O534" s="90"/>
    </row>
    <row r="535" customFormat="false" ht="15.75" hidden="false" customHeight="true" outlineLevel="0" collapsed="false">
      <c r="A535" s="89"/>
      <c r="O535" s="90"/>
    </row>
    <row r="536" customFormat="false" ht="15.75" hidden="false" customHeight="true" outlineLevel="0" collapsed="false">
      <c r="A536" s="89"/>
      <c r="O536" s="90"/>
    </row>
    <row r="537" customFormat="false" ht="15.75" hidden="false" customHeight="true" outlineLevel="0" collapsed="false">
      <c r="A537" s="89"/>
      <c r="O537" s="90"/>
    </row>
    <row r="538" customFormat="false" ht="15.75" hidden="false" customHeight="true" outlineLevel="0" collapsed="false">
      <c r="A538" s="89"/>
      <c r="O538" s="90"/>
    </row>
    <row r="539" customFormat="false" ht="15.75" hidden="false" customHeight="true" outlineLevel="0" collapsed="false">
      <c r="A539" s="89"/>
      <c r="O539" s="90"/>
    </row>
    <row r="540" customFormat="false" ht="15.75" hidden="false" customHeight="true" outlineLevel="0" collapsed="false">
      <c r="A540" s="89"/>
      <c r="O540" s="90"/>
    </row>
    <row r="541" customFormat="false" ht="15.75" hidden="false" customHeight="true" outlineLevel="0" collapsed="false">
      <c r="A541" s="89"/>
      <c r="O541" s="90"/>
    </row>
    <row r="542" customFormat="false" ht="15.75" hidden="false" customHeight="true" outlineLevel="0" collapsed="false">
      <c r="A542" s="89"/>
      <c r="O542" s="90"/>
    </row>
    <row r="543" customFormat="false" ht="15.75" hidden="false" customHeight="true" outlineLevel="0" collapsed="false">
      <c r="A543" s="89"/>
      <c r="O543" s="90"/>
    </row>
    <row r="544" customFormat="false" ht="15.75" hidden="false" customHeight="true" outlineLevel="0" collapsed="false">
      <c r="A544" s="89"/>
      <c r="O544" s="90"/>
    </row>
    <row r="545" customFormat="false" ht="15.75" hidden="false" customHeight="true" outlineLevel="0" collapsed="false">
      <c r="A545" s="89"/>
      <c r="O545" s="90"/>
    </row>
    <row r="546" customFormat="false" ht="15.75" hidden="false" customHeight="true" outlineLevel="0" collapsed="false">
      <c r="A546" s="89"/>
      <c r="O546" s="90"/>
    </row>
    <row r="547" customFormat="false" ht="15.75" hidden="false" customHeight="true" outlineLevel="0" collapsed="false">
      <c r="A547" s="89"/>
      <c r="O547" s="90"/>
    </row>
    <row r="548" customFormat="false" ht="15.75" hidden="false" customHeight="true" outlineLevel="0" collapsed="false">
      <c r="A548" s="89"/>
      <c r="O548" s="90"/>
    </row>
    <row r="549" customFormat="false" ht="15.75" hidden="false" customHeight="true" outlineLevel="0" collapsed="false">
      <c r="A549" s="89"/>
      <c r="O549" s="90"/>
    </row>
    <row r="550" customFormat="false" ht="15.75" hidden="false" customHeight="true" outlineLevel="0" collapsed="false">
      <c r="A550" s="89"/>
      <c r="O550" s="90"/>
    </row>
    <row r="551" customFormat="false" ht="15.75" hidden="false" customHeight="true" outlineLevel="0" collapsed="false">
      <c r="A551" s="89"/>
      <c r="O551" s="90"/>
    </row>
    <row r="552" customFormat="false" ht="15.75" hidden="false" customHeight="true" outlineLevel="0" collapsed="false">
      <c r="A552" s="89"/>
      <c r="O552" s="90"/>
    </row>
    <row r="553" customFormat="false" ht="15.75" hidden="false" customHeight="true" outlineLevel="0" collapsed="false">
      <c r="A553" s="89"/>
      <c r="O553" s="90"/>
    </row>
    <row r="554" customFormat="false" ht="15.75" hidden="false" customHeight="true" outlineLevel="0" collapsed="false">
      <c r="A554" s="89"/>
      <c r="O554" s="90"/>
    </row>
    <row r="555" customFormat="false" ht="15.75" hidden="false" customHeight="true" outlineLevel="0" collapsed="false">
      <c r="A555" s="89"/>
      <c r="O555" s="90"/>
    </row>
    <row r="556" customFormat="false" ht="15.75" hidden="false" customHeight="true" outlineLevel="0" collapsed="false">
      <c r="A556" s="89"/>
      <c r="O556" s="90"/>
    </row>
    <row r="557" customFormat="false" ht="15.75" hidden="false" customHeight="true" outlineLevel="0" collapsed="false">
      <c r="A557" s="89"/>
      <c r="O557" s="90"/>
    </row>
    <row r="558" customFormat="false" ht="15.75" hidden="false" customHeight="true" outlineLevel="0" collapsed="false">
      <c r="A558" s="89"/>
      <c r="O558" s="90"/>
    </row>
    <row r="559" customFormat="false" ht="15.75" hidden="false" customHeight="true" outlineLevel="0" collapsed="false">
      <c r="A559" s="89"/>
      <c r="O559" s="90"/>
    </row>
    <row r="560" customFormat="false" ht="15.75" hidden="false" customHeight="true" outlineLevel="0" collapsed="false">
      <c r="A560" s="89"/>
      <c r="O560" s="90"/>
    </row>
    <row r="561" customFormat="false" ht="15.75" hidden="false" customHeight="true" outlineLevel="0" collapsed="false">
      <c r="A561" s="89"/>
      <c r="O561" s="90"/>
    </row>
    <row r="562" customFormat="false" ht="15.75" hidden="false" customHeight="true" outlineLevel="0" collapsed="false">
      <c r="A562" s="89"/>
      <c r="O562" s="90"/>
    </row>
    <row r="563" customFormat="false" ht="15.75" hidden="false" customHeight="true" outlineLevel="0" collapsed="false">
      <c r="A563" s="89"/>
      <c r="O563" s="90"/>
    </row>
    <row r="564" customFormat="false" ht="15.75" hidden="false" customHeight="true" outlineLevel="0" collapsed="false">
      <c r="A564" s="89"/>
      <c r="O564" s="90"/>
    </row>
    <row r="565" customFormat="false" ht="15.75" hidden="false" customHeight="true" outlineLevel="0" collapsed="false">
      <c r="A565" s="89"/>
      <c r="O565" s="90"/>
    </row>
    <row r="566" customFormat="false" ht="15.75" hidden="false" customHeight="true" outlineLevel="0" collapsed="false">
      <c r="A566" s="89"/>
      <c r="O566" s="90"/>
    </row>
    <row r="567" customFormat="false" ht="15.75" hidden="false" customHeight="true" outlineLevel="0" collapsed="false">
      <c r="A567" s="89"/>
      <c r="O567" s="90"/>
    </row>
    <row r="568" customFormat="false" ht="15.75" hidden="false" customHeight="true" outlineLevel="0" collapsed="false">
      <c r="A568" s="89"/>
      <c r="O568" s="90"/>
    </row>
    <row r="569" customFormat="false" ht="15.75" hidden="false" customHeight="true" outlineLevel="0" collapsed="false">
      <c r="A569" s="89"/>
      <c r="O569" s="90"/>
    </row>
    <row r="570" customFormat="false" ht="15.75" hidden="false" customHeight="true" outlineLevel="0" collapsed="false">
      <c r="A570" s="89"/>
      <c r="O570" s="90"/>
    </row>
    <row r="571" customFormat="false" ht="15.75" hidden="false" customHeight="true" outlineLevel="0" collapsed="false">
      <c r="A571" s="89"/>
      <c r="O571" s="90"/>
    </row>
    <row r="572" customFormat="false" ht="15.75" hidden="false" customHeight="true" outlineLevel="0" collapsed="false">
      <c r="A572" s="89"/>
      <c r="O572" s="90"/>
    </row>
    <row r="573" customFormat="false" ht="15.75" hidden="false" customHeight="true" outlineLevel="0" collapsed="false">
      <c r="A573" s="89"/>
      <c r="O573" s="90"/>
    </row>
    <row r="574" customFormat="false" ht="15.75" hidden="false" customHeight="true" outlineLevel="0" collapsed="false">
      <c r="A574" s="89"/>
      <c r="O574" s="90"/>
    </row>
    <row r="575" customFormat="false" ht="15.75" hidden="false" customHeight="true" outlineLevel="0" collapsed="false">
      <c r="A575" s="89"/>
      <c r="O575" s="90"/>
    </row>
    <row r="576" customFormat="false" ht="15.75" hidden="false" customHeight="true" outlineLevel="0" collapsed="false">
      <c r="A576" s="89"/>
      <c r="O576" s="90"/>
    </row>
    <row r="577" customFormat="false" ht="15.75" hidden="false" customHeight="true" outlineLevel="0" collapsed="false">
      <c r="A577" s="89"/>
      <c r="O577" s="90"/>
    </row>
    <row r="578" customFormat="false" ht="15.75" hidden="false" customHeight="true" outlineLevel="0" collapsed="false">
      <c r="A578" s="89"/>
      <c r="O578" s="90"/>
    </row>
    <row r="579" customFormat="false" ht="15.75" hidden="false" customHeight="true" outlineLevel="0" collapsed="false">
      <c r="A579" s="89"/>
      <c r="O579" s="90"/>
    </row>
    <row r="580" customFormat="false" ht="15.75" hidden="false" customHeight="true" outlineLevel="0" collapsed="false">
      <c r="A580" s="89"/>
      <c r="O580" s="90"/>
    </row>
    <row r="581" customFormat="false" ht="15.75" hidden="false" customHeight="true" outlineLevel="0" collapsed="false">
      <c r="A581" s="89"/>
      <c r="O581" s="90"/>
    </row>
    <row r="582" customFormat="false" ht="15.75" hidden="false" customHeight="true" outlineLevel="0" collapsed="false">
      <c r="A582" s="89"/>
      <c r="O582" s="90"/>
    </row>
    <row r="583" customFormat="false" ht="15.75" hidden="false" customHeight="true" outlineLevel="0" collapsed="false">
      <c r="A583" s="89"/>
      <c r="O583" s="90"/>
    </row>
    <row r="584" customFormat="false" ht="15.75" hidden="false" customHeight="true" outlineLevel="0" collapsed="false">
      <c r="A584" s="89"/>
      <c r="O584" s="90"/>
    </row>
    <row r="585" customFormat="false" ht="15.75" hidden="false" customHeight="true" outlineLevel="0" collapsed="false">
      <c r="A585" s="89"/>
      <c r="O585" s="90"/>
    </row>
    <row r="586" customFormat="false" ht="15.75" hidden="false" customHeight="true" outlineLevel="0" collapsed="false">
      <c r="A586" s="89"/>
      <c r="O586" s="90"/>
    </row>
    <row r="587" customFormat="false" ht="15.75" hidden="false" customHeight="true" outlineLevel="0" collapsed="false">
      <c r="A587" s="89"/>
      <c r="O587" s="90"/>
    </row>
    <row r="588" customFormat="false" ht="15.75" hidden="false" customHeight="true" outlineLevel="0" collapsed="false">
      <c r="A588" s="89"/>
      <c r="O588" s="90"/>
    </row>
    <row r="589" customFormat="false" ht="15.75" hidden="false" customHeight="true" outlineLevel="0" collapsed="false">
      <c r="A589" s="89"/>
      <c r="O589" s="90"/>
    </row>
    <row r="590" customFormat="false" ht="15.75" hidden="false" customHeight="true" outlineLevel="0" collapsed="false">
      <c r="A590" s="89"/>
      <c r="O590" s="90"/>
    </row>
    <row r="591" customFormat="false" ht="15.75" hidden="false" customHeight="true" outlineLevel="0" collapsed="false">
      <c r="A591" s="89"/>
      <c r="O591" s="90"/>
    </row>
    <row r="592" customFormat="false" ht="15.75" hidden="false" customHeight="true" outlineLevel="0" collapsed="false">
      <c r="A592" s="89"/>
      <c r="O592" s="90"/>
    </row>
    <row r="593" customFormat="false" ht="15.75" hidden="false" customHeight="true" outlineLevel="0" collapsed="false">
      <c r="A593" s="89"/>
      <c r="O593" s="90"/>
    </row>
    <row r="594" customFormat="false" ht="15.75" hidden="false" customHeight="true" outlineLevel="0" collapsed="false">
      <c r="A594" s="89"/>
      <c r="O594" s="90"/>
    </row>
    <row r="595" customFormat="false" ht="15.75" hidden="false" customHeight="true" outlineLevel="0" collapsed="false">
      <c r="A595" s="89"/>
      <c r="O595" s="90"/>
    </row>
    <row r="596" customFormat="false" ht="15.75" hidden="false" customHeight="true" outlineLevel="0" collapsed="false">
      <c r="A596" s="89"/>
      <c r="O596" s="90"/>
    </row>
    <row r="597" customFormat="false" ht="15.75" hidden="false" customHeight="true" outlineLevel="0" collapsed="false">
      <c r="A597" s="89"/>
      <c r="O597" s="90"/>
    </row>
    <row r="598" customFormat="false" ht="15.75" hidden="false" customHeight="true" outlineLevel="0" collapsed="false">
      <c r="A598" s="89"/>
      <c r="O598" s="90"/>
    </row>
    <row r="599" customFormat="false" ht="15.75" hidden="false" customHeight="true" outlineLevel="0" collapsed="false">
      <c r="A599" s="89"/>
      <c r="O599" s="90"/>
    </row>
    <row r="600" customFormat="false" ht="15.75" hidden="false" customHeight="true" outlineLevel="0" collapsed="false">
      <c r="A600" s="89"/>
      <c r="O600" s="90"/>
    </row>
    <row r="601" customFormat="false" ht="15.75" hidden="false" customHeight="true" outlineLevel="0" collapsed="false">
      <c r="A601" s="89"/>
      <c r="O601" s="90"/>
    </row>
    <row r="602" customFormat="false" ht="15.75" hidden="false" customHeight="true" outlineLevel="0" collapsed="false">
      <c r="A602" s="89"/>
      <c r="O602" s="90"/>
    </row>
    <row r="603" customFormat="false" ht="15.75" hidden="false" customHeight="true" outlineLevel="0" collapsed="false">
      <c r="A603" s="89"/>
      <c r="O603" s="90"/>
    </row>
    <row r="604" customFormat="false" ht="15.75" hidden="false" customHeight="true" outlineLevel="0" collapsed="false">
      <c r="A604" s="89"/>
      <c r="O604" s="90"/>
    </row>
    <row r="605" customFormat="false" ht="15.75" hidden="false" customHeight="true" outlineLevel="0" collapsed="false">
      <c r="A605" s="89"/>
      <c r="O605" s="90"/>
    </row>
    <row r="606" customFormat="false" ht="15.75" hidden="false" customHeight="true" outlineLevel="0" collapsed="false">
      <c r="A606" s="89"/>
      <c r="O606" s="90"/>
    </row>
    <row r="607" customFormat="false" ht="15.75" hidden="false" customHeight="true" outlineLevel="0" collapsed="false">
      <c r="A607" s="89"/>
      <c r="O607" s="90"/>
    </row>
    <row r="608" customFormat="false" ht="15.75" hidden="false" customHeight="true" outlineLevel="0" collapsed="false">
      <c r="A608" s="89"/>
      <c r="O608" s="90"/>
    </row>
    <row r="609" customFormat="false" ht="15.75" hidden="false" customHeight="true" outlineLevel="0" collapsed="false">
      <c r="A609" s="89"/>
      <c r="O609" s="90"/>
    </row>
    <row r="610" customFormat="false" ht="15.75" hidden="false" customHeight="true" outlineLevel="0" collapsed="false">
      <c r="A610" s="89"/>
      <c r="O610" s="90"/>
    </row>
    <row r="611" customFormat="false" ht="15.75" hidden="false" customHeight="true" outlineLevel="0" collapsed="false">
      <c r="A611" s="89"/>
      <c r="O611" s="90"/>
    </row>
    <row r="612" customFormat="false" ht="15.75" hidden="false" customHeight="true" outlineLevel="0" collapsed="false">
      <c r="A612" s="89"/>
      <c r="O612" s="90"/>
    </row>
    <row r="613" customFormat="false" ht="15.75" hidden="false" customHeight="true" outlineLevel="0" collapsed="false">
      <c r="A613" s="89"/>
      <c r="O613" s="90"/>
    </row>
    <row r="614" customFormat="false" ht="15.75" hidden="false" customHeight="true" outlineLevel="0" collapsed="false">
      <c r="A614" s="89"/>
      <c r="O614" s="90"/>
    </row>
    <row r="615" customFormat="false" ht="15.75" hidden="false" customHeight="true" outlineLevel="0" collapsed="false">
      <c r="A615" s="89"/>
      <c r="O615" s="90"/>
    </row>
    <row r="616" customFormat="false" ht="15.75" hidden="false" customHeight="true" outlineLevel="0" collapsed="false">
      <c r="A616" s="89"/>
      <c r="O616" s="90"/>
    </row>
    <row r="617" customFormat="false" ht="15.75" hidden="false" customHeight="true" outlineLevel="0" collapsed="false">
      <c r="A617" s="89"/>
      <c r="O617" s="90"/>
    </row>
    <row r="618" customFormat="false" ht="15.75" hidden="false" customHeight="true" outlineLevel="0" collapsed="false">
      <c r="A618" s="89"/>
      <c r="O618" s="90"/>
    </row>
    <row r="619" customFormat="false" ht="15.75" hidden="false" customHeight="true" outlineLevel="0" collapsed="false">
      <c r="A619" s="89"/>
      <c r="O619" s="90"/>
    </row>
    <row r="620" customFormat="false" ht="15.75" hidden="false" customHeight="true" outlineLevel="0" collapsed="false">
      <c r="A620" s="89"/>
      <c r="O620" s="90"/>
    </row>
    <row r="621" customFormat="false" ht="15.75" hidden="false" customHeight="true" outlineLevel="0" collapsed="false">
      <c r="A621" s="89"/>
      <c r="O621" s="90"/>
    </row>
    <row r="622" customFormat="false" ht="15.75" hidden="false" customHeight="true" outlineLevel="0" collapsed="false">
      <c r="A622" s="89"/>
      <c r="O622" s="90"/>
    </row>
    <row r="623" customFormat="false" ht="15.75" hidden="false" customHeight="true" outlineLevel="0" collapsed="false">
      <c r="A623" s="89"/>
      <c r="O623" s="90"/>
    </row>
    <row r="624" customFormat="false" ht="15.75" hidden="false" customHeight="true" outlineLevel="0" collapsed="false">
      <c r="A624" s="89"/>
      <c r="O624" s="90"/>
    </row>
    <row r="625" customFormat="false" ht="15.75" hidden="false" customHeight="true" outlineLevel="0" collapsed="false">
      <c r="A625" s="89"/>
      <c r="O625" s="90"/>
    </row>
    <row r="626" customFormat="false" ht="15.75" hidden="false" customHeight="true" outlineLevel="0" collapsed="false">
      <c r="A626" s="89"/>
      <c r="O626" s="90"/>
    </row>
    <row r="627" customFormat="false" ht="15.75" hidden="false" customHeight="true" outlineLevel="0" collapsed="false">
      <c r="A627" s="89"/>
      <c r="O627" s="90"/>
    </row>
    <row r="628" customFormat="false" ht="15.75" hidden="false" customHeight="true" outlineLevel="0" collapsed="false">
      <c r="A628" s="89"/>
      <c r="O628" s="90"/>
    </row>
    <row r="629" customFormat="false" ht="15.75" hidden="false" customHeight="true" outlineLevel="0" collapsed="false">
      <c r="A629" s="89"/>
      <c r="O629" s="90"/>
    </row>
    <row r="630" customFormat="false" ht="15.75" hidden="false" customHeight="true" outlineLevel="0" collapsed="false">
      <c r="A630" s="89"/>
      <c r="O630" s="90"/>
    </row>
    <row r="631" customFormat="false" ht="15.75" hidden="false" customHeight="true" outlineLevel="0" collapsed="false">
      <c r="A631" s="89"/>
      <c r="O631" s="90"/>
    </row>
    <row r="632" customFormat="false" ht="15.75" hidden="false" customHeight="true" outlineLevel="0" collapsed="false">
      <c r="A632" s="89"/>
      <c r="O632" s="90"/>
    </row>
    <row r="633" customFormat="false" ht="15.75" hidden="false" customHeight="true" outlineLevel="0" collapsed="false">
      <c r="A633" s="89"/>
      <c r="O633" s="90"/>
    </row>
    <row r="634" customFormat="false" ht="15.75" hidden="false" customHeight="true" outlineLevel="0" collapsed="false">
      <c r="A634" s="89"/>
      <c r="O634" s="90"/>
    </row>
    <row r="635" customFormat="false" ht="15.75" hidden="false" customHeight="true" outlineLevel="0" collapsed="false">
      <c r="A635" s="89"/>
      <c r="O635" s="90"/>
    </row>
    <row r="636" customFormat="false" ht="15.75" hidden="false" customHeight="true" outlineLevel="0" collapsed="false">
      <c r="A636" s="89"/>
      <c r="O636" s="90"/>
    </row>
    <row r="637" customFormat="false" ht="15.75" hidden="false" customHeight="true" outlineLevel="0" collapsed="false">
      <c r="A637" s="89"/>
      <c r="O637" s="90"/>
    </row>
    <row r="638" customFormat="false" ht="15.75" hidden="false" customHeight="true" outlineLevel="0" collapsed="false">
      <c r="A638" s="89"/>
      <c r="O638" s="90"/>
    </row>
    <row r="639" customFormat="false" ht="15.75" hidden="false" customHeight="true" outlineLevel="0" collapsed="false">
      <c r="A639" s="89"/>
      <c r="O639" s="90"/>
    </row>
    <row r="640" customFormat="false" ht="15.75" hidden="false" customHeight="true" outlineLevel="0" collapsed="false">
      <c r="A640" s="89"/>
      <c r="O640" s="90"/>
    </row>
    <row r="641" customFormat="false" ht="15.75" hidden="false" customHeight="true" outlineLevel="0" collapsed="false">
      <c r="A641" s="89"/>
      <c r="O641" s="90"/>
    </row>
    <row r="642" customFormat="false" ht="15.75" hidden="false" customHeight="true" outlineLevel="0" collapsed="false">
      <c r="A642" s="89"/>
      <c r="O642" s="90"/>
    </row>
    <row r="643" customFormat="false" ht="15.75" hidden="false" customHeight="true" outlineLevel="0" collapsed="false">
      <c r="A643" s="89"/>
      <c r="O643" s="90"/>
    </row>
    <row r="644" customFormat="false" ht="15.75" hidden="false" customHeight="true" outlineLevel="0" collapsed="false">
      <c r="A644" s="89"/>
      <c r="O644" s="90"/>
    </row>
    <row r="645" customFormat="false" ht="15.75" hidden="false" customHeight="true" outlineLevel="0" collapsed="false">
      <c r="A645" s="89"/>
      <c r="O645" s="90"/>
    </row>
    <row r="646" customFormat="false" ht="15.75" hidden="false" customHeight="true" outlineLevel="0" collapsed="false">
      <c r="A646" s="89"/>
      <c r="O646" s="90"/>
    </row>
    <row r="647" customFormat="false" ht="15.75" hidden="false" customHeight="true" outlineLevel="0" collapsed="false">
      <c r="A647" s="89"/>
      <c r="O647" s="90"/>
    </row>
    <row r="648" customFormat="false" ht="15.75" hidden="false" customHeight="true" outlineLevel="0" collapsed="false">
      <c r="A648" s="89"/>
      <c r="O648" s="90"/>
    </row>
    <row r="649" customFormat="false" ht="15.75" hidden="false" customHeight="true" outlineLevel="0" collapsed="false">
      <c r="A649" s="89"/>
      <c r="O649" s="90"/>
    </row>
    <row r="650" customFormat="false" ht="15.75" hidden="false" customHeight="true" outlineLevel="0" collapsed="false">
      <c r="A650" s="89"/>
      <c r="O650" s="90"/>
    </row>
    <row r="651" customFormat="false" ht="15.75" hidden="false" customHeight="true" outlineLevel="0" collapsed="false">
      <c r="A651" s="89"/>
      <c r="O651" s="90"/>
    </row>
    <row r="652" customFormat="false" ht="15.75" hidden="false" customHeight="true" outlineLevel="0" collapsed="false">
      <c r="A652" s="89"/>
      <c r="O652" s="90"/>
    </row>
    <row r="653" customFormat="false" ht="15.75" hidden="false" customHeight="true" outlineLevel="0" collapsed="false">
      <c r="A653" s="89"/>
      <c r="O653" s="90"/>
    </row>
    <row r="654" customFormat="false" ht="15.75" hidden="false" customHeight="true" outlineLevel="0" collapsed="false">
      <c r="A654" s="89"/>
      <c r="O654" s="90"/>
    </row>
    <row r="655" customFormat="false" ht="15.75" hidden="false" customHeight="true" outlineLevel="0" collapsed="false">
      <c r="A655" s="89"/>
      <c r="O655" s="90"/>
    </row>
    <row r="656" customFormat="false" ht="15.75" hidden="false" customHeight="true" outlineLevel="0" collapsed="false">
      <c r="A656" s="89"/>
      <c r="O656" s="90"/>
    </row>
    <row r="657" customFormat="false" ht="15.75" hidden="false" customHeight="true" outlineLevel="0" collapsed="false">
      <c r="A657" s="89"/>
      <c r="O657" s="90"/>
    </row>
    <row r="658" customFormat="false" ht="15.75" hidden="false" customHeight="true" outlineLevel="0" collapsed="false">
      <c r="A658" s="89"/>
      <c r="O658" s="90"/>
    </row>
    <row r="659" customFormat="false" ht="15.75" hidden="false" customHeight="true" outlineLevel="0" collapsed="false">
      <c r="A659" s="89"/>
      <c r="O659" s="90"/>
    </row>
    <row r="660" customFormat="false" ht="15.75" hidden="false" customHeight="true" outlineLevel="0" collapsed="false">
      <c r="A660" s="89"/>
      <c r="O660" s="90"/>
    </row>
    <row r="661" customFormat="false" ht="15.75" hidden="false" customHeight="true" outlineLevel="0" collapsed="false">
      <c r="A661" s="89"/>
      <c r="O661" s="90"/>
    </row>
    <row r="662" customFormat="false" ht="15.75" hidden="false" customHeight="true" outlineLevel="0" collapsed="false">
      <c r="A662" s="89"/>
      <c r="O662" s="90"/>
    </row>
    <row r="663" customFormat="false" ht="15.75" hidden="false" customHeight="true" outlineLevel="0" collapsed="false">
      <c r="A663" s="89"/>
      <c r="O663" s="90"/>
    </row>
    <row r="664" customFormat="false" ht="15.75" hidden="false" customHeight="true" outlineLevel="0" collapsed="false">
      <c r="A664" s="89"/>
      <c r="O664" s="90"/>
    </row>
    <row r="665" customFormat="false" ht="15.75" hidden="false" customHeight="true" outlineLevel="0" collapsed="false">
      <c r="A665" s="89"/>
      <c r="O665" s="90"/>
    </row>
    <row r="666" customFormat="false" ht="15.75" hidden="false" customHeight="true" outlineLevel="0" collapsed="false">
      <c r="A666" s="89"/>
      <c r="O666" s="90"/>
    </row>
    <row r="667" customFormat="false" ht="15.75" hidden="false" customHeight="true" outlineLevel="0" collapsed="false">
      <c r="A667" s="89"/>
      <c r="O667" s="90"/>
    </row>
    <row r="668" customFormat="false" ht="15.75" hidden="false" customHeight="true" outlineLevel="0" collapsed="false">
      <c r="A668" s="89"/>
      <c r="O668" s="90"/>
    </row>
    <row r="669" customFormat="false" ht="15.75" hidden="false" customHeight="true" outlineLevel="0" collapsed="false">
      <c r="A669" s="89"/>
      <c r="O669" s="90"/>
    </row>
    <row r="670" customFormat="false" ht="15.75" hidden="false" customHeight="true" outlineLevel="0" collapsed="false">
      <c r="A670" s="89"/>
      <c r="O670" s="90"/>
    </row>
    <row r="671" customFormat="false" ht="15.75" hidden="false" customHeight="true" outlineLevel="0" collapsed="false">
      <c r="A671" s="89"/>
      <c r="O671" s="90"/>
    </row>
    <row r="672" customFormat="false" ht="15.75" hidden="false" customHeight="true" outlineLevel="0" collapsed="false">
      <c r="A672" s="89"/>
      <c r="O672" s="90"/>
    </row>
    <row r="673" customFormat="false" ht="15.75" hidden="false" customHeight="true" outlineLevel="0" collapsed="false">
      <c r="A673" s="89"/>
      <c r="O673" s="90"/>
    </row>
    <row r="674" customFormat="false" ht="15.75" hidden="false" customHeight="true" outlineLevel="0" collapsed="false">
      <c r="A674" s="89"/>
      <c r="O674" s="90"/>
    </row>
    <row r="675" customFormat="false" ht="15.75" hidden="false" customHeight="true" outlineLevel="0" collapsed="false">
      <c r="A675" s="89"/>
      <c r="O675" s="90"/>
    </row>
    <row r="676" customFormat="false" ht="15.75" hidden="false" customHeight="true" outlineLevel="0" collapsed="false">
      <c r="A676" s="89"/>
      <c r="O676" s="90"/>
    </row>
    <row r="677" customFormat="false" ht="15.75" hidden="false" customHeight="true" outlineLevel="0" collapsed="false">
      <c r="A677" s="89"/>
      <c r="O677" s="90"/>
    </row>
    <row r="678" customFormat="false" ht="15.75" hidden="false" customHeight="true" outlineLevel="0" collapsed="false">
      <c r="A678" s="89"/>
      <c r="O678" s="90"/>
    </row>
    <row r="679" customFormat="false" ht="15.75" hidden="false" customHeight="true" outlineLevel="0" collapsed="false">
      <c r="A679" s="89"/>
      <c r="O679" s="90"/>
    </row>
    <row r="680" customFormat="false" ht="15.75" hidden="false" customHeight="true" outlineLevel="0" collapsed="false">
      <c r="A680" s="89"/>
      <c r="O680" s="90"/>
    </row>
    <row r="681" customFormat="false" ht="15.75" hidden="false" customHeight="true" outlineLevel="0" collapsed="false">
      <c r="A681" s="89"/>
      <c r="O681" s="90"/>
    </row>
    <row r="682" customFormat="false" ht="15.75" hidden="false" customHeight="true" outlineLevel="0" collapsed="false">
      <c r="A682" s="89"/>
      <c r="O682" s="90"/>
    </row>
    <row r="683" customFormat="false" ht="15.75" hidden="false" customHeight="true" outlineLevel="0" collapsed="false">
      <c r="A683" s="89"/>
      <c r="O683" s="90"/>
    </row>
    <row r="684" customFormat="false" ht="15.75" hidden="false" customHeight="true" outlineLevel="0" collapsed="false">
      <c r="A684" s="89"/>
      <c r="O684" s="90"/>
    </row>
    <row r="685" customFormat="false" ht="15.75" hidden="false" customHeight="true" outlineLevel="0" collapsed="false">
      <c r="A685" s="89"/>
      <c r="O685" s="90"/>
    </row>
    <row r="686" customFormat="false" ht="15.75" hidden="false" customHeight="true" outlineLevel="0" collapsed="false">
      <c r="A686" s="89"/>
      <c r="O686" s="90"/>
    </row>
    <row r="687" customFormat="false" ht="15.75" hidden="false" customHeight="true" outlineLevel="0" collapsed="false">
      <c r="A687" s="89"/>
      <c r="O687" s="90"/>
    </row>
    <row r="688" customFormat="false" ht="15.75" hidden="false" customHeight="true" outlineLevel="0" collapsed="false">
      <c r="A688" s="89"/>
      <c r="O688" s="90"/>
    </row>
    <row r="689" customFormat="false" ht="15.75" hidden="false" customHeight="true" outlineLevel="0" collapsed="false">
      <c r="A689" s="89"/>
      <c r="O689" s="90"/>
    </row>
    <row r="690" customFormat="false" ht="15.75" hidden="false" customHeight="true" outlineLevel="0" collapsed="false">
      <c r="A690" s="89"/>
      <c r="O690" s="90"/>
    </row>
    <row r="691" customFormat="false" ht="15.75" hidden="false" customHeight="true" outlineLevel="0" collapsed="false">
      <c r="A691" s="89"/>
      <c r="O691" s="90"/>
    </row>
    <row r="692" customFormat="false" ht="15.75" hidden="false" customHeight="true" outlineLevel="0" collapsed="false">
      <c r="A692" s="89"/>
      <c r="O692" s="90"/>
    </row>
    <row r="693" customFormat="false" ht="15.75" hidden="false" customHeight="true" outlineLevel="0" collapsed="false">
      <c r="A693" s="89"/>
      <c r="O693" s="90"/>
    </row>
    <row r="694" customFormat="false" ht="15.75" hidden="false" customHeight="true" outlineLevel="0" collapsed="false">
      <c r="A694" s="89"/>
      <c r="O694" s="90"/>
    </row>
    <row r="695" customFormat="false" ht="15.75" hidden="false" customHeight="true" outlineLevel="0" collapsed="false">
      <c r="A695" s="89"/>
      <c r="O695" s="90"/>
    </row>
    <row r="696" customFormat="false" ht="15.75" hidden="false" customHeight="true" outlineLevel="0" collapsed="false">
      <c r="A696" s="89"/>
      <c r="O696" s="90"/>
    </row>
    <row r="697" customFormat="false" ht="15.75" hidden="false" customHeight="true" outlineLevel="0" collapsed="false">
      <c r="A697" s="89"/>
      <c r="O697" s="90"/>
    </row>
    <row r="698" customFormat="false" ht="15.75" hidden="false" customHeight="true" outlineLevel="0" collapsed="false">
      <c r="A698" s="89"/>
      <c r="O698" s="90"/>
    </row>
    <row r="699" customFormat="false" ht="15.75" hidden="false" customHeight="true" outlineLevel="0" collapsed="false">
      <c r="A699" s="89"/>
      <c r="O699" s="90"/>
    </row>
    <row r="700" customFormat="false" ht="15.75" hidden="false" customHeight="true" outlineLevel="0" collapsed="false">
      <c r="A700" s="89"/>
      <c r="O700" s="90"/>
    </row>
    <row r="701" customFormat="false" ht="15.75" hidden="false" customHeight="true" outlineLevel="0" collapsed="false">
      <c r="A701" s="89"/>
      <c r="O701" s="90"/>
    </row>
    <row r="702" customFormat="false" ht="15.75" hidden="false" customHeight="true" outlineLevel="0" collapsed="false">
      <c r="A702" s="89"/>
      <c r="O702" s="90"/>
    </row>
    <row r="703" customFormat="false" ht="15.75" hidden="false" customHeight="true" outlineLevel="0" collapsed="false">
      <c r="A703" s="89"/>
      <c r="O703" s="90"/>
    </row>
    <row r="704" customFormat="false" ht="15.75" hidden="false" customHeight="true" outlineLevel="0" collapsed="false">
      <c r="A704" s="89"/>
      <c r="O704" s="90"/>
    </row>
    <row r="705" customFormat="false" ht="15.75" hidden="false" customHeight="true" outlineLevel="0" collapsed="false">
      <c r="A705" s="89"/>
      <c r="O705" s="90"/>
    </row>
    <row r="706" customFormat="false" ht="15.75" hidden="false" customHeight="true" outlineLevel="0" collapsed="false">
      <c r="A706" s="89"/>
      <c r="O706" s="90"/>
    </row>
    <row r="707" customFormat="false" ht="15.75" hidden="false" customHeight="true" outlineLevel="0" collapsed="false">
      <c r="A707" s="89"/>
      <c r="O707" s="90"/>
    </row>
    <row r="708" customFormat="false" ht="15.75" hidden="false" customHeight="true" outlineLevel="0" collapsed="false">
      <c r="A708" s="89"/>
      <c r="O708" s="90"/>
    </row>
    <row r="709" customFormat="false" ht="15.75" hidden="false" customHeight="true" outlineLevel="0" collapsed="false">
      <c r="A709" s="89"/>
      <c r="O709" s="90"/>
    </row>
    <row r="710" customFormat="false" ht="15.75" hidden="false" customHeight="true" outlineLevel="0" collapsed="false">
      <c r="A710" s="89"/>
      <c r="O710" s="90"/>
    </row>
    <row r="711" customFormat="false" ht="15.75" hidden="false" customHeight="true" outlineLevel="0" collapsed="false">
      <c r="A711" s="89"/>
      <c r="O711" s="90"/>
    </row>
    <row r="712" customFormat="false" ht="15.75" hidden="false" customHeight="true" outlineLevel="0" collapsed="false">
      <c r="A712" s="89"/>
      <c r="O712" s="90"/>
    </row>
    <row r="713" customFormat="false" ht="15.75" hidden="false" customHeight="true" outlineLevel="0" collapsed="false">
      <c r="A713" s="89"/>
      <c r="O713" s="90"/>
    </row>
    <row r="714" customFormat="false" ht="15.75" hidden="false" customHeight="true" outlineLevel="0" collapsed="false">
      <c r="A714" s="89"/>
      <c r="O714" s="90"/>
    </row>
    <row r="715" customFormat="false" ht="15.75" hidden="false" customHeight="true" outlineLevel="0" collapsed="false">
      <c r="A715" s="89"/>
      <c r="O715" s="90"/>
    </row>
    <row r="716" customFormat="false" ht="15.75" hidden="false" customHeight="true" outlineLevel="0" collapsed="false">
      <c r="A716" s="89"/>
      <c r="O716" s="90"/>
    </row>
    <row r="717" customFormat="false" ht="15.75" hidden="false" customHeight="true" outlineLevel="0" collapsed="false">
      <c r="A717" s="89"/>
      <c r="O717" s="90"/>
    </row>
    <row r="718" customFormat="false" ht="15.75" hidden="false" customHeight="true" outlineLevel="0" collapsed="false">
      <c r="A718" s="89"/>
      <c r="O718" s="90"/>
    </row>
    <row r="719" customFormat="false" ht="15.75" hidden="false" customHeight="true" outlineLevel="0" collapsed="false">
      <c r="A719" s="89"/>
      <c r="O719" s="90"/>
    </row>
    <row r="720" customFormat="false" ht="15.75" hidden="false" customHeight="true" outlineLevel="0" collapsed="false">
      <c r="A720" s="89"/>
      <c r="O720" s="90"/>
    </row>
    <row r="721" customFormat="false" ht="15.75" hidden="false" customHeight="true" outlineLevel="0" collapsed="false">
      <c r="A721" s="89"/>
      <c r="O721" s="90"/>
    </row>
    <row r="722" customFormat="false" ht="15.75" hidden="false" customHeight="true" outlineLevel="0" collapsed="false">
      <c r="A722" s="89"/>
      <c r="O722" s="90"/>
    </row>
    <row r="723" customFormat="false" ht="15.75" hidden="false" customHeight="true" outlineLevel="0" collapsed="false">
      <c r="A723" s="89"/>
      <c r="O723" s="90"/>
    </row>
    <row r="724" customFormat="false" ht="15.75" hidden="false" customHeight="true" outlineLevel="0" collapsed="false">
      <c r="A724" s="89"/>
      <c r="O724" s="90"/>
    </row>
    <row r="725" customFormat="false" ht="15.75" hidden="false" customHeight="true" outlineLevel="0" collapsed="false">
      <c r="A725" s="89"/>
      <c r="O725" s="90"/>
    </row>
    <row r="726" customFormat="false" ht="15.75" hidden="false" customHeight="true" outlineLevel="0" collapsed="false">
      <c r="A726" s="89"/>
      <c r="O726" s="90"/>
    </row>
    <row r="727" customFormat="false" ht="15.75" hidden="false" customHeight="true" outlineLevel="0" collapsed="false">
      <c r="A727" s="89"/>
      <c r="O727" s="90"/>
    </row>
    <row r="728" customFormat="false" ht="15.75" hidden="false" customHeight="true" outlineLevel="0" collapsed="false">
      <c r="A728" s="89"/>
      <c r="O728" s="90"/>
    </row>
    <row r="729" customFormat="false" ht="15.75" hidden="false" customHeight="true" outlineLevel="0" collapsed="false">
      <c r="A729" s="89"/>
      <c r="O729" s="90"/>
    </row>
    <row r="730" customFormat="false" ht="15.75" hidden="false" customHeight="true" outlineLevel="0" collapsed="false">
      <c r="A730" s="89"/>
      <c r="O730" s="90"/>
    </row>
    <row r="731" customFormat="false" ht="15.75" hidden="false" customHeight="true" outlineLevel="0" collapsed="false">
      <c r="A731" s="89"/>
      <c r="O731" s="90"/>
    </row>
    <row r="732" customFormat="false" ht="15.75" hidden="false" customHeight="true" outlineLevel="0" collapsed="false">
      <c r="A732" s="89"/>
      <c r="O732" s="90"/>
    </row>
    <row r="733" customFormat="false" ht="15.75" hidden="false" customHeight="true" outlineLevel="0" collapsed="false">
      <c r="A733" s="89"/>
      <c r="O733" s="90"/>
    </row>
    <row r="734" customFormat="false" ht="15.75" hidden="false" customHeight="true" outlineLevel="0" collapsed="false">
      <c r="A734" s="89"/>
      <c r="O734" s="90"/>
    </row>
    <row r="735" customFormat="false" ht="15.75" hidden="false" customHeight="true" outlineLevel="0" collapsed="false">
      <c r="A735" s="89"/>
      <c r="O735" s="90"/>
    </row>
    <row r="736" customFormat="false" ht="15.75" hidden="false" customHeight="true" outlineLevel="0" collapsed="false">
      <c r="A736" s="89"/>
      <c r="O736" s="90"/>
    </row>
    <row r="737" customFormat="false" ht="15.75" hidden="false" customHeight="true" outlineLevel="0" collapsed="false">
      <c r="A737" s="89"/>
      <c r="O737" s="90"/>
    </row>
    <row r="738" customFormat="false" ht="15.75" hidden="false" customHeight="true" outlineLevel="0" collapsed="false">
      <c r="A738" s="89"/>
      <c r="O738" s="90"/>
    </row>
    <row r="739" customFormat="false" ht="15.75" hidden="false" customHeight="true" outlineLevel="0" collapsed="false">
      <c r="A739" s="89"/>
      <c r="O739" s="90"/>
    </row>
    <row r="740" customFormat="false" ht="15.75" hidden="false" customHeight="true" outlineLevel="0" collapsed="false">
      <c r="A740" s="89"/>
      <c r="O740" s="90"/>
    </row>
    <row r="741" customFormat="false" ht="15.75" hidden="false" customHeight="true" outlineLevel="0" collapsed="false">
      <c r="A741" s="89"/>
      <c r="O741" s="90"/>
    </row>
    <row r="742" customFormat="false" ht="15.75" hidden="false" customHeight="true" outlineLevel="0" collapsed="false">
      <c r="A742" s="89"/>
      <c r="O742" s="90"/>
    </row>
    <row r="743" customFormat="false" ht="15.75" hidden="false" customHeight="true" outlineLevel="0" collapsed="false">
      <c r="A743" s="89"/>
      <c r="O743" s="90"/>
    </row>
    <row r="744" customFormat="false" ht="15.75" hidden="false" customHeight="true" outlineLevel="0" collapsed="false">
      <c r="A744" s="89"/>
      <c r="O744" s="90"/>
    </row>
    <row r="745" customFormat="false" ht="15.75" hidden="false" customHeight="true" outlineLevel="0" collapsed="false">
      <c r="A745" s="89"/>
      <c r="O745" s="90"/>
    </row>
    <row r="746" customFormat="false" ht="15.75" hidden="false" customHeight="true" outlineLevel="0" collapsed="false">
      <c r="A746" s="89"/>
      <c r="O746" s="90"/>
    </row>
    <row r="747" customFormat="false" ht="15.75" hidden="false" customHeight="true" outlineLevel="0" collapsed="false">
      <c r="A747" s="89"/>
      <c r="O747" s="90"/>
    </row>
    <row r="748" customFormat="false" ht="15.75" hidden="false" customHeight="true" outlineLevel="0" collapsed="false">
      <c r="A748" s="89"/>
      <c r="O748" s="90"/>
    </row>
    <row r="749" customFormat="false" ht="15.75" hidden="false" customHeight="true" outlineLevel="0" collapsed="false">
      <c r="A749" s="89"/>
      <c r="O749" s="90"/>
    </row>
    <row r="750" customFormat="false" ht="15.75" hidden="false" customHeight="true" outlineLevel="0" collapsed="false">
      <c r="A750" s="89"/>
      <c r="O750" s="90"/>
    </row>
    <row r="751" customFormat="false" ht="15.75" hidden="false" customHeight="true" outlineLevel="0" collapsed="false">
      <c r="A751" s="89"/>
      <c r="O751" s="90"/>
    </row>
    <row r="752" customFormat="false" ht="15.75" hidden="false" customHeight="true" outlineLevel="0" collapsed="false">
      <c r="A752" s="89"/>
      <c r="O752" s="90"/>
    </row>
    <row r="753" customFormat="false" ht="15.75" hidden="false" customHeight="true" outlineLevel="0" collapsed="false">
      <c r="A753" s="89"/>
      <c r="O753" s="90"/>
    </row>
    <row r="754" customFormat="false" ht="15.75" hidden="false" customHeight="true" outlineLevel="0" collapsed="false">
      <c r="A754" s="89"/>
      <c r="O754" s="90"/>
    </row>
    <row r="755" customFormat="false" ht="15.75" hidden="false" customHeight="true" outlineLevel="0" collapsed="false">
      <c r="A755" s="89"/>
      <c r="O755" s="90"/>
    </row>
    <row r="756" customFormat="false" ht="15.75" hidden="false" customHeight="true" outlineLevel="0" collapsed="false">
      <c r="A756" s="89"/>
      <c r="O756" s="90"/>
    </row>
    <row r="757" customFormat="false" ht="15.75" hidden="false" customHeight="true" outlineLevel="0" collapsed="false">
      <c r="A757" s="89"/>
      <c r="O757" s="90"/>
    </row>
    <row r="758" customFormat="false" ht="15.75" hidden="false" customHeight="true" outlineLevel="0" collapsed="false">
      <c r="A758" s="89"/>
      <c r="O758" s="90"/>
    </row>
    <row r="759" customFormat="false" ht="15.75" hidden="false" customHeight="true" outlineLevel="0" collapsed="false">
      <c r="A759" s="89"/>
      <c r="O759" s="90"/>
    </row>
    <row r="760" customFormat="false" ht="15.75" hidden="false" customHeight="true" outlineLevel="0" collapsed="false">
      <c r="A760" s="89"/>
      <c r="O760" s="90"/>
    </row>
    <row r="761" customFormat="false" ht="15.75" hidden="false" customHeight="true" outlineLevel="0" collapsed="false">
      <c r="A761" s="89"/>
      <c r="O761" s="90"/>
    </row>
    <row r="762" customFormat="false" ht="15.75" hidden="false" customHeight="true" outlineLevel="0" collapsed="false">
      <c r="A762" s="89"/>
      <c r="O762" s="90"/>
    </row>
    <row r="763" customFormat="false" ht="15.75" hidden="false" customHeight="true" outlineLevel="0" collapsed="false">
      <c r="A763" s="89"/>
      <c r="O763" s="90"/>
    </row>
    <row r="764" customFormat="false" ht="15.75" hidden="false" customHeight="true" outlineLevel="0" collapsed="false">
      <c r="A764" s="89"/>
      <c r="O764" s="90"/>
    </row>
    <row r="765" customFormat="false" ht="15.75" hidden="false" customHeight="true" outlineLevel="0" collapsed="false">
      <c r="A765" s="89"/>
      <c r="O765" s="90"/>
    </row>
    <row r="766" customFormat="false" ht="15.75" hidden="false" customHeight="true" outlineLevel="0" collapsed="false">
      <c r="A766" s="89"/>
      <c r="O766" s="90"/>
    </row>
    <row r="767" customFormat="false" ht="15.75" hidden="false" customHeight="true" outlineLevel="0" collapsed="false">
      <c r="A767" s="89"/>
      <c r="O767" s="90"/>
    </row>
    <row r="768" customFormat="false" ht="15.75" hidden="false" customHeight="true" outlineLevel="0" collapsed="false">
      <c r="A768" s="89"/>
      <c r="O768" s="90"/>
    </row>
    <row r="769" customFormat="false" ht="15.75" hidden="false" customHeight="true" outlineLevel="0" collapsed="false">
      <c r="A769" s="89"/>
      <c r="O769" s="90"/>
    </row>
    <row r="770" customFormat="false" ht="15.75" hidden="false" customHeight="true" outlineLevel="0" collapsed="false">
      <c r="A770" s="89"/>
      <c r="O770" s="90"/>
    </row>
    <row r="771" customFormat="false" ht="15.75" hidden="false" customHeight="true" outlineLevel="0" collapsed="false">
      <c r="A771" s="89"/>
      <c r="O771" s="90"/>
    </row>
    <row r="772" customFormat="false" ht="15.75" hidden="false" customHeight="true" outlineLevel="0" collapsed="false">
      <c r="A772" s="89"/>
      <c r="O772" s="90"/>
    </row>
    <row r="773" customFormat="false" ht="15.75" hidden="false" customHeight="true" outlineLevel="0" collapsed="false">
      <c r="A773" s="89"/>
      <c r="O773" s="90"/>
    </row>
    <row r="774" customFormat="false" ht="15.75" hidden="false" customHeight="true" outlineLevel="0" collapsed="false">
      <c r="A774" s="89"/>
      <c r="O774" s="90"/>
    </row>
    <row r="775" customFormat="false" ht="15.75" hidden="false" customHeight="true" outlineLevel="0" collapsed="false">
      <c r="A775" s="89"/>
      <c r="O775" s="90"/>
    </row>
    <row r="776" customFormat="false" ht="15.75" hidden="false" customHeight="true" outlineLevel="0" collapsed="false">
      <c r="A776" s="89"/>
      <c r="O776" s="90"/>
    </row>
    <row r="777" customFormat="false" ht="15.75" hidden="false" customHeight="true" outlineLevel="0" collapsed="false">
      <c r="A777" s="89"/>
      <c r="O777" s="90"/>
    </row>
    <row r="778" customFormat="false" ht="15.75" hidden="false" customHeight="true" outlineLevel="0" collapsed="false">
      <c r="A778" s="89"/>
      <c r="O778" s="90"/>
    </row>
    <row r="779" customFormat="false" ht="15.75" hidden="false" customHeight="true" outlineLevel="0" collapsed="false">
      <c r="A779" s="89"/>
      <c r="O779" s="90"/>
    </row>
    <row r="780" customFormat="false" ht="15.75" hidden="false" customHeight="true" outlineLevel="0" collapsed="false">
      <c r="A780" s="89"/>
      <c r="O780" s="90"/>
    </row>
    <row r="781" customFormat="false" ht="15.75" hidden="false" customHeight="true" outlineLevel="0" collapsed="false">
      <c r="A781" s="89"/>
      <c r="O781" s="90"/>
    </row>
    <row r="782" customFormat="false" ht="15.75" hidden="false" customHeight="true" outlineLevel="0" collapsed="false">
      <c r="A782" s="89"/>
      <c r="O782" s="90"/>
    </row>
    <row r="783" customFormat="false" ht="15.75" hidden="false" customHeight="true" outlineLevel="0" collapsed="false">
      <c r="A783" s="89"/>
      <c r="O783" s="90"/>
    </row>
    <row r="784" customFormat="false" ht="15.75" hidden="false" customHeight="true" outlineLevel="0" collapsed="false">
      <c r="A784" s="89"/>
      <c r="O784" s="90"/>
    </row>
    <row r="785" customFormat="false" ht="15.75" hidden="false" customHeight="true" outlineLevel="0" collapsed="false">
      <c r="A785" s="89"/>
      <c r="O785" s="90"/>
    </row>
    <row r="786" customFormat="false" ht="15.75" hidden="false" customHeight="true" outlineLevel="0" collapsed="false">
      <c r="A786" s="89"/>
      <c r="O786" s="90"/>
    </row>
    <row r="787" customFormat="false" ht="15.75" hidden="false" customHeight="true" outlineLevel="0" collapsed="false">
      <c r="A787" s="89"/>
      <c r="O787" s="90"/>
    </row>
    <row r="788" customFormat="false" ht="15.75" hidden="false" customHeight="true" outlineLevel="0" collapsed="false">
      <c r="A788" s="89"/>
      <c r="O788" s="90"/>
    </row>
    <row r="789" customFormat="false" ht="15.75" hidden="false" customHeight="true" outlineLevel="0" collapsed="false">
      <c r="A789" s="89"/>
      <c r="O789" s="90"/>
    </row>
    <row r="790" customFormat="false" ht="15.75" hidden="false" customHeight="true" outlineLevel="0" collapsed="false">
      <c r="A790" s="89"/>
      <c r="O790" s="90"/>
    </row>
    <row r="791" customFormat="false" ht="15.75" hidden="false" customHeight="true" outlineLevel="0" collapsed="false">
      <c r="A791" s="89"/>
      <c r="O791" s="90"/>
    </row>
    <row r="792" customFormat="false" ht="15.75" hidden="false" customHeight="true" outlineLevel="0" collapsed="false">
      <c r="A792" s="89"/>
      <c r="O792" s="90"/>
    </row>
    <row r="793" customFormat="false" ht="15.75" hidden="false" customHeight="true" outlineLevel="0" collapsed="false">
      <c r="A793" s="89"/>
      <c r="O793" s="90"/>
    </row>
    <row r="794" customFormat="false" ht="15.75" hidden="false" customHeight="true" outlineLevel="0" collapsed="false">
      <c r="A794" s="89"/>
      <c r="O794" s="90"/>
    </row>
    <row r="795" customFormat="false" ht="15.75" hidden="false" customHeight="true" outlineLevel="0" collapsed="false">
      <c r="A795" s="89"/>
      <c r="O795" s="90"/>
    </row>
    <row r="796" customFormat="false" ht="15.75" hidden="false" customHeight="true" outlineLevel="0" collapsed="false">
      <c r="A796" s="89"/>
      <c r="O796" s="90"/>
    </row>
    <row r="797" customFormat="false" ht="15.75" hidden="false" customHeight="true" outlineLevel="0" collapsed="false">
      <c r="A797" s="89"/>
      <c r="O797" s="90"/>
    </row>
    <row r="798" customFormat="false" ht="15.75" hidden="false" customHeight="true" outlineLevel="0" collapsed="false">
      <c r="A798" s="89"/>
      <c r="O798" s="90"/>
    </row>
    <row r="799" customFormat="false" ht="15.75" hidden="false" customHeight="true" outlineLevel="0" collapsed="false">
      <c r="A799" s="89"/>
      <c r="O799" s="90"/>
    </row>
    <row r="800" customFormat="false" ht="15.75" hidden="false" customHeight="true" outlineLevel="0" collapsed="false">
      <c r="A800" s="89"/>
      <c r="O800" s="90"/>
    </row>
    <row r="801" customFormat="false" ht="15.75" hidden="false" customHeight="true" outlineLevel="0" collapsed="false">
      <c r="A801" s="89"/>
      <c r="O801" s="90"/>
    </row>
    <row r="802" customFormat="false" ht="15.75" hidden="false" customHeight="true" outlineLevel="0" collapsed="false">
      <c r="A802" s="89"/>
      <c r="O802" s="90"/>
    </row>
    <row r="803" customFormat="false" ht="15.75" hidden="false" customHeight="true" outlineLevel="0" collapsed="false">
      <c r="A803" s="89"/>
      <c r="O803" s="90"/>
    </row>
    <row r="804" customFormat="false" ht="15.75" hidden="false" customHeight="true" outlineLevel="0" collapsed="false">
      <c r="A804" s="89"/>
      <c r="O804" s="90"/>
    </row>
    <row r="805" customFormat="false" ht="15.75" hidden="false" customHeight="true" outlineLevel="0" collapsed="false">
      <c r="A805" s="89"/>
      <c r="O805" s="90"/>
    </row>
    <row r="806" customFormat="false" ht="15.75" hidden="false" customHeight="true" outlineLevel="0" collapsed="false">
      <c r="A806" s="89"/>
      <c r="O806" s="90"/>
    </row>
    <row r="807" customFormat="false" ht="15.75" hidden="false" customHeight="true" outlineLevel="0" collapsed="false">
      <c r="A807" s="89"/>
      <c r="O807" s="90"/>
    </row>
    <row r="808" customFormat="false" ht="15.75" hidden="false" customHeight="true" outlineLevel="0" collapsed="false">
      <c r="A808" s="89"/>
      <c r="O808" s="90"/>
    </row>
    <row r="809" customFormat="false" ht="15.75" hidden="false" customHeight="true" outlineLevel="0" collapsed="false">
      <c r="A809" s="89"/>
      <c r="O809" s="90"/>
    </row>
    <row r="810" customFormat="false" ht="15.75" hidden="false" customHeight="true" outlineLevel="0" collapsed="false">
      <c r="A810" s="89"/>
      <c r="O810" s="90"/>
    </row>
    <row r="811" customFormat="false" ht="15.75" hidden="false" customHeight="true" outlineLevel="0" collapsed="false">
      <c r="A811" s="89"/>
      <c r="O811" s="90"/>
    </row>
    <row r="812" customFormat="false" ht="15.75" hidden="false" customHeight="true" outlineLevel="0" collapsed="false">
      <c r="A812" s="89"/>
      <c r="O812" s="90"/>
    </row>
    <row r="813" customFormat="false" ht="15.75" hidden="false" customHeight="true" outlineLevel="0" collapsed="false">
      <c r="A813" s="89"/>
      <c r="O813" s="90"/>
    </row>
    <row r="814" customFormat="false" ht="15.75" hidden="false" customHeight="true" outlineLevel="0" collapsed="false">
      <c r="A814" s="89"/>
      <c r="O814" s="90"/>
    </row>
    <row r="815" customFormat="false" ht="15.75" hidden="false" customHeight="true" outlineLevel="0" collapsed="false">
      <c r="A815" s="89"/>
      <c r="O815" s="90"/>
    </row>
    <row r="816" customFormat="false" ht="15.75" hidden="false" customHeight="true" outlineLevel="0" collapsed="false">
      <c r="A816" s="89"/>
      <c r="O816" s="90"/>
    </row>
    <row r="817" customFormat="false" ht="15.75" hidden="false" customHeight="true" outlineLevel="0" collapsed="false">
      <c r="A817" s="89"/>
      <c r="O817" s="90"/>
    </row>
    <row r="818" customFormat="false" ht="15.75" hidden="false" customHeight="true" outlineLevel="0" collapsed="false">
      <c r="A818" s="89"/>
      <c r="O818" s="90"/>
    </row>
    <row r="819" customFormat="false" ht="15.75" hidden="false" customHeight="true" outlineLevel="0" collapsed="false">
      <c r="A819" s="89"/>
      <c r="O819" s="90"/>
    </row>
    <row r="820" customFormat="false" ht="15.75" hidden="false" customHeight="true" outlineLevel="0" collapsed="false">
      <c r="A820" s="89"/>
      <c r="O820" s="90"/>
    </row>
    <row r="821" customFormat="false" ht="15.75" hidden="false" customHeight="true" outlineLevel="0" collapsed="false">
      <c r="A821" s="89"/>
      <c r="O821" s="90"/>
    </row>
    <row r="822" customFormat="false" ht="15.75" hidden="false" customHeight="true" outlineLevel="0" collapsed="false">
      <c r="A822" s="89"/>
      <c r="O822" s="90"/>
    </row>
    <row r="823" customFormat="false" ht="15.75" hidden="false" customHeight="true" outlineLevel="0" collapsed="false">
      <c r="A823" s="89"/>
      <c r="O823" s="90"/>
    </row>
    <row r="824" customFormat="false" ht="15.75" hidden="false" customHeight="true" outlineLevel="0" collapsed="false">
      <c r="A824" s="89"/>
      <c r="O824" s="90"/>
    </row>
    <row r="825" customFormat="false" ht="15.75" hidden="false" customHeight="true" outlineLevel="0" collapsed="false">
      <c r="A825" s="89"/>
      <c r="O825" s="90"/>
    </row>
    <row r="826" customFormat="false" ht="15.75" hidden="false" customHeight="true" outlineLevel="0" collapsed="false">
      <c r="A826" s="89"/>
      <c r="O826" s="90"/>
    </row>
    <row r="827" customFormat="false" ht="15.75" hidden="false" customHeight="true" outlineLevel="0" collapsed="false">
      <c r="A827" s="89"/>
      <c r="O827" s="90"/>
    </row>
    <row r="828" customFormat="false" ht="15.75" hidden="false" customHeight="true" outlineLevel="0" collapsed="false">
      <c r="A828" s="89"/>
      <c r="O828" s="90"/>
    </row>
    <row r="829" customFormat="false" ht="15.75" hidden="false" customHeight="true" outlineLevel="0" collapsed="false">
      <c r="A829" s="89"/>
      <c r="O829" s="90"/>
    </row>
    <row r="830" customFormat="false" ht="15.75" hidden="false" customHeight="true" outlineLevel="0" collapsed="false">
      <c r="A830" s="89"/>
      <c r="O830" s="90"/>
    </row>
    <row r="831" customFormat="false" ht="15.75" hidden="false" customHeight="true" outlineLevel="0" collapsed="false">
      <c r="A831" s="89"/>
      <c r="O831" s="90"/>
    </row>
    <row r="832" customFormat="false" ht="15.75" hidden="false" customHeight="true" outlineLevel="0" collapsed="false">
      <c r="A832" s="89"/>
      <c r="O832" s="90"/>
    </row>
    <row r="833" customFormat="false" ht="15.75" hidden="false" customHeight="true" outlineLevel="0" collapsed="false">
      <c r="A833" s="89"/>
      <c r="O833" s="90"/>
    </row>
    <row r="834" customFormat="false" ht="15.75" hidden="false" customHeight="true" outlineLevel="0" collapsed="false">
      <c r="A834" s="89"/>
      <c r="O834" s="90"/>
    </row>
    <row r="835" customFormat="false" ht="15.75" hidden="false" customHeight="true" outlineLevel="0" collapsed="false">
      <c r="A835" s="89"/>
      <c r="O835" s="90"/>
    </row>
    <row r="836" customFormat="false" ht="15.75" hidden="false" customHeight="true" outlineLevel="0" collapsed="false">
      <c r="A836" s="89"/>
      <c r="O836" s="90"/>
    </row>
    <row r="837" customFormat="false" ht="15.75" hidden="false" customHeight="true" outlineLevel="0" collapsed="false">
      <c r="A837" s="89"/>
      <c r="O837" s="90"/>
    </row>
    <row r="838" customFormat="false" ht="15.75" hidden="false" customHeight="true" outlineLevel="0" collapsed="false">
      <c r="A838" s="89"/>
      <c r="O838" s="90"/>
    </row>
    <row r="839" customFormat="false" ht="15.75" hidden="false" customHeight="true" outlineLevel="0" collapsed="false">
      <c r="A839" s="89"/>
      <c r="O839" s="90"/>
    </row>
    <row r="840" customFormat="false" ht="15.75" hidden="false" customHeight="true" outlineLevel="0" collapsed="false">
      <c r="A840" s="89"/>
      <c r="O840" s="90"/>
    </row>
    <row r="841" customFormat="false" ht="15.75" hidden="false" customHeight="true" outlineLevel="0" collapsed="false">
      <c r="A841" s="89"/>
      <c r="O841" s="90"/>
    </row>
    <row r="842" customFormat="false" ht="15.75" hidden="false" customHeight="true" outlineLevel="0" collapsed="false">
      <c r="A842" s="89"/>
      <c r="O842" s="90"/>
    </row>
    <row r="843" customFormat="false" ht="15.75" hidden="false" customHeight="true" outlineLevel="0" collapsed="false">
      <c r="A843" s="89"/>
      <c r="O843" s="90"/>
    </row>
    <row r="844" customFormat="false" ht="15.75" hidden="false" customHeight="true" outlineLevel="0" collapsed="false">
      <c r="A844" s="89"/>
      <c r="O844" s="90"/>
    </row>
    <row r="845" customFormat="false" ht="15.75" hidden="false" customHeight="true" outlineLevel="0" collapsed="false">
      <c r="A845" s="89"/>
      <c r="O845" s="90"/>
    </row>
    <row r="846" customFormat="false" ht="15.75" hidden="false" customHeight="true" outlineLevel="0" collapsed="false">
      <c r="A846" s="89"/>
      <c r="O846" s="90"/>
    </row>
    <row r="847" customFormat="false" ht="15.75" hidden="false" customHeight="true" outlineLevel="0" collapsed="false">
      <c r="A847" s="89"/>
      <c r="O847" s="90"/>
    </row>
    <row r="848" customFormat="false" ht="15.75" hidden="false" customHeight="true" outlineLevel="0" collapsed="false">
      <c r="A848" s="89"/>
      <c r="O848" s="90"/>
    </row>
    <row r="849" customFormat="false" ht="15.75" hidden="false" customHeight="true" outlineLevel="0" collapsed="false">
      <c r="A849" s="89"/>
      <c r="O849" s="90"/>
    </row>
    <row r="850" customFormat="false" ht="15.75" hidden="false" customHeight="true" outlineLevel="0" collapsed="false">
      <c r="A850" s="89"/>
      <c r="O850" s="90"/>
    </row>
    <row r="851" customFormat="false" ht="15.75" hidden="false" customHeight="true" outlineLevel="0" collapsed="false">
      <c r="A851" s="89"/>
      <c r="O851" s="90"/>
    </row>
    <row r="852" customFormat="false" ht="15.75" hidden="false" customHeight="true" outlineLevel="0" collapsed="false">
      <c r="A852" s="89"/>
      <c r="O852" s="90"/>
    </row>
    <row r="853" customFormat="false" ht="15.75" hidden="false" customHeight="true" outlineLevel="0" collapsed="false">
      <c r="A853" s="89"/>
      <c r="O853" s="90"/>
    </row>
    <row r="854" customFormat="false" ht="15.75" hidden="false" customHeight="true" outlineLevel="0" collapsed="false">
      <c r="A854" s="89"/>
      <c r="O854" s="90"/>
    </row>
    <row r="855" customFormat="false" ht="15.75" hidden="false" customHeight="true" outlineLevel="0" collapsed="false">
      <c r="A855" s="89"/>
      <c r="O855" s="90"/>
    </row>
    <row r="856" customFormat="false" ht="15.75" hidden="false" customHeight="true" outlineLevel="0" collapsed="false">
      <c r="A856" s="89"/>
      <c r="O856" s="90"/>
    </row>
    <row r="857" customFormat="false" ht="15.75" hidden="false" customHeight="true" outlineLevel="0" collapsed="false">
      <c r="A857" s="89"/>
      <c r="O857" s="90"/>
    </row>
    <row r="858" customFormat="false" ht="15.75" hidden="false" customHeight="true" outlineLevel="0" collapsed="false">
      <c r="A858" s="89"/>
      <c r="O858" s="90"/>
    </row>
    <row r="859" customFormat="false" ht="15.75" hidden="false" customHeight="true" outlineLevel="0" collapsed="false">
      <c r="A859" s="89"/>
      <c r="O859" s="90"/>
    </row>
    <row r="860" customFormat="false" ht="15.75" hidden="false" customHeight="true" outlineLevel="0" collapsed="false">
      <c r="A860" s="89"/>
      <c r="O860" s="90"/>
    </row>
    <row r="861" customFormat="false" ht="15.75" hidden="false" customHeight="true" outlineLevel="0" collapsed="false">
      <c r="A861" s="89"/>
      <c r="O861" s="90"/>
    </row>
    <row r="862" customFormat="false" ht="15.75" hidden="false" customHeight="true" outlineLevel="0" collapsed="false">
      <c r="A862" s="89"/>
      <c r="O862" s="90"/>
    </row>
    <row r="863" customFormat="false" ht="15.75" hidden="false" customHeight="true" outlineLevel="0" collapsed="false">
      <c r="A863" s="89"/>
      <c r="O863" s="90"/>
    </row>
    <row r="864" customFormat="false" ht="15.75" hidden="false" customHeight="true" outlineLevel="0" collapsed="false">
      <c r="A864" s="89"/>
      <c r="O864" s="90"/>
    </row>
    <row r="865" customFormat="false" ht="15.75" hidden="false" customHeight="true" outlineLevel="0" collapsed="false">
      <c r="A865" s="89"/>
      <c r="O865" s="90"/>
    </row>
    <row r="866" customFormat="false" ht="15.75" hidden="false" customHeight="true" outlineLevel="0" collapsed="false">
      <c r="A866" s="89"/>
      <c r="O866" s="90"/>
    </row>
    <row r="867" customFormat="false" ht="15.75" hidden="false" customHeight="true" outlineLevel="0" collapsed="false">
      <c r="A867" s="89"/>
      <c r="O867" s="90"/>
    </row>
    <row r="868" customFormat="false" ht="15.75" hidden="false" customHeight="true" outlineLevel="0" collapsed="false">
      <c r="A868" s="89"/>
      <c r="O868" s="90"/>
    </row>
    <row r="869" customFormat="false" ht="15.75" hidden="false" customHeight="true" outlineLevel="0" collapsed="false">
      <c r="A869" s="89"/>
      <c r="O869" s="90"/>
    </row>
    <row r="870" customFormat="false" ht="15.75" hidden="false" customHeight="true" outlineLevel="0" collapsed="false">
      <c r="A870" s="89"/>
      <c r="O870" s="90"/>
    </row>
    <row r="871" customFormat="false" ht="15.75" hidden="false" customHeight="true" outlineLevel="0" collapsed="false">
      <c r="A871" s="89"/>
      <c r="O871" s="90"/>
    </row>
    <row r="872" customFormat="false" ht="15.75" hidden="false" customHeight="true" outlineLevel="0" collapsed="false">
      <c r="A872" s="89"/>
      <c r="O872" s="90"/>
    </row>
    <row r="873" customFormat="false" ht="15.75" hidden="false" customHeight="true" outlineLevel="0" collapsed="false">
      <c r="A873" s="89"/>
      <c r="O873" s="90"/>
    </row>
    <row r="874" customFormat="false" ht="15.75" hidden="false" customHeight="true" outlineLevel="0" collapsed="false">
      <c r="A874" s="89"/>
      <c r="O874" s="90"/>
    </row>
    <row r="875" customFormat="false" ht="15.75" hidden="false" customHeight="true" outlineLevel="0" collapsed="false">
      <c r="A875" s="89"/>
      <c r="O875" s="90"/>
    </row>
    <row r="876" customFormat="false" ht="15.75" hidden="false" customHeight="true" outlineLevel="0" collapsed="false">
      <c r="A876" s="89"/>
      <c r="O876" s="90"/>
    </row>
    <row r="877" customFormat="false" ht="15.75" hidden="false" customHeight="true" outlineLevel="0" collapsed="false">
      <c r="A877" s="89"/>
      <c r="O877" s="90"/>
    </row>
    <row r="878" customFormat="false" ht="15.75" hidden="false" customHeight="true" outlineLevel="0" collapsed="false">
      <c r="A878" s="89"/>
      <c r="O878" s="90"/>
    </row>
    <row r="879" customFormat="false" ht="15.75" hidden="false" customHeight="true" outlineLevel="0" collapsed="false">
      <c r="A879" s="89"/>
      <c r="O879" s="90"/>
    </row>
    <row r="880" customFormat="false" ht="15.75" hidden="false" customHeight="true" outlineLevel="0" collapsed="false">
      <c r="A880" s="89"/>
      <c r="O880" s="90"/>
    </row>
    <row r="881" customFormat="false" ht="15.75" hidden="false" customHeight="true" outlineLevel="0" collapsed="false">
      <c r="A881" s="89"/>
      <c r="O881" s="90"/>
    </row>
    <row r="882" customFormat="false" ht="15.75" hidden="false" customHeight="true" outlineLevel="0" collapsed="false">
      <c r="A882" s="89"/>
      <c r="O882" s="90"/>
    </row>
    <row r="883" customFormat="false" ht="15.75" hidden="false" customHeight="true" outlineLevel="0" collapsed="false">
      <c r="A883" s="89"/>
      <c r="O883" s="90"/>
    </row>
    <row r="884" customFormat="false" ht="15.75" hidden="false" customHeight="true" outlineLevel="0" collapsed="false">
      <c r="A884" s="89"/>
      <c r="O884" s="90"/>
    </row>
    <row r="885" customFormat="false" ht="15.75" hidden="false" customHeight="true" outlineLevel="0" collapsed="false">
      <c r="A885" s="89"/>
      <c r="O885" s="90"/>
    </row>
    <row r="886" customFormat="false" ht="15.75" hidden="false" customHeight="true" outlineLevel="0" collapsed="false">
      <c r="A886" s="89"/>
      <c r="O886" s="90"/>
    </row>
    <row r="887" customFormat="false" ht="15.75" hidden="false" customHeight="true" outlineLevel="0" collapsed="false">
      <c r="A887" s="89"/>
      <c r="O887" s="90"/>
    </row>
    <row r="888" customFormat="false" ht="15.75" hidden="false" customHeight="true" outlineLevel="0" collapsed="false">
      <c r="A888" s="89"/>
      <c r="O888" s="90"/>
    </row>
    <row r="889" customFormat="false" ht="15.75" hidden="false" customHeight="true" outlineLevel="0" collapsed="false">
      <c r="A889" s="89"/>
      <c r="O889" s="90"/>
    </row>
    <row r="890" customFormat="false" ht="15.75" hidden="false" customHeight="true" outlineLevel="0" collapsed="false">
      <c r="A890" s="89"/>
      <c r="O890" s="90"/>
    </row>
    <row r="891" customFormat="false" ht="15.75" hidden="false" customHeight="true" outlineLevel="0" collapsed="false">
      <c r="A891" s="89"/>
      <c r="O891" s="90"/>
    </row>
    <row r="892" customFormat="false" ht="15.75" hidden="false" customHeight="true" outlineLevel="0" collapsed="false">
      <c r="A892" s="89"/>
      <c r="O892" s="90"/>
    </row>
    <row r="893" customFormat="false" ht="15.75" hidden="false" customHeight="true" outlineLevel="0" collapsed="false">
      <c r="A893" s="89"/>
      <c r="O893" s="90"/>
    </row>
    <row r="894" customFormat="false" ht="15.75" hidden="false" customHeight="true" outlineLevel="0" collapsed="false">
      <c r="A894" s="89"/>
      <c r="O894" s="90"/>
    </row>
    <row r="895" customFormat="false" ht="15.75" hidden="false" customHeight="true" outlineLevel="0" collapsed="false">
      <c r="A895" s="89"/>
      <c r="O895" s="90"/>
    </row>
    <row r="896" customFormat="false" ht="15.75" hidden="false" customHeight="true" outlineLevel="0" collapsed="false">
      <c r="A896" s="89"/>
      <c r="O896" s="90"/>
    </row>
    <row r="897" customFormat="false" ht="15.75" hidden="false" customHeight="true" outlineLevel="0" collapsed="false">
      <c r="A897" s="89"/>
      <c r="O897" s="90"/>
    </row>
    <row r="898" customFormat="false" ht="15.75" hidden="false" customHeight="true" outlineLevel="0" collapsed="false">
      <c r="A898" s="89"/>
      <c r="O898" s="90"/>
    </row>
    <row r="899" customFormat="false" ht="15.75" hidden="false" customHeight="true" outlineLevel="0" collapsed="false">
      <c r="A899" s="89"/>
      <c r="O899" s="90"/>
    </row>
    <row r="900" customFormat="false" ht="15.75" hidden="false" customHeight="true" outlineLevel="0" collapsed="false">
      <c r="A900" s="89"/>
      <c r="O900" s="90"/>
    </row>
    <row r="901" customFormat="false" ht="15.75" hidden="false" customHeight="true" outlineLevel="0" collapsed="false">
      <c r="A901" s="89"/>
      <c r="O901" s="90"/>
    </row>
    <row r="902" customFormat="false" ht="15.75" hidden="false" customHeight="true" outlineLevel="0" collapsed="false">
      <c r="A902" s="89"/>
      <c r="O902" s="90"/>
    </row>
    <row r="903" customFormat="false" ht="15.75" hidden="false" customHeight="true" outlineLevel="0" collapsed="false">
      <c r="A903" s="89"/>
      <c r="O903" s="90"/>
    </row>
    <row r="904" customFormat="false" ht="15.75" hidden="false" customHeight="true" outlineLevel="0" collapsed="false">
      <c r="A904" s="89"/>
      <c r="O904" s="90"/>
    </row>
    <row r="905" customFormat="false" ht="15.75" hidden="false" customHeight="true" outlineLevel="0" collapsed="false">
      <c r="A905" s="89"/>
      <c r="O905" s="90"/>
    </row>
    <row r="906" customFormat="false" ht="15.75" hidden="false" customHeight="true" outlineLevel="0" collapsed="false">
      <c r="A906" s="89"/>
      <c r="O906" s="90"/>
    </row>
    <row r="907" customFormat="false" ht="15.75" hidden="false" customHeight="true" outlineLevel="0" collapsed="false">
      <c r="A907" s="89"/>
      <c r="O907" s="90"/>
    </row>
    <row r="908" customFormat="false" ht="15.75" hidden="false" customHeight="true" outlineLevel="0" collapsed="false">
      <c r="A908" s="89"/>
      <c r="O908" s="90"/>
    </row>
    <row r="909" customFormat="false" ht="15.75" hidden="false" customHeight="true" outlineLevel="0" collapsed="false">
      <c r="A909" s="89"/>
      <c r="O909" s="90"/>
    </row>
    <row r="910" customFormat="false" ht="15.75" hidden="false" customHeight="true" outlineLevel="0" collapsed="false">
      <c r="A910" s="89"/>
      <c r="O910" s="90"/>
    </row>
    <row r="911" customFormat="false" ht="15.75" hidden="false" customHeight="true" outlineLevel="0" collapsed="false">
      <c r="A911" s="89"/>
      <c r="O911" s="90"/>
    </row>
    <row r="912" customFormat="false" ht="15.75" hidden="false" customHeight="true" outlineLevel="0" collapsed="false">
      <c r="A912" s="89"/>
      <c r="O912" s="90"/>
    </row>
    <row r="913" customFormat="false" ht="15.75" hidden="false" customHeight="true" outlineLevel="0" collapsed="false">
      <c r="A913" s="89"/>
      <c r="O913" s="90"/>
    </row>
    <row r="914" customFormat="false" ht="15.75" hidden="false" customHeight="true" outlineLevel="0" collapsed="false">
      <c r="A914" s="89"/>
      <c r="O914" s="90"/>
    </row>
    <row r="915" customFormat="false" ht="15.75" hidden="false" customHeight="true" outlineLevel="0" collapsed="false">
      <c r="A915" s="89"/>
      <c r="O915" s="90"/>
    </row>
    <row r="916" customFormat="false" ht="15.75" hidden="false" customHeight="true" outlineLevel="0" collapsed="false">
      <c r="A916" s="89"/>
      <c r="O916" s="90"/>
    </row>
    <row r="917" customFormat="false" ht="15.75" hidden="false" customHeight="true" outlineLevel="0" collapsed="false">
      <c r="A917" s="89"/>
      <c r="O917" s="90"/>
    </row>
    <row r="918" customFormat="false" ht="15.75" hidden="false" customHeight="true" outlineLevel="0" collapsed="false">
      <c r="A918" s="89"/>
      <c r="O918" s="90"/>
    </row>
    <row r="919" customFormat="false" ht="15.75" hidden="false" customHeight="true" outlineLevel="0" collapsed="false">
      <c r="A919" s="89"/>
      <c r="O919" s="90"/>
    </row>
    <row r="920" customFormat="false" ht="15.75" hidden="false" customHeight="true" outlineLevel="0" collapsed="false">
      <c r="A920" s="89"/>
      <c r="O920" s="90"/>
    </row>
    <row r="921" customFormat="false" ht="15.75" hidden="false" customHeight="true" outlineLevel="0" collapsed="false">
      <c r="A921" s="89"/>
      <c r="O921" s="90"/>
    </row>
    <row r="922" customFormat="false" ht="15.75" hidden="false" customHeight="true" outlineLevel="0" collapsed="false">
      <c r="A922" s="89"/>
      <c r="O922" s="90"/>
    </row>
    <row r="923" customFormat="false" ht="15.75" hidden="false" customHeight="true" outlineLevel="0" collapsed="false">
      <c r="A923" s="89"/>
      <c r="O923" s="90"/>
    </row>
    <row r="924" customFormat="false" ht="15.75" hidden="false" customHeight="true" outlineLevel="0" collapsed="false">
      <c r="A924" s="89"/>
      <c r="O924" s="90"/>
    </row>
    <row r="925" customFormat="false" ht="15.75" hidden="false" customHeight="true" outlineLevel="0" collapsed="false">
      <c r="A925" s="89"/>
      <c r="O925" s="90"/>
    </row>
    <row r="926" customFormat="false" ht="15.75" hidden="false" customHeight="true" outlineLevel="0" collapsed="false">
      <c r="A926" s="89"/>
      <c r="O926" s="90"/>
    </row>
    <row r="927" customFormat="false" ht="15.75" hidden="false" customHeight="true" outlineLevel="0" collapsed="false">
      <c r="A927" s="89"/>
      <c r="O927" s="90"/>
    </row>
    <row r="928" customFormat="false" ht="15.75" hidden="false" customHeight="true" outlineLevel="0" collapsed="false">
      <c r="A928" s="89"/>
      <c r="O928" s="90"/>
    </row>
    <row r="929" customFormat="false" ht="15.75" hidden="false" customHeight="true" outlineLevel="0" collapsed="false">
      <c r="A929" s="89"/>
      <c r="O929" s="90"/>
    </row>
    <row r="930" customFormat="false" ht="15.75" hidden="false" customHeight="true" outlineLevel="0" collapsed="false">
      <c r="A930" s="89"/>
      <c r="O930" s="90"/>
    </row>
    <row r="931" customFormat="false" ht="15.75" hidden="false" customHeight="true" outlineLevel="0" collapsed="false">
      <c r="A931" s="89"/>
      <c r="O931" s="90"/>
    </row>
    <row r="932" customFormat="false" ht="15.75" hidden="false" customHeight="true" outlineLevel="0" collapsed="false">
      <c r="A932" s="89"/>
      <c r="O932" s="90"/>
    </row>
    <row r="933" customFormat="false" ht="15.75" hidden="false" customHeight="true" outlineLevel="0" collapsed="false">
      <c r="A933" s="89"/>
      <c r="O933" s="90"/>
    </row>
    <row r="934" customFormat="false" ht="15.75" hidden="false" customHeight="true" outlineLevel="0" collapsed="false">
      <c r="A934" s="89"/>
      <c r="O934" s="90"/>
    </row>
    <row r="935" customFormat="false" ht="15.75" hidden="false" customHeight="true" outlineLevel="0" collapsed="false">
      <c r="A935" s="89"/>
      <c r="O935" s="90"/>
    </row>
    <row r="936" customFormat="false" ht="15.75" hidden="false" customHeight="true" outlineLevel="0" collapsed="false">
      <c r="A936" s="89"/>
      <c r="O936" s="90"/>
    </row>
    <row r="937" customFormat="false" ht="15.75" hidden="false" customHeight="true" outlineLevel="0" collapsed="false">
      <c r="A937" s="89"/>
      <c r="O937" s="90"/>
    </row>
    <row r="938" customFormat="false" ht="15.75" hidden="false" customHeight="true" outlineLevel="0" collapsed="false">
      <c r="A938" s="89"/>
      <c r="O938" s="90"/>
    </row>
    <row r="939" customFormat="false" ht="15.75" hidden="false" customHeight="true" outlineLevel="0" collapsed="false">
      <c r="A939" s="89"/>
      <c r="O939" s="90"/>
    </row>
    <row r="940" customFormat="false" ht="15.75" hidden="false" customHeight="true" outlineLevel="0" collapsed="false">
      <c r="A940" s="89"/>
      <c r="O940" s="90"/>
    </row>
    <row r="941" customFormat="false" ht="15.75" hidden="false" customHeight="true" outlineLevel="0" collapsed="false">
      <c r="A941" s="89"/>
      <c r="O941" s="90"/>
    </row>
    <row r="942" customFormat="false" ht="15.75" hidden="false" customHeight="true" outlineLevel="0" collapsed="false">
      <c r="A942" s="89"/>
      <c r="O942" s="90"/>
    </row>
    <row r="943" customFormat="false" ht="15.75" hidden="false" customHeight="true" outlineLevel="0" collapsed="false">
      <c r="A943" s="89"/>
      <c r="O943" s="90"/>
    </row>
    <row r="944" customFormat="false" ht="15.75" hidden="false" customHeight="true" outlineLevel="0" collapsed="false">
      <c r="A944" s="89"/>
      <c r="O944" s="90"/>
    </row>
    <row r="945" customFormat="false" ht="15.75" hidden="false" customHeight="true" outlineLevel="0" collapsed="false">
      <c r="A945" s="89"/>
      <c r="O945" s="90"/>
    </row>
    <row r="946" customFormat="false" ht="15.75" hidden="false" customHeight="true" outlineLevel="0" collapsed="false">
      <c r="A946" s="89"/>
      <c r="O946" s="90"/>
    </row>
    <row r="947" customFormat="false" ht="15.75" hidden="false" customHeight="true" outlineLevel="0" collapsed="false">
      <c r="A947" s="89"/>
      <c r="O947" s="90"/>
    </row>
    <row r="948" customFormat="false" ht="15.75" hidden="false" customHeight="true" outlineLevel="0" collapsed="false">
      <c r="A948" s="89"/>
      <c r="O948" s="90"/>
    </row>
    <row r="949" customFormat="false" ht="15.75" hidden="false" customHeight="true" outlineLevel="0" collapsed="false">
      <c r="A949" s="89"/>
      <c r="O949" s="90"/>
    </row>
    <row r="950" customFormat="false" ht="15.75" hidden="false" customHeight="true" outlineLevel="0" collapsed="false">
      <c r="A950" s="89"/>
      <c r="O950" s="90"/>
    </row>
    <row r="951" customFormat="false" ht="15.75" hidden="false" customHeight="true" outlineLevel="0" collapsed="false">
      <c r="A951" s="89"/>
      <c r="O951" s="90"/>
    </row>
    <row r="952" customFormat="false" ht="15.75" hidden="false" customHeight="true" outlineLevel="0" collapsed="false">
      <c r="A952" s="89"/>
      <c r="O952" s="90"/>
    </row>
    <row r="953" customFormat="false" ht="15.75" hidden="false" customHeight="true" outlineLevel="0" collapsed="false">
      <c r="A953" s="89"/>
      <c r="O953" s="90"/>
    </row>
    <row r="954" customFormat="false" ht="15.75" hidden="false" customHeight="true" outlineLevel="0" collapsed="false">
      <c r="A954" s="89"/>
      <c r="O954" s="90"/>
    </row>
    <row r="955" customFormat="false" ht="15.75" hidden="false" customHeight="true" outlineLevel="0" collapsed="false">
      <c r="A955" s="89"/>
      <c r="O955" s="90"/>
    </row>
    <row r="956" customFormat="false" ht="15.75" hidden="false" customHeight="true" outlineLevel="0" collapsed="false">
      <c r="A956" s="89"/>
      <c r="O956" s="90"/>
    </row>
    <row r="957" customFormat="false" ht="15.75" hidden="false" customHeight="true" outlineLevel="0" collapsed="false">
      <c r="A957" s="89"/>
      <c r="O957" s="90"/>
    </row>
    <row r="958" customFormat="false" ht="15.75" hidden="false" customHeight="true" outlineLevel="0" collapsed="false">
      <c r="A958" s="89"/>
      <c r="O958" s="90"/>
    </row>
    <row r="959" customFormat="false" ht="15.75" hidden="false" customHeight="true" outlineLevel="0" collapsed="false">
      <c r="A959" s="89"/>
      <c r="O959" s="90"/>
    </row>
    <row r="960" customFormat="false" ht="15.75" hidden="false" customHeight="true" outlineLevel="0" collapsed="false">
      <c r="A960" s="89"/>
      <c r="O960" s="90"/>
    </row>
    <row r="961" customFormat="false" ht="15.75" hidden="false" customHeight="true" outlineLevel="0" collapsed="false">
      <c r="A961" s="89"/>
      <c r="O961" s="90"/>
    </row>
    <row r="962" customFormat="false" ht="15.75" hidden="false" customHeight="true" outlineLevel="0" collapsed="false">
      <c r="A962" s="89"/>
      <c r="O962" s="90"/>
    </row>
    <row r="963" customFormat="false" ht="15.75" hidden="false" customHeight="true" outlineLevel="0" collapsed="false">
      <c r="A963" s="89"/>
      <c r="O963" s="90"/>
    </row>
    <row r="964" customFormat="false" ht="15.75" hidden="false" customHeight="true" outlineLevel="0" collapsed="false">
      <c r="A964" s="89"/>
      <c r="O964" s="90"/>
    </row>
    <row r="965" customFormat="false" ht="15.75" hidden="false" customHeight="true" outlineLevel="0" collapsed="false">
      <c r="A965" s="89"/>
      <c r="O965" s="90"/>
    </row>
    <row r="966" customFormat="false" ht="15.75" hidden="false" customHeight="true" outlineLevel="0" collapsed="false">
      <c r="A966" s="89"/>
      <c r="O966" s="90"/>
    </row>
    <row r="967" customFormat="false" ht="15.75" hidden="false" customHeight="true" outlineLevel="0" collapsed="false">
      <c r="A967" s="89"/>
      <c r="O967" s="90"/>
    </row>
    <row r="968" customFormat="false" ht="15.75" hidden="false" customHeight="true" outlineLevel="0" collapsed="false">
      <c r="A968" s="89"/>
      <c r="O968" s="90"/>
    </row>
    <row r="969" customFormat="false" ht="15.75" hidden="false" customHeight="true" outlineLevel="0" collapsed="false">
      <c r="A969" s="89"/>
      <c r="O969" s="90"/>
    </row>
    <row r="970" customFormat="false" ht="15.75" hidden="false" customHeight="true" outlineLevel="0" collapsed="false">
      <c r="A970" s="89"/>
      <c r="O970" s="90"/>
    </row>
    <row r="971" customFormat="false" ht="15.75" hidden="false" customHeight="true" outlineLevel="0" collapsed="false">
      <c r="A971" s="89"/>
      <c r="O971" s="90"/>
    </row>
    <row r="972" customFormat="false" ht="15.75" hidden="false" customHeight="true" outlineLevel="0" collapsed="false">
      <c r="A972" s="89"/>
      <c r="O972" s="90"/>
    </row>
    <row r="973" customFormat="false" ht="15.75" hidden="false" customHeight="true" outlineLevel="0" collapsed="false">
      <c r="A973" s="89"/>
      <c r="O973" s="90"/>
    </row>
    <row r="974" customFormat="false" ht="15.75" hidden="false" customHeight="true" outlineLevel="0" collapsed="false">
      <c r="A974" s="89"/>
      <c r="O974" s="90"/>
    </row>
    <row r="975" customFormat="false" ht="15.75" hidden="false" customHeight="true" outlineLevel="0" collapsed="false">
      <c r="A975" s="89"/>
      <c r="O975" s="90"/>
    </row>
    <row r="976" customFormat="false" ht="15.75" hidden="false" customHeight="true" outlineLevel="0" collapsed="false">
      <c r="A976" s="89"/>
      <c r="O976" s="90"/>
    </row>
    <row r="977" customFormat="false" ht="15.75" hidden="false" customHeight="true" outlineLevel="0" collapsed="false">
      <c r="A977" s="89"/>
      <c r="O977" s="90"/>
    </row>
    <row r="978" customFormat="false" ht="15.75" hidden="false" customHeight="true" outlineLevel="0" collapsed="false">
      <c r="A978" s="89"/>
      <c r="O978" s="90"/>
    </row>
    <row r="979" customFormat="false" ht="15.75" hidden="false" customHeight="true" outlineLevel="0" collapsed="false">
      <c r="A979" s="89"/>
      <c r="O979" s="90"/>
    </row>
    <row r="980" customFormat="false" ht="15.75" hidden="false" customHeight="true" outlineLevel="0" collapsed="false">
      <c r="A980" s="89"/>
      <c r="O980" s="90"/>
    </row>
    <row r="981" customFormat="false" ht="15.75" hidden="false" customHeight="true" outlineLevel="0" collapsed="false">
      <c r="A981" s="89"/>
      <c r="O981" s="90"/>
    </row>
    <row r="982" customFormat="false" ht="15.75" hidden="false" customHeight="true" outlineLevel="0" collapsed="false">
      <c r="A982" s="89"/>
      <c r="O982" s="90"/>
    </row>
    <row r="983" customFormat="false" ht="15.75" hidden="false" customHeight="true" outlineLevel="0" collapsed="false">
      <c r="A983" s="89"/>
      <c r="O983" s="90"/>
    </row>
    <row r="984" customFormat="false" ht="15.75" hidden="false" customHeight="true" outlineLevel="0" collapsed="false">
      <c r="A984" s="89"/>
      <c r="O984" s="90"/>
    </row>
    <row r="985" customFormat="false" ht="15.75" hidden="false" customHeight="true" outlineLevel="0" collapsed="false">
      <c r="A985" s="89"/>
      <c r="O985" s="90"/>
    </row>
    <row r="986" customFormat="false" ht="15.75" hidden="false" customHeight="true" outlineLevel="0" collapsed="false">
      <c r="A986" s="89"/>
      <c r="O986" s="90"/>
    </row>
    <row r="987" customFormat="false" ht="15.75" hidden="false" customHeight="true" outlineLevel="0" collapsed="false">
      <c r="A987" s="89"/>
      <c r="O987" s="90"/>
    </row>
    <row r="988" customFormat="false" ht="15.75" hidden="false" customHeight="true" outlineLevel="0" collapsed="false">
      <c r="A988" s="89"/>
      <c r="O988" s="90"/>
    </row>
    <row r="989" customFormat="false" ht="15.75" hidden="false" customHeight="true" outlineLevel="0" collapsed="false">
      <c r="A989" s="89"/>
      <c r="O989" s="90"/>
    </row>
    <row r="990" customFormat="false" ht="15.75" hidden="false" customHeight="true" outlineLevel="0" collapsed="false">
      <c r="A990" s="89"/>
      <c r="O990" s="90"/>
    </row>
    <row r="991" customFormat="false" ht="15.75" hidden="false" customHeight="true" outlineLevel="0" collapsed="false">
      <c r="A991" s="89"/>
      <c r="O991" s="90"/>
    </row>
    <row r="992" customFormat="false" ht="15.75" hidden="false" customHeight="true" outlineLevel="0" collapsed="false">
      <c r="A992" s="89"/>
      <c r="O992" s="90"/>
    </row>
    <row r="993" customFormat="false" ht="15.75" hidden="false" customHeight="true" outlineLevel="0" collapsed="false">
      <c r="A993" s="89"/>
      <c r="O993" s="90"/>
    </row>
    <row r="994" customFormat="false" ht="15.75" hidden="false" customHeight="true" outlineLevel="0" collapsed="false">
      <c r="A994" s="89"/>
      <c r="O994" s="90"/>
    </row>
    <row r="995" customFormat="false" ht="15.75" hidden="false" customHeight="true" outlineLevel="0" collapsed="false">
      <c r="A995" s="89"/>
      <c r="O995" s="90"/>
    </row>
    <row r="996" customFormat="false" ht="15.75" hidden="false" customHeight="true" outlineLevel="0" collapsed="false">
      <c r="A996" s="89"/>
      <c r="O996" s="90"/>
    </row>
    <row r="997" customFormat="false" ht="15.75" hidden="false" customHeight="true" outlineLevel="0" collapsed="false">
      <c r="A997" s="89"/>
      <c r="O997" s="90"/>
    </row>
    <row r="998" customFormat="false" ht="15.75" hidden="false" customHeight="true" outlineLevel="0" collapsed="false">
      <c r="A998" s="89"/>
      <c r="O998" s="90"/>
    </row>
    <row r="999" customFormat="false" ht="15.75" hidden="false" customHeight="true" outlineLevel="0" collapsed="false">
      <c r="A999" s="89"/>
      <c r="O999" s="90"/>
    </row>
    <row r="1000" customFormat="false" ht="15.75" hidden="false" customHeight="true" outlineLevel="0" collapsed="false">
      <c r="A1000" s="89"/>
      <c r="O1000" s="90"/>
    </row>
  </sheetData>
  <mergeCells count="1">
    <mergeCell ref="A1:A16"/>
  </mergeCells>
  <conditionalFormatting sqref="F2:O16">
    <cfRule type="cellIs" priority="2" operator="equal" aboveAverage="0" equalAverage="0" bottom="0" percent="0" rank="0" text="" dxfId="12">
      <formula>"A"</formula>
    </cfRule>
    <cfRule type="cellIs" priority="3" operator="equal" aboveAverage="0" equalAverage="0" bottom="0" percent="0" rank="0" text="" dxfId="15">
      <formula>"P"</formula>
    </cfRule>
  </conditionalFormatting>
  <conditionalFormatting sqref="U2:U1000 R1:R16">
    <cfRule type="colorScale" priority="4">
      <colorScale>
        <cfvo type="percent" val="0"/>
        <cfvo type="percent" val="50"/>
        <cfvo type="percent" val="100"/>
        <color rgb="FFCC0000"/>
        <color rgb="FFFFF2CC"/>
        <color rgb="FF57BB8A"/>
      </colorScale>
    </cfRule>
  </conditionalFormatting>
  <conditionalFormatting sqref="S2:U15">
    <cfRule type="expression" priority="5" aboveAverage="0" equalAverage="0" bottom="0" percent="0" rank="0" text="" dxfId="12">
      <formula>$I2:$I27="Fail"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T20" activeCellId="0" sqref="T20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7.3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25.7"/>
    <col collapsed="false" customWidth="true" hidden="false" outlineLevel="0" max="7" min="6" style="0" width="8.38"/>
    <col collapsed="false" customWidth="true" hidden="false" outlineLevel="0" max="8" min="8" style="0" width="10.38"/>
    <col collapsed="false" customWidth="true" hidden="false" outlineLevel="0" max="9" min="9" style="0" width="8.63"/>
    <col collapsed="false" customWidth="true" hidden="false" outlineLevel="0" max="10" min="10" style="0" width="10.63"/>
    <col collapsed="false" customWidth="true" hidden="false" outlineLevel="0" max="11" min="11" style="0" width="10.38"/>
    <col collapsed="false" customWidth="true" hidden="false" outlineLevel="0" max="12" min="12" style="0" width="9.63"/>
    <col collapsed="false" customWidth="true" hidden="false" outlineLevel="0" max="13" min="13" style="0" width="8.38"/>
    <col collapsed="false" customWidth="true" hidden="false" outlineLevel="0" max="14" min="14" style="0" width="8.63"/>
    <col collapsed="false" customWidth="true" hidden="false" outlineLevel="0" max="16" min="15" style="0" width="13.75"/>
    <col collapsed="false" customWidth="true" hidden="false" outlineLevel="0" max="17" min="17" style="0" width="17"/>
    <col collapsed="false" customWidth="true" hidden="false" outlineLevel="0" max="18" min="18" style="0" width="21.36"/>
    <col collapsed="false" customWidth="true" hidden="false" outlineLevel="0" max="19" min="19" style="0" width="18.7"/>
    <col collapsed="false" customWidth="true" hidden="false" outlineLevel="0" max="20" min="20" style="0" width="24"/>
    <col collapsed="false" customWidth="true" hidden="false" outlineLevel="0" max="29" min="21" style="0" width="15.63"/>
  </cols>
  <sheetData>
    <row r="1" customFormat="false" ht="103.5" hidden="false" customHeight="true" outlineLevel="0" collapsed="false">
      <c r="A1" s="91" t="s">
        <v>17</v>
      </c>
      <c r="B1" s="92" t="s">
        <v>0</v>
      </c>
      <c r="C1" s="92" t="s">
        <v>1</v>
      </c>
      <c r="D1" s="92" t="s">
        <v>2</v>
      </c>
      <c r="E1" s="93" t="s">
        <v>3</v>
      </c>
      <c r="F1" s="94" t="s">
        <v>111</v>
      </c>
      <c r="G1" s="95" t="s">
        <v>112</v>
      </c>
      <c r="H1" s="95" t="s">
        <v>113</v>
      </c>
      <c r="I1" s="95" t="s">
        <v>114</v>
      </c>
      <c r="J1" s="96" t="s">
        <v>115</v>
      </c>
      <c r="K1" s="94" t="s">
        <v>116</v>
      </c>
      <c r="L1" s="95" t="s">
        <v>117</v>
      </c>
      <c r="M1" s="95" t="s">
        <v>118</v>
      </c>
      <c r="N1" s="95" t="s">
        <v>119</v>
      </c>
      <c r="O1" s="96" t="s">
        <v>120</v>
      </c>
      <c r="P1" s="97" t="s">
        <v>121</v>
      </c>
      <c r="Q1" s="98" t="s">
        <v>122</v>
      </c>
      <c r="R1" s="99" t="s">
        <v>123</v>
      </c>
      <c r="S1" s="5" t="s">
        <v>92</v>
      </c>
      <c r="T1" s="5" t="s">
        <v>93</v>
      </c>
      <c r="U1" s="6" t="s">
        <v>124</v>
      </c>
    </row>
    <row r="2" customFormat="false" ht="26.25" hidden="false" customHeight="true" outlineLevel="0" collapsed="false">
      <c r="A2" s="91"/>
      <c r="B2" s="3" t="str">
        <f aca="false" t="array" ref="B2:E16">_xlfn._xlws.FILTER(StudendEnroll!A2:D44,StudendEnroll!D2:D44=A1)</f>
        <v>Katie</v>
      </c>
      <c r="C2" s="3" t="str">
        <v>Parn</v>
      </c>
      <c r="D2" s="3" t="str">
        <v>Katiear@gmail.com</v>
      </c>
      <c r="E2" s="3" t="str">
        <v>English Language</v>
      </c>
      <c r="F2" s="100" t="s">
        <v>125</v>
      </c>
      <c r="G2" s="3" t="s">
        <v>125</v>
      </c>
      <c r="H2" s="3" t="s">
        <v>125</v>
      </c>
      <c r="I2" s="3" t="s">
        <v>125</v>
      </c>
      <c r="J2" s="101" t="s">
        <v>126</v>
      </c>
      <c r="K2" s="100" t="s">
        <v>125</v>
      </c>
      <c r="L2" s="3" t="s">
        <v>125</v>
      </c>
      <c r="M2" s="3" t="s">
        <v>125</v>
      </c>
      <c r="N2" s="3" t="s">
        <v>125</v>
      </c>
      <c r="O2" s="102" t="s">
        <v>125</v>
      </c>
      <c r="P2" s="103" t="n">
        <f aca="false">COUNTIF(F2:J2,"P")/COUNTA(F2:J2)</f>
        <v>0.8</v>
      </c>
      <c r="Q2" s="103" t="n">
        <f aca="false">COUNTIF(K2:O2,"P")/COUNTA(K2:O2)</f>
        <v>1</v>
      </c>
      <c r="R2" s="104" t="n">
        <f aca="false">SUM(P2:Q2)/2</f>
        <v>0.9</v>
      </c>
      <c r="S2" s="3" t="n">
        <v>96</v>
      </c>
      <c r="T2" s="3" t="n">
        <v>88</v>
      </c>
      <c r="U2" s="3" t="s">
        <v>127</v>
      </c>
    </row>
    <row r="3" customFormat="false" ht="26.25" hidden="false" customHeight="true" outlineLevel="0" collapsed="false">
      <c r="A3" s="91"/>
      <c r="B3" s="3" t="str">
        <v>Ronaldo</v>
      </c>
      <c r="C3" s="3" t="str">
        <v>Felipe</v>
      </c>
      <c r="D3" s="3" t="str">
        <v>Ronaldoel@gmail.com</v>
      </c>
      <c r="E3" s="3" t="str">
        <v>English Language</v>
      </c>
      <c r="F3" s="100" t="s">
        <v>125</v>
      </c>
      <c r="G3" s="3" t="s">
        <v>125</v>
      </c>
      <c r="H3" s="3" t="s">
        <v>125</v>
      </c>
      <c r="I3" s="3" t="s">
        <v>125</v>
      </c>
      <c r="J3" s="101" t="s">
        <v>126</v>
      </c>
      <c r="K3" s="100" t="s">
        <v>125</v>
      </c>
      <c r="L3" s="3" t="s">
        <v>125</v>
      </c>
      <c r="M3" s="3" t="s">
        <v>125</v>
      </c>
      <c r="N3" s="3" t="s">
        <v>126</v>
      </c>
      <c r="O3" s="102" t="s">
        <v>125</v>
      </c>
      <c r="P3" s="103" t="n">
        <f aca="false">COUNTIF(F3:J3,"P")/COUNTA(F3:J3)</f>
        <v>0.8</v>
      </c>
      <c r="Q3" s="103" t="n">
        <f aca="false">COUNTIF(K3:O3,"P")/COUNTA(K3:O3)</f>
        <v>0.8</v>
      </c>
      <c r="R3" s="104" t="n">
        <f aca="false">SUM(P3:Q3)/2</f>
        <v>0.8</v>
      </c>
      <c r="S3" s="3" t="n">
        <v>55</v>
      </c>
      <c r="T3" s="3" t="n">
        <v>66</v>
      </c>
      <c r="U3" s="3" t="s">
        <v>128</v>
      </c>
    </row>
    <row r="4" customFormat="false" ht="26.25" hidden="false" customHeight="true" outlineLevel="0" collapsed="false">
      <c r="A4" s="91"/>
      <c r="B4" s="3" t="str">
        <v>Dean</v>
      </c>
      <c r="C4" s="3" t="str">
        <v>Jolie</v>
      </c>
      <c r="D4" s="3" t="str">
        <v>Deanol@gmail.com</v>
      </c>
      <c r="E4" s="3" t="str">
        <v>English Language</v>
      </c>
      <c r="F4" s="100" t="s">
        <v>125</v>
      </c>
      <c r="G4" s="3" t="s">
        <v>125</v>
      </c>
      <c r="H4" s="3" t="s">
        <v>125</v>
      </c>
      <c r="I4" s="3" t="s">
        <v>125</v>
      </c>
      <c r="J4" s="101" t="s">
        <v>125</v>
      </c>
      <c r="K4" s="100" t="s">
        <v>125</v>
      </c>
      <c r="L4" s="3" t="s">
        <v>125</v>
      </c>
      <c r="M4" s="3" t="s">
        <v>125</v>
      </c>
      <c r="N4" s="3" t="s">
        <v>125</v>
      </c>
      <c r="O4" s="102" t="s">
        <v>125</v>
      </c>
      <c r="P4" s="103" t="n">
        <f aca="false">COUNTIF(F4:J4,"P")/COUNTA(F4:J4)</f>
        <v>1</v>
      </c>
      <c r="Q4" s="103" t="n">
        <f aca="false">COUNTIF(K4:O4,"P")/COUNTA(K4:O4)</f>
        <v>1</v>
      </c>
      <c r="R4" s="104" t="n">
        <f aca="false">SUM(P4:Q4)/2</f>
        <v>1</v>
      </c>
      <c r="S4" s="3" t="n">
        <v>81</v>
      </c>
      <c r="T4" s="3" t="n">
        <v>99</v>
      </c>
      <c r="U4" s="3" t="s">
        <v>127</v>
      </c>
    </row>
    <row r="5" customFormat="false" ht="26.25" hidden="false" customHeight="true" outlineLevel="0" collapsed="false">
      <c r="A5" s="91"/>
      <c r="B5" s="3" t="str">
        <v>Paolo</v>
      </c>
      <c r="C5" s="3" t="str">
        <v>Jasmini</v>
      </c>
      <c r="D5" s="3" t="str">
        <v>Paoloas@gmail.com</v>
      </c>
      <c r="E5" s="3" t="str">
        <v>English Language</v>
      </c>
      <c r="F5" s="100" t="s">
        <v>126</v>
      </c>
      <c r="G5" s="3" t="s">
        <v>125</v>
      </c>
      <c r="H5" s="3" t="s">
        <v>125</v>
      </c>
      <c r="I5" s="3" t="s">
        <v>125</v>
      </c>
      <c r="J5" s="101" t="s">
        <v>125</v>
      </c>
      <c r="K5" s="105" t="s">
        <v>125</v>
      </c>
      <c r="L5" s="99" t="s">
        <v>125</v>
      </c>
      <c r="M5" s="3" t="s">
        <v>126</v>
      </c>
      <c r="N5" s="3" t="s">
        <v>125</v>
      </c>
      <c r="O5" s="102" t="s">
        <v>125</v>
      </c>
      <c r="P5" s="103" t="n">
        <f aca="false">COUNTIF(F5:J5,"P")/COUNTA(F5:J5)</f>
        <v>0.8</v>
      </c>
      <c r="Q5" s="103" t="n">
        <f aca="false">COUNTIF(K5:O5,"P")/COUNTA(K5:O5)</f>
        <v>0.8</v>
      </c>
      <c r="R5" s="104" t="n">
        <f aca="false">SUM(P5:Q5)/2</f>
        <v>0.8</v>
      </c>
      <c r="S5" s="3" t="n">
        <v>77</v>
      </c>
      <c r="T5" s="3" t="n">
        <v>87</v>
      </c>
      <c r="U5" s="3" t="s">
        <v>127</v>
      </c>
    </row>
    <row r="6" customFormat="false" ht="26.25" hidden="false" customHeight="true" outlineLevel="0" collapsed="false">
      <c r="A6" s="91"/>
      <c r="B6" s="3" t="str">
        <v>Jean </v>
      </c>
      <c r="C6" s="3" t="str">
        <v>Damme</v>
      </c>
      <c r="D6" s="3" t="str">
        <v>Jean am@gmail.com</v>
      </c>
      <c r="E6" s="3" t="str">
        <v>English Language</v>
      </c>
      <c r="F6" s="100" t="s">
        <v>125</v>
      </c>
      <c r="G6" s="3" t="s">
        <v>125</v>
      </c>
      <c r="H6" s="3" t="s">
        <v>125</v>
      </c>
      <c r="I6" s="3" t="s">
        <v>126</v>
      </c>
      <c r="J6" s="101" t="s">
        <v>125</v>
      </c>
      <c r="K6" s="100" t="s">
        <v>125</v>
      </c>
      <c r="L6" s="3" t="s">
        <v>125</v>
      </c>
      <c r="M6" s="3" t="s">
        <v>125</v>
      </c>
      <c r="N6" s="3" t="s">
        <v>126</v>
      </c>
      <c r="O6" s="102" t="s">
        <v>126</v>
      </c>
      <c r="P6" s="103" t="n">
        <f aca="false">COUNTIF(F6:J6,"P")/COUNTA(F6:J6)</f>
        <v>0.8</v>
      </c>
      <c r="Q6" s="103" t="n">
        <f aca="false">COUNTIF(K6:O6,"P")/COUNTA(K6:O6)</f>
        <v>0.6</v>
      </c>
      <c r="R6" s="104" t="n">
        <f aca="false">SUM(P6:Q6)/2</f>
        <v>0.7</v>
      </c>
      <c r="S6" s="3" t="n">
        <v>80</v>
      </c>
      <c r="T6" s="3" t="n">
        <v>78</v>
      </c>
      <c r="U6" s="3" t="s">
        <v>127</v>
      </c>
    </row>
    <row r="7" customFormat="false" ht="26.25" hidden="false" customHeight="true" outlineLevel="0" collapsed="false">
      <c r="A7" s="91"/>
      <c r="B7" s="3" t="str">
        <v>Helen </v>
      </c>
      <c r="C7" s="3" t="str">
        <v>Birren</v>
      </c>
      <c r="D7" s="3" t="str">
        <v>Helen ir@gmail.com</v>
      </c>
      <c r="E7" s="3" t="str">
        <v>English Language</v>
      </c>
      <c r="F7" s="100" t="s">
        <v>125</v>
      </c>
      <c r="G7" s="3" t="s">
        <v>125</v>
      </c>
      <c r="H7" s="3" t="s">
        <v>125</v>
      </c>
      <c r="I7" s="3" t="s">
        <v>125</v>
      </c>
      <c r="J7" s="101" t="s">
        <v>126</v>
      </c>
      <c r="K7" s="100" t="s">
        <v>125</v>
      </c>
      <c r="L7" s="3" t="s">
        <v>125</v>
      </c>
      <c r="M7" s="3" t="s">
        <v>125</v>
      </c>
      <c r="N7" s="3" t="s">
        <v>125</v>
      </c>
      <c r="O7" s="102" t="s">
        <v>125</v>
      </c>
      <c r="P7" s="103" t="n">
        <f aca="false">COUNTIF(F7:J7,"P")/COUNTA(F7:J7)</f>
        <v>0.8</v>
      </c>
      <c r="Q7" s="103" t="n">
        <f aca="false">COUNTIF(K7:O7,"P")/COUNTA(K7:O7)</f>
        <v>1</v>
      </c>
      <c r="R7" s="104" t="n">
        <f aca="false">SUM(P7:Q7)/2</f>
        <v>0.9</v>
      </c>
      <c r="S7" s="3" t="n">
        <v>60</v>
      </c>
      <c r="T7" s="3" t="n">
        <v>94</v>
      </c>
      <c r="U7" s="3" t="s">
        <v>127</v>
      </c>
    </row>
    <row r="8" customFormat="false" ht="26.25" hidden="false" customHeight="true" outlineLevel="0" collapsed="false">
      <c r="A8" s="91"/>
      <c r="B8" s="3" t="str">
        <v>Olivia</v>
      </c>
      <c r="C8" s="3" t="str">
        <v>Cander</v>
      </c>
      <c r="D8" s="3" t="str">
        <v>Oliviaan@gmail.com</v>
      </c>
      <c r="E8" s="3" t="str">
        <v>English Language</v>
      </c>
      <c r="F8" s="100" t="s">
        <v>125</v>
      </c>
      <c r="G8" s="3" t="s">
        <v>125</v>
      </c>
      <c r="H8" s="99" t="s">
        <v>125</v>
      </c>
      <c r="I8" s="3" t="s">
        <v>126</v>
      </c>
      <c r="J8" s="101" t="s">
        <v>125</v>
      </c>
      <c r="K8" s="105" t="s">
        <v>125</v>
      </c>
      <c r="L8" s="99" t="s">
        <v>125</v>
      </c>
      <c r="M8" s="99" t="s">
        <v>125</v>
      </c>
      <c r="N8" s="99" t="s">
        <v>125</v>
      </c>
      <c r="O8" s="102" t="s">
        <v>126</v>
      </c>
      <c r="P8" s="103" t="n">
        <f aca="false">COUNTIF(F8:J8,"P")/COUNTA(F8:J8)</f>
        <v>0.8</v>
      </c>
      <c r="Q8" s="103" t="n">
        <f aca="false">COUNTIF(K8:O8,"P")/COUNTA(K8:O8)</f>
        <v>0.8</v>
      </c>
      <c r="R8" s="104" t="n">
        <f aca="false">SUM(P8:Q8)/2</f>
        <v>0.8</v>
      </c>
      <c r="S8" s="3" t="n">
        <v>92</v>
      </c>
      <c r="T8" s="3" t="n">
        <v>79</v>
      </c>
      <c r="U8" s="3" t="s">
        <v>127</v>
      </c>
    </row>
    <row r="9" customFormat="false" ht="26.25" hidden="false" customHeight="true" outlineLevel="0" collapsed="false">
      <c r="A9" s="91"/>
      <c r="B9" s="3" t="str">
        <v>Evita </v>
      </c>
      <c r="C9" s="3" t="str">
        <v>Saron</v>
      </c>
      <c r="D9" s="3" t="str">
        <v>Evita ar@gmail.com</v>
      </c>
      <c r="E9" s="3" t="str">
        <v>English Language</v>
      </c>
      <c r="F9" s="100" t="s">
        <v>125</v>
      </c>
      <c r="G9" s="3" t="s">
        <v>125</v>
      </c>
      <c r="H9" s="3" t="s">
        <v>125</v>
      </c>
      <c r="I9" s="3" t="s">
        <v>125</v>
      </c>
      <c r="J9" s="101" t="s">
        <v>125</v>
      </c>
      <c r="K9" s="100" t="s">
        <v>125</v>
      </c>
      <c r="L9" s="3" t="s">
        <v>125</v>
      </c>
      <c r="M9" s="3" t="s">
        <v>125</v>
      </c>
      <c r="N9" s="3" t="s">
        <v>125</v>
      </c>
      <c r="O9" s="102" t="s">
        <v>125</v>
      </c>
      <c r="P9" s="103" t="n">
        <f aca="false">COUNTIF(F9:J9,"P")/COUNTA(F9:J9)</f>
        <v>1</v>
      </c>
      <c r="Q9" s="103" t="n">
        <f aca="false">COUNTIF(K9:O9,"P")/COUNTA(K9:O9)</f>
        <v>1</v>
      </c>
      <c r="R9" s="104" t="n">
        <f aca="false">SUM(P9:Q9)/2</f>
        <v>1</v>
      </c>
      <c r="S9" s="3" t="n">
        <v>73</v>
      </c>
      <c r="T9" s="3" t="n">
        <v>99</v>
      </c>
      <c r="U9" s="99" t="s">
        <v>127</v>
      </c>
    </row>
    <row r="10" customFormat="false" ht="26.25" hidden="false" customHeight="true" outlineLevel="0" collapsed="false">
      <c r="A10" s="91"/>
      <c r="B10" s="3" t="str">
        <v>Muhammed </v>
      </c>
      <c r="C10" s="3" t="str">
        <v>Hasan</v>
      </c>
      <c r="D10" s="3" t="str">
        <v>Muhammed as@gmail.com</v>
      </c>
      <c r="E10" s="3" t="str">
        <v>English Language</v>
      </c>
      <c r="F10" s="100" t="s">
        <v>126</v>
      </c>
      <c r="G10" s="3" t="s">
        <v>125</v>
      </c>
      <c r="H10" s="3" t="s">
        <v>125</v>
      </c>
      <c r="I10" s="3" t="s">
        <v>125</v>
      </c>
      <c r="J10" s="101" t="s">
        <v>126</v>
      </c>
      <c r="K10" s="100" t="s">
        <v>125</v>
      </c>
      <c r="L10" s="3" t="s">
        <v>125</v>
      </c>
      <c r="M10" s="3" t="s">
        <v>125</v>
      </c>
      <c r="N10" s="3" t="s">
        <v>125</v>
      </c>
      <c r="O10" s="102" t="s">
        <v>125</v>
      </c>
      <c r="P10" s="103" t="n">
        <f aca="false">COUNTIF(F10:J10,"P")/COUNTA(F10:J10)</f>
        <v>0.6</v>
      </c>
      <c r="Q10" s="103" t="n">
        <f aca="false">COUNTIF(K10:O10,"P")/COUNTA(K10:O10)</f>
        <v>1</v>
      </c>
      <c r="R10" s="104" t="n">
        <f aca="false">SUM(P10:Q10)/2</f>
        <v>0.8</v>
      </c>
      <c r="S10" s="99" t="n">
        <v>73</v>
      </c>
      <c r="T10" s="3" t="n">
        <v>68</v>
      </c>
      <c r="U10" s="3" t="s">
        <v>127</v>
      </c>
    </row>
    <row r="11" customFormat="false" ht="26.25" hidden="false" customHeight="true" outlineLevel="0" collapsed="false">
      <c r="A11" s="91"/>
      <c r="B11" s="3" t="str">
        <v>Bill</v>
      </c>
      <c r="C11" s="3" t="str">
        <v>Kill</v>
      </c>
      <c r="D11" s="3" t="str">
        <v>Billil@gmail.com</v>
      </c>
      <c r="E11" s="3" t="str">
        <v>English Language</v>
      </c>
      <c r="F11" s="100" t="s">
        <v>125</v>
      </c>
      <c r="G11" s="3" t="s">
        <v>125</v>
      </c>
      <c r="H11" s="3" t="s">
        <v>125</v>
      </c>
      <c r="I11" s="3" t="s">
        <v>125</v>
      </c>
      <c r="J11" s="101" t="s">
        <v>125</v>
      </c>
      <c r="K11" s="100" t="s">
        <v>125</v>
      </c>
      <c r="L11" s="3" t="s">
        <v>125</v>
      </c>
      <c r="M11" s="3" t="s">
        <v>125</v>
      </c>
      <c r="N11" s="3" t="s">
        <v>125</v>
      </c>
      <c r="O11" s="102" t="s">
        <v>126</v>
      </c>
      <c r="P11" s="103" t="n">
        <f aca="false">COUNTIF(F11:J11,"P")/COUNTA(F11:J11)</f>
        <v>1</v>
      </c>
      <c r="Q11" s="103" t="n">
        <f aca="false">COUNTIF(K11:O11,"P")/COUNTA(K11:O11)</f>
        <v>0.8</v>
      </c>
      <c r="R11" s="104" t="n">
        <f aca="false">SUM(P11:Q11)/2</f>
        <v>0.9</v>
      </c>
      <c r="S11" s="3" t="n">
        <v>88</v>
      </c>
      <c r="T11" s="3" t="n">
        <v>80</v>
      </c>
      <c r="U11" s="3" t="s">
        <v>127</v>
      </c>
    </row>
    <row r="12" customFormat="false" ht="26.25" hidden="false" customHeight="true" outlineLevel="0" collapsed="false">
      <c r="A12" s="91"/>
      <c r="B12" s="3" t="str">
        <v>Bario</v>
      </c>
      <c r="C12" s="3" t="str">
        <v>Sarmiento</v>
      </c>
      <c r="D12" s="3" t="str">
        <v>Barioar@gmail.com</v>
      </c>
      <c r="E12" s="3" t="str">
        <v>English Language</v>
      </c>
      <c r="F12" s="100" t="s">
        <v>125</v>
      </c>
      <c r="G12" s="3" t="s">
        <v>125</v>
      </c>
      <c r="H12" s="3" t="s">
        <v>125</v>
      </c>
      <c r="I12" s="3" t="s">
        <v>125</v>
      </c>
      <c r="J12" s="101" t="s">
        <v>126</v>
      </c>
      <c r="K12" s="100" t="s">
        <v>125</v>
      </c>
      <c r="L12" s="3" t="s">
        <v>125</v>
      </c>
      <c r="M12" s="3" t="s">
        <v>125</v>
      </c>
      <c r="N12" s="3" t="s">
        <v>125</v>
      </c>
      <c r="O12" s="102" t="s">
        <v>125</v>
      </c>
      <c r="P12" s="103" t="n">
        <f aca="false">COUNTIF(F12:J12,"P")/COUNTA(F12:J12)</f>
        <v>0.8</v>
      </c>
      <c r="Q12" s="103" t="n">
        <f aca="false">COUNTIF(K12:O12,"P")/COUNTA(K12:O12)</f>
        <v>1</v>
      </c>
      <c r="R12" s="104" t="n">
        <f aca="false">SUM(P12:Q12)/2</f>
        <v>0.9</v>
      </c>
      <c r="S12" s="3" t="n">
        <v>96</v>
      </c>
      <c r="T12" s="3" t="n">
        <v>90</v>
      </c>
      <c r="U12" s="3" t="s">
        <v>127</v>
      </c>
    </row>
    <row r="13" customFormat="false" ht="26.25" hidden="false" customHeight="true" outlineLevel="0" collapsed="false">
      <c r="A13" s="91"/>
      <c r="B13" s="3" t="str">
        <v>Silvio</v>
      </c>
      <c r="C13" s="3" t="str">
        <v>Zerosconi</v>
      </c>
      <c r="D13" s="3" t="str">
        <v>Silvioer@gmail.com</v>
      </c>
      <c r="E13" s="3" t="str">
        <v>English Language</v>
      </c>
      <c r="F13" s="100" t="s">
        <v>125</v>
      </c>
      <c r="G13" s="3" t="s">
        <v>126</v>
      </c>
      <c r="H13" s="3" t="s">
        <v>125</v>
      </c>
      <c r="I13" s="3" t="s">
        <v>126</v>
      </c>
      <c r="J13" s="101" t="s">
        <v>125</v>
      </c>
      <c r="K13" s="100" t="s">
        <v>125</v>
      </c>
      <c r="L13" s="3" t="s">
        <v>126</v>
      </c>
      <c r="M13" s="3" t="s">
        <v>125</v>
      </c>
      <c r="N13" s="3" t="s">
        <v>126</v>
      </c>
      <c r="O13" s="102" t="s">
        <v>126</v>
      </c>
      <c r="P13" s="103" t="n">
        <f aca="false">COUNTIF(F13:J13,"P")/COUNTA(F13:J13)</f>
        <v>0.6</v>
      </c>
      <c r="Q13" s="103" t="n">
        <f aca="false">COUNTIF(K13:O13,"P")/COUNTA(K13:O13)</f>
        <v>0.4</v>
      </c>
      <c r="R13" s="104" t="n">
        <f aca="false">SUM(P13:Q13)/2</f>
        <v>0.5</v>
      </c>
      <c r="S13" s="3" t="n">
        <v>70</v>
      </c>
      <c r="T13" s="3" t="n">
        <v>0</v>
      </c>
      <c r="U13" s="3" t="s">
        <v>128</v>
      </c>
    </row>
    <row r="14" customFormat="false" ht="26.25" hidden="false" customHeight="true" outlineLevel="0" collapsed="false">
      <c r="A14" s="91"/>
      <c r="B14" s="3" t="str">
        <v>Suzie</v>
      </c>
      <c r="C14" s="3" t="str">
        <v>Partone</v>
      </c>
      <c r="D14" s="3" t="str">
        <v>Suziear@gmail.com</v>
      </c>
      <c r="E14" s="3" t="str">
        <v>English Language</v>
      </c>
      <c r="F14" s="100" t="s">
        <v>125</v>
      </c>
      <c r="G14" s="3" t="s">
        <v>125</v>
      </c>
      <c r="H14" s="3" t="s">
        <v>125</v>
      </c>
      <c r="I14" s="3" t="s">
        <v>126</v>
      </c>
      <c r="J14" s="101" t="s">
        <v>126</v>
      </c>
      <c r="K14" s="100" t="s">
        <v>126</v>
      </c>
      <c r="L14" s="3" t="s">
        <v>126</v>
      </c>
      <c r="M14" s="3" t="s">
        <v>126</v>
      </c>
      <c r="N14" s="99" t="s">
        <v>125</v>
      </c>
      <c r="O14" s="102" t="s">
        <v>125</v>
      </c>
      <c r="P14" s="103" t="n">
        <f aca="false">COUNTIF(F14:J14,"P")/COUNTA(F14:J14)</f>
        <v>0.6</v>
      </c>
      <c r="Q14" s="103" t="n">
        <f aca="false">COUNTIF(K14:O14,"P")/COUNTA(K14:O14)</f>
        <v>0.4</v>
      </c>
      <c r="R14" s="104" t="n">
        <f aca="false">SUM(P14:Q14)/2</f>
        <v>0.5</v>
      </c>
      <c r="S14" s="99" t="n">
        <v>0</v>
      </c>
      <c r="T14" s="99" t="n">
        <v>37</v>
      </c>
      <c r="U14" s="99" t="s">
        <v>128</v>
      </c>
    </row>
    <row r="15" customFormat="false" ht="26.25" hidden="false" customHeight="true" outlineLevel="0" collapsed="false">
      <c r="A15" s="91"/>
      <c r="B15" s="3" t="str">
        <v>Donald</v>
      </c>
      <c r="C15" s="3" t="str">
        <v>Alberto</v>
      </c>
      <c r="D15" s="3" t="str">
        <v>Donaldlb@gmail.com</v>
      </c>
      <c r="E15" s="3" t="str">
        <v>English Language</v>
      </c>
      <c r="F15" s="100" t="s">
        <v>125</v>
      </c>
      <c r="G15" s="3" t="s">
        <v>125</v>
      </c>
      <c r="H15" s="3" t="s">
        <v>126</v>
      </c>
      <c r="I15" s="3" t="s">
        <v>125</v>
      </c>
      <c r="J15" s="101" t="s">
        <v>125</v>
      </c>
      <c r="K15" s="100" t="s">
        <v>125</v>
      </c>
      <c r="L15" s="3" t="s">
        <v>125</v>
      </c>
      <c r="M15" s="3" t="s">
        <v>125</v>
      </c>
      <c r="N15" s="3" t="s">
        <v>125</v>
      </c>
      <c r="O15" s="102" t="s">
        <v>126</v>
      </c>
      <c r="P15" s="103" t="n">
        <f aca="false">COUNTIF(F15:J15,"P")/COUNTA(F15:J15)</f>
        <v>0.8</v>
      </c>
      <c r="Q15" s="103" t="n">
        <f aca="false">COUNTIF(K15:O15,"P")/COUNTA(K15:O15)</f>
        <v>0.8</v>
      </c>
      <c r="R15" s="104" t="n">
        <f aca="false">SUM(P15:Q15)/2</f>
        <v>0.8</v>
      </c>
      <c r="S15" s="3" t="n">
        <v>97</v>
      </c>
      <c r="T15" s="3" t="n">
        <v>100</v>
      </c>
      <c r="U15" s="3" t="s">
        <v>127</v>
      </c>
    </row>
    <row r="16" customFormat="false" ht="26.25" hidden="false" customHeight="true" outlineLevel="0" collapsed="false">
      <c r="A16" s="91"/>
      <c r="B16" s="3" t="str">
        <v>Ina</v>
      </c>
      <c r="C16" s="3" t="str">
        <v>Christal</v>
      </c>
      <c r="D16" s="3" t="str">
        <v>Inahr@gmail.com</v>
      </c>
      <c r="E16" s="3" t="str">
        <v>English Language</v>
      </c>
      <c r="F16" s="106" t="s">
        <v>125</v>
      </c>
      <c r="G16" s="107" t="s">
        <v>126</v>
      </c>
      <c r="H16" s="108" t="s">
        <v>125</v>
      </c>
      <c r="I16" s="107" t="s">
        <v>125</v>
      </c>
      <c r="J16" s="109" t="s">
        <v>125</v>
      </c>
      <c r="K16" s="106" t="s">
        <v>125</v>
      </c>
      <c r="L16" s="107" t="s">
        <v>126</v>
      </c>
      <c r="M16" s="107" t="s">
        <v>126</v>
      </c>
      <c r="N16" s="107" t="s">
        <v>125</v>
      </c>
      <c r="O16" s="110" t="s">
        <v>129</v>
      </c>
      <c r="P16" s="103" t="n">
        <f aca="false">COUNTIF(F16:J16,"P")/COUNTA(F16:J16)</f>
        <v>0.8</v>
      </c>
      <c r="Q16" s="103" t="n">
        <f aca="false">COUNTIF(K16:O16,"P")/COUNTA(K16:O16)</f>
        <v>0.6</v>
      </c>
      <c r="R16" s="104" t="n">
        <f aca="false">SUM(P16:Q16)/2</f>
        <v>0.7</v>
      </c>
      <c r="S16" s="3" t="n">
        <v>90</v>
      </c>
      <c r="T16" s="3" t="n">
        <v>87</v>
      </c>
      <c r="U16" s="3" t="s">
        <v>127</v>
      </c>
    </row>
    <row r="17" customFormat="false" ht="15" hidden="false" customHeight="false" outlineLevel="0" collapsed="false">
      <c r="A17" s="89"/>
      <c r="O17" s="90"/>
    </row>
    <row r="18" customFormat="false" ht="15" hidden="false" customHeight="false" outlineLevel="0" collapsed="false">
      <c r="A18" s="89"/>
      <c r="O18" s="90"/>
    </row>
    <row r="19" customFormat="false" ht="15" hidden="false" customHeight="false" outlineLevel="0" collapsed="false">
      <c r="A19" s="89"/>
      <c r="O19" s="90"/>
    </row>
    <row r="20" customFormat="false" ht="15" hidden="false" customHeight="false" outlineLevel="0" collapsed="false">
      <c r="A20" s="89"/>
      <c r="O20" s="90"/>
    </row>
    <row r="21" customFormat="false" ht="15.75" hidden="false" customHeight="true" outlineLevel="0" collapsed="false">
      <c r="A21" s="89"/>
      <c r="O21" s="90"/>
    </row>
    <row r="22" customFormat="false" ht="15.75" hidden="false" customHeight="true" outlineLevel="0" collapsed="false">
      <c r="A22" s="89"/>
      <c r="O22" s="90"/>
    </row>
    <row r="23" customFormat="false" ht="15.75" hidden="false" customHeight="true" outlineLevel="0" collapsed="false">
      <c r="A23" s="89"/>
      <c r="O23" s="90"/>
    </row>
    <row r="24" customFormat="false" ht="15.75" hidden="false" customHeight="true" outlineLevel="0" collapsed="false">
      <c r="A24" s="89"/>
      <c r="O24" s="90"/>
    </row>
    <row r="25" customFormat="false" ht="15.75" hidden="false" customHeight="true" outlineLevel="0" collapsed="false">
      <c r="A25" s="89"/>
      <c r="O25" s="90"/>
    </row>
    <row r="26" customFormat="false" ht="15.75" hidden="false" customHeight="true" outlineLevel="0" collapsed="false">
      <c r="A26" s="89"/>
      <c r="O26" s="90"/>
    </row>
    <row r="27" customFormat="false" ht="15.75" hidden="false" customHeight="true" outlineLevel="0" collapsed="false">
      <c r="A27" s="89"/>
      <c r="O27" s="90"/>
    </row>
    <row r="28" customFormat="false" ht="15.75" hidden="false" customHeight="true" outlineLevel="0" collapsed="false">
      <c r="A28" s="89"/>
      <c r="O28" s="90"/>
    </row>
    <row r="29" customFormat="false" ht="15.75" hidden="false" customHeight="true" outlineLevel="0" collapsed="false">
      <c r="A29" s="89"/>
      <c r="O29" s="90"/>
    </row>
    <row r="30" customFormat="false" ht="15.75" hidden="false" customHeight="true" outlineLevel="0" collapsed="false">
      <c r="A30" s="89"/>
      <c r="O30" s="90"/>
    </row>
    <row r="31" customFormat="false" ht="15.75" hidden="false" customHeight="true" outlineLevel="0" collapsed="false">
      <c r="A31" s="89"/>
      <c r="O31" s="90"/>
    </row>
    <row r="32" customFormat="false" ht="15.75" hidden="false" customHeight="true" outlineLevel="0" collapsed="false">
      <c r="A32" s="89"/>
      <c r="O32" s="90"/>
    </row>
    <row r="33" customFormat="false" ht="15.75" hidden="false" customHeight="true" outlineLevel="0" collapsed="false">
      <c r="A33" s="89"/>
      <c r="O33" s="90"/>
    </row>
    <row r="34" customFormat="false" ht="15.75" hidden="false" customHeight="true" outlineLevel="0" collapsed="false">
      <c r="A34" s="89"/>
      <c r="O34" s="90"/>
    </row>
    <row r="35" customFormat="false" ht="15.75" hidden="false" customHeight="true" outlineLevel="0" collapsed="false">
      <c r="A35" s="89"/>
      <c r="O35" s="90"/>
    </row>
    <row r="36" customFormat="false" ht="15.75" hidden="false" customHeight="true" outlineLevel="0" collapsed="false">
      <c r="A36" s="89"/>
      <c r="O36" s="90"/>
    </row>
    <row r="37" customFormat="false" ht="15.75" hidden="false" customHeight="true" outlineLevel="0" collapsed="false">
      <c r="A37" s="89"/>
      <c r="O37" s="90"/>
    </row>
    <row r="38" customFormat="false" ht="15.75" hidden="false" customHeight="true" outlineLevel="0" collapsed="false">
      <c r="A38" s="89"/>
      <c r="O38" s="90"/>
    </row>
    <row r="39" customFormat="false" ht="15.75" hidden="false" customHeight="true" outlineLevel="0" collapsed="false">
      <c r="A39" s="89"/>
      <c r="O39" s="90"/>
    </row>
    <row r="40" customFormat="false" ht="15.75" hidden="false" customHeight="true" outlineLevel="0" collapsed="false">
      <c r="A40" s="89"/>
      <c r="O40" s="90"/>
    </row>
    <row r="41" customFormat="false" ht="15.75" hidden="false" customHeight="true" outlineLevel="0" collapsed="false">
      <c r="A41" s="89"/>
      <c r="O41" s="90"/>
    </row>
    <row r="42" customFormat="false" ht="15.75" hidden="false" customHeight="true" outlineLevel="0" collapsed="false">
      <c r="A42" s="89"/>
      <c r="O42" s="90"/>
    </row>
    <row r="43" customFormat="false" ht="15.75" hidden="false" customHeight="true" outlineLevel="0" collapsed="false">
      <c r="A43" s="89"/>
      <c r="O43" s="90"/>
    </row>
    <row r="44" customFormat="false" ht="15.75" hidden="false" customHeight="true" outlineLevel="0" collapsed="false">
      <c r="A44" s="89"/>
      <c r="O44" s="90"/>
    </row>
    <row r="45" customFormat="false" ht="15.75" hidden="false" customHeight="true" outlineLevel="0" collapsed="false">
      <c r="A45" s="89"/>
      <c r="O45" s="90"/>
    </row>
    <row r="46" customFormat="false" ht="15.75" hidden="false" customHeight="true" outlineLevel="0" collapsed="false">
      <c r="A46" s="89"/>
      <c r="O46" s="90"/>
    </row>
    <row r="47" customFormat="false" ht="15.75" hidden="false" customHeight="true" outlineLevel="0" collapsed="false">
      <c r="A47" s="89"/>
      <c r="O47" s="90"/>
    </row>
    <row r="48" customFormat="false" ht="15.75" hidden="false" customHeight="true" outlineLevel="0" collapsed="false">
      <c r="A48" s="89"/>
      <c r="O48" s="90"/>
    </row>
    <row r="49" customFormat="false" ht="15.75" hidden="false" customHeight="true" outlineLevel="0" collapsed="false">
      <c r="A49" s="89"/>
      <c r="O49" s="90"/>
    </row>
    <row r="50" customFormat="false" ht="15.75" hidden="false" customHeight="true" outlineLevel="0" collapsed="false">
      <c r="A50" s="89"/>
      <c r="O50" s="90"/>
    </row>
    <row r="51" customFormat="false" ht="15.75" hidden="false" customHeight="true" outlineLevel="0" collapsed="false">
      <c r="A51" s="89"/>
      <c r="O51" s="90"/>
    </row>
    <row r="52" customFormat="false" ht="15.75" hidden="false" customHeight="true" outlineLevel="0" collapsed="false">
      <c r="A52" s="89"/>
      <c r="O52" s="90"/>
    </row>
    <row r="53" customFormat="false" ht="15.75" hidden="false" customHeight="true" outlineLevel="0" collapsed="false">
      <c r="A53" s="89"/>
      <c r="O53" s="90"/>
    </row>
    <row r="54" customFormat="false" ht="15.75" hidden="false" customHeight="true" outlineLevel="0" collapsed="false">
      <c r="A54" s="89"/>
      <c r="O54" s="90"/>
    </row>
    <row r="55" customFormat="false" ht="15.75" hidden="false" customHeight="true" outlineLevel="0" collapsed="false">
      <c r="A55" s="89"/>
      <c r="O55" s="90"/>
    </row>
    <row r="56" customFormat="false" ht="15.75" hidden="false" customHeight="true" outlineLevel="0" collapsed="false">
      <c r="A56" s="89"/>
      <c r="O56" s="90"/>
    </row>
    <row r="57" customFormat="false" ht="15.75" hidden="false" customHeight="true" outlineLevel="0" collapsed="false">
      <c r="A57" s="89"/>
      <c r="O57" s="90"/>
    </row>
    <row r="58" customFormat="false" ht="15.75" hidden="false" customHeight="true" outlineLevel="0" collapsed="false">
      <c r="A58" s="89"/>
      <c r="O58" s="90"/>
    </row>
    <row r="59" customFormat="false" ht="15.75" hidden="false" customHeight="true" outlineLevel="0" collapsed="false">
      <c r="A59" s="89"/>
      <c r="O59" s="90"/>
    </row>
    <row r="60" customFormat="false" ht="15.75" hidden="false" customHeight="true" outlineLevel="0" collapsed="false">
      <c r="A60" s="89"/>
      <c r="O60" s="90"/>
    </row>
    <row r="61" customFormat="false" ht="15.75" hidden="false" customHeight="true" outlineLevel="0" collapsed="false">
      <c r="A61" s="89"/>
      <c r="O61" s="90"/>
    </row>
    <row r="62" customFormat="false" ht="15.75" hidden="false" customHeight="true" outlineLevel="0" collapsed="false">
      <c r="A62" s="89"/>
      <c r="O62" s="90"/>
    </row>
    <row r="63" customFormat="false" ht="15.75" hidden="false" customHeight="true" outlineLevel="0" collapsed="false">
      <c r="A63" s="89"/>
      <c r="O63" s="90"/>
    </row>
    <row r="64" customFormat="false" ht="15.75" hidden="false" customHeight="true" outlineLevel="0" collapsed="false">
      <c r="A64" s="89"/>
      <c r="O64" s="90"/>
    </row>
    <row r="65" customFormat="false" ht="15.75" hidden="false" customHeight="true" outlineLevel="0" collapsed="false">
      <c r="A65" s="89"/>
      <c r="O65" s="90"/>
    </row>
    <row r="66" customFormat="false" ht="15.75" hidden="false" customHeight="true" outlineLevel="0" collapsed="false">
      <c r="A66" s="89"/>
      <c r="O66" s="90"/>
    </row>
    <row r="67" customFormat="false" ht="15.75" hidden="false" customHeight="true" outlineLevel="0" collapsed="false">
      <c r="A67" s="89"/>
      <c r="O67" s="90"/>
    </row>
    <row r="68" customFormat="false" ht="15.75" hidden="false" customHeight="true" outlineLevel="0" collapsed="false">
      <c r="A68" s="89"/>
      <c r="O68" s="90"/>
    </row>
    <row r="69" customFormat="false" ht="15.75" hidden="false" customHeight="true" outlineLevel="0" collapsed="false">
      <c r="A69" s="89"/>
      <c r="O69" s="90"/>
    </row>
    <row r="70" customFormat="false" ht="15.75" hidden="false" customHeight="true" outlineLevel="0" collapsed="false">
      <c r="A70" s="89"/>
      <c r="O70" s="90"/>
    </row>
    <row r="71" customFormat="false" ht="15.75" hidden="false" customHeight="true" outlineLevel="0" collapsed="false">
      <c r="A71" s="89"/>
      <c r="O71" s="90"/>
    </row>
    <row r="72" customFormat="false" ht="15.75" hidden="false" customHeight="true" outlineLevel="0" collapsed="false">
      <c r="A72" s="89"/>
      <c r="O72" s="90"/>
    </row>
    <row r="73" customFormat="false" ht="15.75" hidden="false" customHeight="true" outlineLevel="0" collapsed="false">
      <c r="A73" s="89"/>
      <c r="O73" s="90"/>
    </row>
    <row r="74" customFormat="false" ht="15.75" hidden="false" customHeight="true" outlineLevel="0" collapsed="false">
      <c r="A74" s="89"/>
      <c r="O74" s="90"/>
    </row>
    <row r="75" customFormat="false" ht="15.75" hidden="false" customHeight="true" outlineLevel="0" collapsed="false">
      <c r="A75" s="89"/>
      <c r="O75" s="90"/>
    </row>
    <row r="76" customFormat="false" ht="15.75" hidden="false" customHeight="true" outlineLevel="0" collapsed="false">
      <c r="A76" s="89"/>
      <c r="O76" s="90"/>
    </row>
    <row r="77" customFormat="false" ht="15.75" hidden="false" customHeight="true" outlineLevel="0" collapsed="false">
      <c r="A77" s="89"/>
      <c r="O77" s="90"/>
    </row>
    <row r="78" customFormat="false" ht="15.75" hidden="false" customHeight="true" outlineLevel="0" collapsed="false">
      <c r="A78" s="89"/>
      <c r="O78" s="90"/>
    </row>
    <row r="79" customFormat="false" ht="15.75" hidden="false" customHeight="true" outlineLevel="0" collapsed="false">
      <c r="A79" s="89"/>
      <c r="O79" s="90"/>
    </row>
    <row r="80" customFormat="false" ht="15.75" hidden="false" customHeight="true" outlineLevel="0" collapsed="false">
      <c r="A80" s="89"/>
      <c r="O80" s="90"/>
    </row>
    <row r="81" customFormat="false" ht="15.75" hidden="false" customHeight="true" outlineLevel="0" collapsed="false">
      <c r="A81" s="89"/>
      <c r="O81" s="90"/>
    </row>
    <row r="82" customFormat="false" ht="15.75" hidden="false" customHeight="true" outlineLevel="0" collapsed="false">
      <c r="A82" s="89"/>
      <c r="O82" s="90"/>
    </row>
    <row r="83" customFormat="false" ht="15.75" hidden="false" customHeight="true" outlineLevel="0" collapsed="false">
      <c r="A83" s="89"/>
      <c r="O83" s="90"/>
    </row>
    <row r="84" customFormat="false" ht="15.75" hidden="false" customHeight="true" outlineLevel="0" collapsed="false">
      <c r="A84" s="89"/>
      <c r="O84" s="90"/>
    </row>
    <row r="85" customFormat="false" ht="15.75" hidden="false" customHeight="true" outlineLevel="0" collapsed="false">
      <c r="A85" s="89"/>
      <c r="O85" s="90"/>
    </row>
    <row r="86" customFormat="false" ht="15.75" hidden="false" customHeight="true" outlineLevel="0" collapsed="false">
      <c r="A86" s="89"/>
      <c r="O86" s="90"/>
    </row>
    <row r="87" customFormat="false" ht="15.75" hidden="false" customHeight="true" outlineLevel="0" collapsed="false">
      <c r="A87" s="89"/>
      <c r="O87" s="90"/>
    </row>
    <row r="88" customFormat="false" ht="15.75" hidden="false" customHeight="true" outlineLevel="0" collapsed="false">
      <c r="A88" s="89"/>
      <c r="O88" s="90"/>
    </row>
    <row r="89" customFormat="false" ht="15.75" hidden="false" customHeight="true" outlineLevel="0" collapsed="false">
      <c r="A89" s="89"/>
      <c r="O89" s="90"/>
    </row>
    <row r="90" customFormat="false" ht="15.75" hidden="false" customHeight="true" outlineLevel="0" collapsed="false">
      <c r="A90" s="89"/>
      <c r="O90" s="90"/>
    </row>
    <row r="91" customFormat="false" ht="15.75" hidden="false" customHeight="true" outlineLevel="0" collapsed="false">
      <c r="A91" s="89"/>
      <c r="O91" s="90"/>
    </row>
    <row r="92" customFormat="false" ht="15.75" hidden="false" customHeight="true" outlineLevel="0" collapsed="false">
      <c r="A92" s="89"/>
      <c r="O92" s="90"/>
    </row>
    <row r="93" customFormat="false" ht="15.75" hidden="false" customHeight="true" outlineLevel="0" collapsed="false">
      <c r="A93" s="89"/>
      <c r="O93" s="90"/>
    </row>
    <row r="94" customFormat="false" ht="15.75" hidden="false" customHeight="true" outlineLevel="0" collapsed="false">
      <c r="A94" s="89"/>
      <c r="O94" s="90"/>
    </row>
    <row r="95" customFormat="false" ht="15.75" hidden="false" customHeight="true" outlineLevel="0" collapsed="false">
      <c r="A95" s="89"/>
      <c r="O95" s="90"/>
    </row>
    <row r="96" customFormat="false" ht="15.75" hidden="false" customHeight="true" outlineLevel="0" collapsed="false">
      <c r="A96" s="89"/>
      <c r="O96" s="90"/>
    </row>
    <row r="97" customFormat="false" ht="15.75" hidden="false" customHeight="true" outlineLevel="0" collapsed="false">
      <c r="A97" s="89"/>
      <c r="O97" s="90"/>
    </row>
    <row r="98" customFormat="false" ht="15.75" hidden="false" customHeight="true" outlineLevel="0" collapsed="false">
      <c r="A98" s="89"/>
      <c r="O98" s="90"/>
    </row>
    <row r="99" customFormat="false" ht="15.75" hidden="false" customHeight="true" outlineLevel="0" collapsed="false">
      <c r="A99" s="89"/>
      <c r="O99" s="90"/>
    </row>
    <row r="100" customFormat="false" ht="15.75" hidden="false" customHeight="true" outlineLevel="0" collapsed="false">
      <c r="A100" s="89"/>
      <c r="O100" s="90"/>
    </row>
    <row r="101" customFormat="false" ht="15.75" hidden="false" customHeight="true" outlineLevel="0" collapsed="false">
      <c r="A101" s="89"/>
      <c r="O101" s="90"/>
    </row>
    <row r="102" customFormat="false" ht="15.75" hidden="false" customHeight="true" outlineLevel="0" collapsed="false">
      <c r="A102" s="89"/>
      <c r="O102" s="90"/>
    </row>
    <row r="103" customFormat="false" ht="15.75" hidden="false" customHeight="true" outlineLevel="0" collapsed="false">
      <c r="A103" s="89"/>
      <c r="O103" s="90"/>
    </row>
    <row r="104" customFormat="false" ht="15.75" hidden="false" customHeight="true" outlineLevel="0" collapsed="false">
      <c r="A104" s="89"/>
      <c r="O104" s="90"/>
    </row>
    <row r="105" customFormat="false" ht="15.75" hidden="false" customHeight="true" outlineLevel="0" collapsed="false">
      <c r="A105" s="89"/>
      <c r="O105" s="90"/>
    </row>
    <row r="106" customFormat="false" ht="15.75" hidden="false" customHeight="true" outlineLevel="0" collapsed="false">
      <c r="A106" s="89"/>
      <c r="O106" s="90"/>
    </row>
    <row r="107" customFormat="false" ht="15.75" hidden="false" customHeight="true" outlineLevel="0" collapsed="false">
      <c r="A107" s="89"/>
      <c r="O107" s="90"/>
    </row>
    <row r="108" customFormat="false" ht="15.75" hidden="false" customHeight="true" outlineLevel="0" collapsed="false">
      <c r="A108" s="89"/>
      <c r="O108" s="90"/>
    </row>
    <row r="109" customFormat="false" ht="15.75" hidden="false" customHeight="true" outlineLevel="0" collapsed="false">
      <c r="A109" s="89"/>
      <c r="O109" s="90"/>
    </row>
    <row r="110" customFormat="false" ht="15.75" hidden="false" customHeight="true" outlineLevel="0" collapsed="false">
      <c r="A110" s="89"/>
      <c r="O110" s="90"/>
    </row>
    <row r="111" customFormat="false" ht="15.75" hidden="false" customHeight="true" outlineLevel="0" collapsed="false">
      <c r="A111" s="89"/>
      <c r="O111" s="90"/>
    </row>
    <row r="112" customFormat="false" ht="15.75" hidden="false" customHeight="true" outlineLevel="0" collapsed="false">
      <c r="A112" s="89"/>
      <c r="O112" s="90"/>
    </row>
    <row r="113" customFormat="false" ht="15.75" hidden="false" customHeight="true" outlineLevel="0" collapsed="false">
      <c r="A113" s="89"/>
      <c r="O113" s="90"/>
    </row>
    <row r="114" customFormat="false" ht="15.75" hidden="false" customHeight="true" outlineLevel="0" collapsed="false">
      <c r="A114" s="89"/>
      <c r="O114" s="90"/>
    </row>
    <row r="115" customFormat="false" ht="15.75" hidden="false" customHeight="true" outlineLevel="0" collapsed="false">
      <c r="A115" s="89"/>
      <c r="O115" s="90"/>
    </row>
    <row r="116" customFormat="false" ht="15.75" hidden="false" customHeight="true" outlineLevel="0" collapsed="false">
      <c r="A116" s="89"/>
      <c r="O116" s="90"/>
    </row>
    <row r="117" customFormat="false" ht="15.75" hidden="false" customHeight="true" outlineLevel="0" collapsed="false">
      <c r="A117" s="89"/>
      <c r="O117" s="90"/>
    </row>
    <row r="118" customFormat="false" ht="15.75" hidden="false" customHeight="true" outlineLevel="0" collapsed="false">
      <c r="A118" s="89"/>
      <c r="O118" s="90"/>
    </row>
    <row r="119" customFormat="false" ht="15.75" hidden="false" customHeight="true" outlineLevel="0" collapsed="false">
      <c r="A119" s="89"/>
      <c r="O119" s="90"/>
    </row>
    <row r="120" customFormat="false" ht="15.75" hidden="false" customHeight="true" outlineLevel="0" collapsed="false">
      <c r="A120" s="89"/>
      <c r="O120" s="90"/>
    </row>
    <row r="121" customFormat="false" ht="15.75" hidden="false" customHeight="true" outlineLevel="0" collapsed="false">
      <c r="A121" s="89"/>
      <c r="O121" s="90"/>
    </row>
    <row r="122" customFormat="false" ht="15.75" hidden="false" customHeight="true" outlineLevel="0" collapsed="false">
      <c r="A122" s="89"/>
      <c r="O122" s="90"/>
    </row>
    <row r="123" customFormat="false" ht="15.75" hidden="false" customHeight="true" outlineLevel="0" collapsed="false">
      <c r="A123" s="89"/>
      <c r="O123" s="90"/>
    </row>
    <row r="124" customFormat="false" ht="15.75" hidden="false" customHeight="true" outlineLevel="0" collapsed="false">
      <c r="A124" s="89"/>
      <c r="O124" s="90"/>
    </row>
    <row r="125" customFormat="false" ht="15.75" hidden="false" customHeight="true" outlineLevel="0" collapsed="false">
      <c r="A125" s="89"/>
      <c r="O125" s="90"/>
    </row>
    <row r="126" customFormat="false" ht="15.75" hidden="false" customHeight="true" outlineLevel="0" collapsed="false">
      <c r="A126" s="89"/>
      <c r="O126" s="90"/>
    </row>
    <row r="127" customFormat="false" ht="15.75" hidden="false" customHeight="true" outlineLevel="0" collapsed="false">
      <c r="A127" s="89"/>
      <c r="O127" s="90"/>
    </row>
    <row r="128" customFormat="false" ht="15.75" hidden="false" customHeight="true" outlineLevel="0" collapsed="false">
      <c r="A128" s="89"/>
      <c r="O128" s="90"/>
    </row>
    <row r="129" customFormat="false" ht="15.75" hidden="false" customHeight="true" outlineLevel="0" collapsed="false">
      <c r="A129" s="89"/>
      <c r="O129" s="90"/>
    </row>
    <row r="130" customFormat="false" ht="15.75" hidden="false" customHeight="true" outlineLevel="0" collapsed="false">
      <c r="A130" s="89"/>
      <c r="O130" s="90"/>
    </row>
    <row r="131" customFormat="false" ht="15.75" hidden="false" customHeight="true" outlineLevel="0" collapsed="false">
      <c r="A131" s="89"/>
      <c r="O131" s="90"/>
    </row>
    <row r="132" customFormat="false" ht="15.75" hidden="false" customHeight="true" outlineLevel="0" collapsed="false">
      <c r="A132" s="89"/>
      <c r="O132" s="90"/>
    </row>
    <row r="133" customFormat="false" ht="15.75" hidden="false" customHeight="true" outlineLevel="0" collapsed="false">
      <c r="A133" s="89"/>
      <c r="O133" s="90"/>
    </row>
    <row r="134" customFormat="false" ht="15.75" hidden="false" customHeight="true" outlineLevel="0" collapsed="false">
      <c r="A134" s="89"/>
      <c r="O134" s="90"/>
    </row>
    <row r="135" customFormat="false" ht="15.75" hidden="false" customHeight="true" outlineLevel="0" collapsed="false">
      <c r="A135" s="89"/>
      <c r="O135" s="90"/>
    </row>
    <row r="136" customFormat="false" ht="15.75" hidden="false" customHeight="true" outlineLevel="0" collapsed="false">
      <c r="A136" s="89"/>
      <c r="O136" s="90"/>
    </row>
    <row r="137" customFormat="false" ht="15.75" hidden="false" customHeight="true" outlineLevel="0" collapsed="false">
      <c r="A137" s="89"/>
      <c r="O137" s="90"/>
    </row>
    <row r="138" customFormat="false" ht="15.75" hidden="false" customHeight="true" outlineLevel="0" collapsed="false">
      <c r="A138" s="89"/>
      <c r="O138" s="90"/>
    </row>
    <row r="139" customFormat="false" ht="15.75" hidden="false" customHeight="true" outlineLevel="0" collapsed="false">
      <c r="A139" s="89"/>
      <c r="O139" s="90"/>
    </row>
    <row r="140" customFormat="false" ht="15.75" hidden="false" customHeight="true" outlineLevel="0" collapsed="false">
      <c r="A140" s="89"/>
      <c r="O140" s="90"/>
    </row>
    <row r="141" customFormat="false" ht="15.75" hidden="false" customHeight="true" outlineLevel="0" collapsed="false">
      <c r="A141" s="89"/>
      <c r="O141" s="90"/>
    </row>
    <row r="142" customFormat="false" ht="15.75" hidden="false" customHeight="true" outlineLevel="0" collapsed="false">
      <c r="A142" s="89"/>
      <c r="O142" s="90"/>
    </row>
    <row r="143" customFormat="false" ht="15.75" hidden="false" customHeight="true" outlineLevel="0" collapsed="false">
      <c r="A143" s="89"/>
      <c r="O143" s="90"/>
    </row>
    <row r="144" customFormat="false" ht="15.75" hidden="false" customHeight="true" outlineLevel="0" collapsed="false">
      <c r="A144" s="89"/>
      <c r="O144" s="90"/>
    </row>
    <row r="145" customFormat="false" ht="15.75" hidden="false" customHeight="true" outlineLevel="0" collapsed="false">
      <c r="A145" s="89"/>
      <c r="O145" s="90"/>
    </row>
    <row r="146" customFormat="false" ht="15.75" hidden="false" customHeight="true" outlineLevel="0" collapsed="false">
      <c r="A146" s="89"/>
      <c r="O146" s="90"/>
    </row>
    <row r="147" customFormat="false" ht="15.75" hidden="false" customHeight="true" outlineLevel="0" collapsed="false">
      <c r="A147" s="89"/>
      <c r="O147" s="90"/>
    </row>
    <row r="148" customFormat="false" ht="15.75" hidden="false" customHeight="true" outlineLevel="0" collapsed="false">
      <c r="A148" s="89"/>
      <c r="O148" s="90"/>
    </row>
    <row r="149" customFormat="false" ht="15.75" hidden="false" customHeight="true" outlineLevel="0" collapsed="false">
      <c r="A149" s="89"/>
      <c r="O149" s="90"/>
    </row>
    <row r="150" customFormat="false" ht="15.75" hidden="false" customHeight="true" outlineLevel="0" collapsed="false">
      <c r="A150" s="89"/>
      <c r="O150" s="90"/>
    </row>
    <row r="151" customFormat="false" ht="15.75" hidden="false" customHeight="true" outlineLevel="0" collapsed="false">
      <c r="A151" s="89"/>
      <c r="O151" s="90"/>
    </row>
    <row r="152" customFormat="false" ht="15.75" hidden="false" customHeight="true" outlineLevel="0" collapsed="false">
      <c r="A152" s="89"/>
      <c r="O152" s="90"/>
    </row>
    <row r="153" customFormat="false" ht="15.75" hidden="false" customHeight="true" outlineLevel="0" collapsed="false">
      <c r="A153" s="89"/>
      <c r="O153" s="90"/>
    </row>
    <row r="154" customFormat="false" ht="15.75" hidden="false" customHeight="true" outlineLevel="0" collapsed="false">
      <c r="A154" s="89"/>
      <c r="O154" s="90"/>
    </row>
    <row r="155" customFormat="false" ht="15.75" hidden="false" customHeight="true" outlineLevel="0" collapsed="false">
      <c r="A155" s="89"/>
      <c r="O155" s="90"/>
    </row>
    <row r="156" customFormat="false" ht="15.75" hidden="false" customHeight="true" outlineLevel="0" collapsed="false">
      <c r="A156" s="89"/>
      <c r="O156" s="90"/>
    </row>
    <row r="157" customFormat="false" ht="15.75" hidden="false" customHeight="true" outlineLevel="0" collapsed="false">
      <c r="A157" s="89"/>
      <c r="O157" s="90"/>
    </row>
    <row r="158" customFormat="false" ht="15.75" hidden="false" customHeight="true" outlineLevel="0" collapsed="false">
      <c r="A158" s="89"/>
      <c r="O158" s="90"/>
    </row>
    <row r="159" customFormat="false" ht="15.75" hidden="false" customHeight="true" outlineLevel="0" collapsed="false">
      <c r="A159" s="89"/>
      <c r="O159" s="90"/>
    </row>
    <row r="160" customFormat="false" ht="15.75" hidden="false" customHeight="true" outlineLevel="0" collapsed="false">
      <c r="A160" s="89"/>
      <c r="O160" s="90"/>
    </row>
    <row r="161" customFormat="false" ht="15.75" hidden="false" customHeight="true" outlineLevel="0" collapsed="false">
      <c r="A161" s="89"/>
      <c r="O161" s="90"/>
    </row>
    <row r="162" customFormat="false" ht="15.75" hidden="false" customHeight="true" outlineLevel="0" collapsed="false">
      <c r="A162" s="89"/>
      <c r="O162" s="90"/>
    </row>
    <row r="163" customFormat="false" ht="15.75" hidden="false" customHeight="true" outlineLevel="0" collapsed="false">
      <c r="A163" s="89"/>
      <c r="O163" s="90"/>
    </row>
    <row r="164" customFormat="false" ht="15.75" hidden="false" customHeight="true" outlineLevel="0" collapsed="false">
      <c r="A164" s="89"/>
      <c r="O164" s="90"/>
    </row>
    <row r="165" customFormat="false" ht="15.75" hidden="false" customHeight="true" outlineLevel="0" collapsed="false">
      <c r="A165" s="89"/>
      <c r="O165" s="90"/>
    </row>
    <row r="166" customFormat="false" ht="15.75" hidden="false" customHeight="true" outlineLevel="0" collapsed="false">
      <c r="A166" s="89"/>
      <c r="O166" s="90"/>
    </row>
    <row r="167" customFormat="false" ht="15.75" hidden="false" customHeight="true" outlineLevel="0" collapsed="false">
      <c r="A167" s="89"/>
      <c r="O167" s="90"/>
    </row>
    <row r="168" customFormat="false" ht="15.75" hidden="false" customHeight="true" outlineLevel="0" collapsed="false">
      <c r="A168" s="89"/>
      <c r="O168" s="90"/>
    </row>
    <row r="169" customFormat="false" ht="15.75" hidden="false" customHeight="true" outlineLevel="0" collapsed="false">
      <c r="A169" s="89"/>
      <c r="O169" s="90"/>
    </row>
    <row r="170" customFormat="false" ht="15.75" hidden="false" customHeight="true" outlineLevel="0" collapsed="false">
      <c r="A170" s="89"/>
      <c r="O170" s="90"/>
    </row>
    <row r="171" customFormat="false" ht="15.75" hidden="false" customHeight="true" outlineLevel="0" collapsed="false">
      <c r="A171" s="89"/>
      <c r="O171" s="90"/>
    </row>
    <row r="172" customFormat="false" ht="15.75" hidden="false" customHeight="true" outlineLevel="0" collapsed="false">
      <c r="A172" s="89"/>
      <c r="O172" s="90"/>
    </row>
    <row r="173" customFormat="false" ht="15.75" hidden="false" customHeight="true" outlineLevel="0" collapsed="false">
      <c r="A173" s="89"/>
      <c r="O173" s="90"/>
    </row>
    <row r="174" customFormat="false" ht="15.75" hidden="false" customHeight="true" outlineLevel="0" collapsed="false">
      <c r="A174" s="89"/>
      <c r="O174" s="90"/>
    </row>
    <row r="175" customFormat="false" ht="15.75" hidden="false" customHeight="true" outlineLevel="0" collapsed="false">
      <c r="A175" s="89"/>
      <c r="O175" s="90"/>
    </row>
    <row r="176" customFormat="false" ht="15.75" hidden="false" customHeight="true" outlineLevel="0" collapsed="false">
      <c r="A176" s="89"/>
      <c r="O176" s="90"/>
    </row>
    <row r="177" customFormat="false" ht="15.75" hidden="false" customHeight="true" outlineLevel="0" collapsed="false">
      <c r="A177" s="89"/>
      <c r="O177" s="90"/>
    </row>
    <row r="178" customFormat="false" ht="15.75" hidden="false" customHeight="true" outlineLevel="0" collapsed="false">
      <c r="A178" s="89"/>
      <c r="O178" s="90"/>
    </row>
    <row r="179" customFormat="false" ht="15.75" hidden="false" customHeight="true" outlineLevel="0" collapsed="false">
      <c r="A179" s="89"/>
      <c r="O179" s="90"/>
    </row>
    <row r="180" customFormat="false" ht="15.75" hidden="false" customHeight="true" outlineLevel="0" collapsed="false">
      <c r="A180" s="89"/>
      <c r="O180" s="90"/>
    </row>
    <row r="181" customFormat="false" ht="15.75" hidden="false" customHeight="true" outlineLevel="0" collapsed="false">
      <c r="A181" s="89"/>
      <c r="O181" s="90"/>
    </row>
    <row r="182" customFormat="false" ht="15.75" hidden="false" customHeight="true" outlineLevel="0" collapsed="false">
      <c r="A182" s="89"/>
      <c r="O182" s="90"/>
    </row>
    <row r="183" customFormat="false" ht="15.75" hidden="false" customHeight="true" outlineLevel="0" collapsed="false">
      <c r="A183" s="89"/>
      <c r="O183" s="90"/>
    </row>
    <row r="184" customFormat="false" ht="15.75" hidden="false" customHeight="true" outlineLevel="0" collapsed="false">
      <c r="A184" s="89"/>
      <c r="O184" s="90"/>
    </row>
    <row r="185" customFormat="false" ht="15.75" hidden="false" customHeight="true" outlineLevel="0" collapsed="false">
      <c r="A185" s="89"/>
      <c r="O185" s="90"/>
    </row>
    <row r="186" customFormat="false" ht="15.75" hidden="false" customHeight="true" outlineLevel="0" collapsed="false">
      <c r="A186" s="89"/>
      <c r="O186" s="90"/>
    </row>
    <row r="187" customFormat="false" ht="15.75" hidden="false" customHeight="true" outlineLevel="0" collapsed="false">
      <c r="A187" s="89"/>
      <c r="O187" s="90"/>
    </row>
    <row r="188" customFormat="false" ht="15.75" hidden="false" customHeight="true" outlineLevel="0" collapsed="false">
      <c r="A188" s="89"/>
      <c r="O188" s="90"/>
    </row>
    <row r="189" customFormat="false" ht="15.75" hidden="false" customHeight="true" outlineLevel="0" collapsed="false">
      <c r="A189" s="89"/>
      <c r="O189" s="90"/>
    </row>
    <row r="190" customFormat="false" ht="15.75" hidden="false" customHeight="true" outlineLevel="0" collapsed="false">
      <c r="A190" s="89"/>
      <c r="O190" s="90"/>
    </row>
    <row r="191" customFormat="false" ht="15.75" hidden="false" customHeight="true" outlineLevel="0" collapsed="false">
      <c r="A191" s="89"/>
      <c r="O191" s="90"/>
    </row>
    <row r="192" customFormat="false" ht="15.75" hidden="false" customHeight="true" outlineLevel="0" collapsed="false">
      <c r="A192" s="89"/>
      <c r="O192" s="90"/>
    </row>
    <row r="193" customFormat="false" ht="15.75" hidden="false" customHeight="true" outlineLevel="0" collapsed="false">
      <c r="A193" s="89"/>
      <c r="O193" s="90"/>
    </row>
    <row r="194" customFormat="false" ht="15.75" hidden="false" customHeight="true" outlineLevel="0" collapsed="false">
      <c r="A194" s="89"/>
      <c r="O194" s="90"/>
    </row>
    <row r="195" customFormat="false" ht="15.75" hidden="false" customHeight="true" outlineLevel="0" collapsed="false">
      <c r="A195" s="89"/>
      <c r="O195" s="90"/>
    </row>
    <row r="196" customFormat="false" ht="15.75" hidden="false" customHeight="true" outlineLevel="0" collapsed="false">
      <c r="A196" s="89"/>
      <c r="O196" s="90"/>
    </row>
    <row r="197" customFormat="false" ht="15.75" hidden="false" customHeight="true" outlineLevel="0" collapsed="false">
      <c r="A197" s="89"/>
      <c r="O197" s="90"/>
    </row>
    <row r="198" customFormat="false" ht="15.75" hidden="false" customHeight="true" outlineLevel="0" collapsed="false">
      <c r="A198" s="89"/>
      <c r="O198" s="90"/>
    </row>
    <row r="199" customFormat="false" ht="15.75" hidden="false" customHeight="true" outlineLevel="0" collapsed="false">
      <c r="A199" s="89"/>
      <c r="O199" s="90"/>
    </row>
    <row r="200" customFormat="false" ht="15.75" hidden="false" customHeight="true" outlineLevel="0" collapsed="false">
      <c r="A200" s="89"/>
      <c r="O200" s="90"/>
    </row>
    <row r="201" customFormat="false" ht="15.75" hidden="false" customHeight="true" outlineLevel="0" collapsed="false">
      <c r="A201" s="89"/>
      <c r="O201" s="90"/>
    </row>
    <row r="202" customFormat="false" ht="15.75" hidden="false" customHeight="true" outlineLevel="0" collapsed="false">
      <c r="A202" s="89"/>
      <c r="O202" s="90"/>
    </row>
    <row r="203" customFormat="false" ht="15.75" hidden="false" customHeight="true" outlineLevel="0" collapsed="false">
      <c r="A203" s="89"/>
      <c r="O203" s="90"/>
    </row>
    <row r="204" customFormat="false" ht="15.75" hidden="false" customHeight="true" outlineLevel="0" collapsed="false">
      <c r="A204" s="89"/>
      <c r="O204" s="90"/>
    </row>
    <row r="205" customFormat="false" ht="15.75" hidden="false" customHeight="true" outlineLevel="0" collapsed="false">
      <c r="A205" s="89"/>
      <c r="O205" s="90"/>
    </row>
    <row r="206" customFormat="false" ht="15.75" hidden="false" customHeight="true" outlineLevel="0" collapsed="false">
      <c r="A206" s="89"/>
      <c r="O206" s="90"/>
    </row>
    <row r="207" customFormat="false" ht="15.75" hidden="false" customHeight="true" outlineLevel="0" collapsed="false">
      <c r="A207" s="89"/>
      <c r="O207" s="90"/>
    </row>
    <row r="208" customFormat="false" ht="15.75" hidden="false" customHeight="true" outlineLevel="0" collapsed="false">
      <c r="A208" s="89"/>
      <c r="O208" s="90"/>
    </row>
    <row r="209" customFormat="false" ht="15.75" hidden="false" customHeight="true" outlineLevel="0" collapsed="false">
      <c r="A209" s="89"/>
      <c r="O209" s="90"/>
    </row>
    <row r="210" customFormat="false" ht="15.75" hidden="false" customHeight="true" outlineLevel="0" collapsed="false">
      <c r="A210" s="89"/>
      <c r="O210" s="90"/>
    </row>
    <row r="211" customFormat="false" ht="15.75" hidden="false" customHeight="true" outlineLevel="0" collapsed="false">
      <c r="A211" s="89"/>
      <c r="O211" s="90"/>
    </row>
    <row r="212" customFormat="false" ht="15.75" hidden="false" customHeight="true" outlineLevel="0" collapsed="false">
      <c r="A212" s="89"/>
      <c r="O212" s="90"/>
    </row>
    <row r="213" customFormat="false" ht="15.75" hidden="false" customHeight="true" outlineLevel="0" collapsed="false">
      <c r="A213" s="89"/>
      <c r="O213" s="90"/>
    </row>
    <row r="214" customFormat="false" ht="15.75" hidden="false" customHeight="true" outlineLevel="0" collapsed="false">
      <c r="A214" s="89"/>
      <c r="O214" s="90"/>
    </row>
    <row r="215" customFormat="false" ht="15.75" hidden="false" customHeight="true" outlineLevel="0" collapsed="false">
      <c r="A215" s="89"/>
      <c r="O215" s="90"/>
    </row>
    <row r="216" customFormat="false" ht="15.75" hidden="false" customHeight="true" outlineLevel="0" collapsed="false">
      <c r="A216" s="89"/>
      <c r="O216" s="90"/>
    </row>
    <row r="217" customFormat="false" ht="15.75" hidden="false" customHeight="true" outlineLevel="0" collapsed="false">
      <c r="A217" s="89"/>
      <c r="O217" s="90"/>
    </row>
    <row r="218" customFormat="false" ht="15.75" hidden="false" customHeight="true" outlineLevel="0" collapsed="false">
      <c r="A218" s="89"/>
      <c r="O218" s="90"/>
    </row>
    <row r="219" customFormat="false" ht="15.75" hidden="false" customHeight="true" outlineLevel="0" collapsed="false">
      <c r="A219" s="89"/>
      <c r="O219" s="90"/>
    </row>
    <row r="220" customFormat="false" ht="15.75" hidden="false" customHeight="true" outlineLevel="0" collapsed="false">
      <c r="A220" s="89"/>
      <c r="O220" s="90"/>
    </row>
    <row r="221" customFormat="false" ht="15.75" hidden="false" customHeight="true" outlineLevel="0" collapsed="false">
      <c r="A221" s="89"/>
      <c r="O221" s="90"/>
    </row>
    <row r="222" customFormat="false" ht="15.75" hidden="false" customHeight="true" outlineLevel="0" collapsed="false">
      <c r="A222" s="89"/>
      <c r="O222" s="90"/>
    </row>
    <row r="223" customFormat="false" ht="15.75" hidden="false" customHeight="true" outlineLevel="0" collapsed="false">
      <c r="A223" s="89"/>
      <c r="O223" s="90"/>
    </row>
    <row r="224" customFormat="false" ht="15.75" hidden="false" customHeight="true" outlineLevel="0" collapsed="false">
      <c r="A224" s="89"/>
      <c r="O224" s="90"/>
    </row>
    <row r="225" customFormat="false" ht="15.75" hidden="false" customHeight="true" outlineLevel="0" collapsed="false">
      <c r="A225" s="89"/>
      <c r="O225" s="90"/>
    </row>
    <row r="226" customFormat="false" ht="15.75" hidden="false" customHeight="true" outlineLevel="0" collapsed="false">
      <c r="A226" s="89"/>
      <c r="O226" s="90"/>
    </row>
    <row r="227" customFormat="false" ht="15.75" hidden="false" customHeight="true" outlineLevel="0" collapsed="false">
      <c r="A227" s="89"/>
      <c r="O227" s="90"/>
    </row>
    <row r="228" customFormat="false" ht="15.75" hidden="false" customHeight="true" outlineLevel="0" collapsed="false">
      <c r="A228" s="89"/>
      <c r="O228" s="90"/>
    </row>
    <row r="229" customFormat="false" ht="15.75" hidden="false" customHeight="true" outlineLevel="0" collapsed="false">
      <c r="A229" s="89"/>
      <c r="O229" s="90"/>
    </row>
    <row r="230" customFormat="false" ht="15.75" hidden="false" customHeight="true" outlineLevel="0" collapsed="false">
      <c r="A230" s="89"/>
      <c r="O230" s="90"/>
    </row>
    <row r="231" customFormat="false" ht="15.75" hidden="false" customHeight="true" outlineLevel="0" collapsed="false">
      <c r="A231" s="89"/>
      <c r="O231" s="90"/>
    </row>
    <row r="232" customFormat="false" ht="15.75" hidden="false" customHeight="true" outlineLevel="0" collapsed="false">
      <c r="A232" s="89"/>
      <c r="O232" s="90"/>
    </row>
    <row r="233" customFormat="false" ht="15.75" hidden="false" customHeight="true" outlineLevel="0" collapsed="false">
      <c r="A233" s="89"/>
      <c r="O233" s="90"/>
    </row>
    <row r="234" customFormat="false" ht="15.75" hidden="false" customHeight="true" outlineLevel="0" collapsed="false">
      <c r="A234" s="89"/>
      <c r="O234" s="90"/>
    </row>
    <row r="235" customFormat="false" ht="15.75" hidden="false" customHeight="true" outlineLevel="0" collapsed="false">
      <c r="A235" s="89"/>
      <c r="O235" s="90"/>
    </row>
    <row r="236" customFormat="false" ht="15.75" hidden="false" customHeight="true" outlineLevel="0" collapsed="false">
      <c r="A236" s="89"/>
      <c r="O236" s="90"/>
    </row>
    <row r="237" customFormat="false" ht="15.75" hidden="false" customHeight="true" outlineLevel="0" collapsed="false">
      <c r="A237" s="89"/>
      <c r="O237" s="90"/>
    </row>
    <row r="238" customFormat="false" ht="15.75" hidden="false" customHeight="true" outlineLevel="0" collapsed="false">
      <c r="A238" s="89"/>
      <c r="O238" s="90"/>
    </row>
    <row r="239" customFormat="false" ht="15.75" hidden="false" customHeight="true" outlineLevel="0" collapsed="false">
      <c r="A239" s="89"/>
      <c r="O239" s="90"/>
    </row>
    <row r="240" customFormat="false" ht="15.75" hidden="false" customHeight="true" outlineLevel="0" collapsed="false">
      <c r="A240" s="89"/>
      <c r="O240" s="90"/>
    </row>
    <row r="241" customFormat="false" ht="15.75" hidden="false" customHeight="true" outlineLevel="0" collapsed="false">
      <c r="A241" s="89"/>
      <c r="O241" s="90"/>
    </row>
    <row r="242" customFormat="false" ht="15.75" hidden="false" customHeight="true" outlineLevel="0" collapsed="false">
      <c r="A242" s="89"/>
      <c r="O242" s="90"/>
    </row>
    <row r="243" customFormat="false" ht="15.75" hidden="false" customHeight="true" outlineLevel="0" collapsed="false">
      <c r="A243" s="89"/>
      <c r="O243" s="90"/>
    </row>
    <row r="244" customFormat="false" ht="15.75" hidden="false" customHeight="true" outlineLevel="0" collapsed="false">
      <c r="A244" s="89"/>
      <c r="O244" s="90"/>
    </row>
    <row r="245" customFormat="false" ht="15.75" hidden="false" customHeight="true" outlineLevel="0" collapsed="false">
      <c r="A245" s="89"/>
      <c r="O245" s="90"/>
    </row>
    <row r="246" customFormat="false" ht="15.75" hidden="false" customHeight="true" outlineLevel="0" collapsed="false">
      <c r="A246" s="89"/>
      <c r="O246" s="90"/>
    </row>
    <row r="247" customFormat="false" ht="15.75" hidden="false" customHeight="true" outlineLevel="0" collapsed="false">
      <c r="A247" s="89"/>
      <c r="O247" s="90"/>
    </row>
    <row r="248" customFormat="false" ht="15.75" hidden="false" customHeight="true" outlineLevel="0" collapsed="false">
      <c r="A248" s="89"/>
      <c r="O248" s="90"/>
    </row>
    <row r="249" customFormat="false" ht="15.75" hidden="false" customHeight="true" outlineLevel="0" collapsed="false">
      <c r="A249" s="89"/>
      <c r="O249" s="90"/>
    </row>
    <row r="250" customFormat="false" ht="15.75" hidden="false" customHeight="true" outlineLevel="0" collapsed="false">
      <c r="A250" s="89"/>
      <c r="O250" s="90"/>
    </row>
    <row r="251" customFormat="false" ht="15.75" hidden="false" customHeight="true" outlineLevel="0" collapsed="false">
      <c r="A251" s="89"/>
      <c r="O251" s="90"/>
    </row>
    <row r="252" customFormat="false" ht="15.75" hidden="false" customHeight="true" outlineLevel="0" collapsed="false">
      <c r="A252" s="89"/>
      <c r="O252" s="90"/>
    </row>
    <row r="253" customFormat="false" ht="15.75" hidden="false" customHeight="true" outlineLevel="0" collapsed="false">
      <c r="A253" s="89"/>
      <c r="O253" s="90"/>
    </row>
    <row r="254" customFormat="false" ht="15.75" hidden="false" customHeight="true" outlineLevel="0" collapsed="false">
      <c r="A254" s="89"/>
      <c r="O254" s="90"/>
    </row>
    <row r="255" customFormat="false" ht="15.75" hidden="false" customHeight="true" outlineLevel="0" collapsed="false">
      <c r="A255" s="89"/>
      <c r="O255" s="90"/>
    </row>
    <row r="256" customFormat="false" ht="15.75" hidden="false" customHeight="true" outlineLevel="0" collapsed="false">
      <c r="A256" s="89"/>
      <c r="O256" s="90"/>
    </row>
    <row r="257" customFormat="false" ht="15.75" hidden="false" customHeight="true" outlineLevel="0" collapsed="false">
      <c r="A257" s="89"/>
      <c r="O257" s="90"/>
    </row>
    <row r="258" customFormat="false" ht="15.75" hidden="false" customHeight="true" outlineLevel="0" collapsed="false">
      <c r="A258" s="89"/>
      <c r="O258" s="90"/>
    </row>
    <row r="259" customFormat="false" ht="15.75" hidden="false" customHeight="true" outlineLevel="0" collapsed="false">
      <c r="A259" s="89"/>
      <c r="O259" s="90"/>
    </row>
    <row r="260" customFormat="false" ht="15.75" hidden="false" customHeight="true" outlineLevel="0" collapsed="false">
      <c r="A260" s="89"/>
      <c r="O260" s="90"/>
    </row>
    <row r="261" customFormat="false" ht="15.75" hidden="false" customHeight="true" outlineLevel="0" collapsed="false">
      <c r="A261" s="89"/>
      <c r="O261" s="90"/>
    </row>
    <row r="262" customFormat="false" ht="15.75" hidden="false" customHeight="true" outlineLevel="0" collapsed="false">
      <c r="A262" s="89"/>
      <c r="O262" s="90"/>
    </row>
    <row r="263" customFormat="false" ht="15.75" hidden="false" customHeight="true" outlineLevel="0" collapsed="false">
      <c r="A263" s="89"/>
      <c r="O263" s="90"/>
    </row>
    <row r="264" customFormat="false" ht="15.75" hidden="false" customHeight="true" outlineLevel="0" collapsed="false">
      <c r="A264" s="89"/>
      <c r="O264" s="90"/>
    </row>
    <row r="265" customFormat="false" ht="15.75" hidden="false" customHeight="true" outlineLevel="0" collapsed="false">
      <c r="A265" s="89"/>
      <c r="O265" s="90"/>
    </row>
    <row r="266" customFormat="false" ht="15.75" hidden="false" customHeight="true" outlineLevel="0" collapsed="false">
      <c r="A266" s="89"/>
      <c r="O266" s="90"/>
    </row>
    <row r="267" customFormat="false" ht="15.75" hidden="false" customHeight="true" outlineLevel="0" collapsed="false">
      <c r="A267" s="89"/>
      <c r="O267" s="90"/>
    </row>
    <row r="268" customFormat="false" ht="15.75" hidden="false" customHeight="true" outlineLevel="0" collapsed="false">
      <c r="A268" s="89"/>
      <c r="O268" s="90"/>
    </row>
    <row r="269" customFormat="false" ht="15.75" hidden="false" customHeight="true" outlineLevel="0" collapsed="false">
      <c r="A269" s="89"/>
      <c r="O269" s="90"/>
    </row>
    <row r="270" customFormat="false" ht="15.75" hidden="false" customHeight="true" outlineLevel="0" collapsed="false">
      <c r="A270" s="89"/>
      <c r="O270" s="90"/>
    </row>
    <row r="271" customFormat="false" ht="15.75" hidden="false" customHeight="true" outlineLevel="0" collapsed="false">
      <c r="A271" s="89"/>
      <c r="O271" s="90"/>
    </row>
    <row r="272" customFormat="false" ht="15.75" hidden="false" customHeight="true" outlineLevel="0" collapsed="false">
      <c r="A272" s="89"/>
      <c r="O272" s="90"/>
    </row>
    <row r="273" customFormat="false" ht="15.75" hidden="false" customHeight="true" outlineLevel="0" collapsed="false">
      <c r="A273" s="89"/>
      <c r="O273" s="90"/>
    </row>
    <row r="274" customFormat="false" ht="15.75" hidden="false" customHeight="true" outlineLevel="0" collapsed="false">
      <c r="A274" s="89"/>
      <c r="O274" s="90"/>
    </row>
    <row r="275" customFormat="false" ht="15.75" hidden="false" customHeight="true" outlineLevel="0" collapsed="false">
      <c r="A275" s="89"/>
      <c r="O275" s="90"/>
    </row>
    <row r="276" customFormat="false" ht="15.75" hidden="false" customHeight="true" outlineLevel="0" collapsed="false">
      <c r="A276" s="89"/>
      <c r="O276" s="90"/>
    </row>
    <row r="277" customFormat="false" ht="15.75" hidden="false" customHeight="true" outlineLevel="0" collapsed="false">
      <c r="A277" s="89"/>
      <c r="O277" s="90"/>
    </row>
    <row r="278" customFormat="false" ht="15.75" hidden="false" customHeight="true" outlineLevel="0" collapsed="false">
      <c r="A278" s="89"/>
      <c r="O278" s="90"/>
    </row>
    <row r="279" customFormat="false" ht="15.75" hidden="false" customHeight="true" outlineLevel="0" collapsed="false">
      <c r="A279" s="89"/>
      <c r="O279" s="90"/>
    </row>
    <row r="280" customFormat="false" ht="15.75" hidden="false" customHeight="true" outlineLevel="0" collapsed="false">
      <c r="A280" s="89"/>
      <c r="O280" s="90"/>
    </row>
    <row r="281" customFormat="false" ht="15.75" hidden="false" customHeight="true" outlineLevel="0" collapsed="false">
      <c r="A281" s="89"/>
      <c r="O281" s="90"/>
    </row>
    <row r="282" customFormat="false" ht="15.75" hidden="false" customHeight="true" outlineLevel="0" collapsed="false">
      <c r="A282" s="89"/>
      <c r="O282" s="90"/>
    </row>
    <row r="283" customFormat="false" ht="15.75" hidden="false" customHeight="true" outlineLevel="0" collapsed="false">
      <c r="A283" s="89"/>
      <c r="O283" s="90"/>
    </row>
    <row r="284" customFormat="false" ht="15.75" hidden="false" customHeight="true" outlineLevel="0" collapsed="false">
      <c r="A284" s="89"/>
      <c r="O284" s="90"/>
    </row>
    <row r="285" customFormat="false" ht="15.75" hidden="false" customHeight="true" outlineLevel="0" collapsed="false">
      <c r="A285" s="89"/>
      <c r="O285" s="90"/>
    </row>
    <row r="286" customFormat="false" ht="15.75" hidden="false" customHeight="true" outlineLevel="0" collapsed="false">
      <c r="A286" s="89"/>
      <c r="O286" s="90"/>
    </row>
    <row r="287" customFormat="false" ht="15.75" hidden="false" customHeight="true" outlineLevel="0" collapsed="false">
      <c r="A287" s="89"/>
      <c r="O287" s="90"/>
    </row>
    <row r="288" customFormat="false" ht="15.75" hidden="false" customHeight="true" outlineLevel="0" collapsed="false">
      <c r="A288" s="89"/>
      <c r="O288" s="90"/>
    </row>
    <row r="289" customFormat="false" ht="15.75" hidden="false" customHeight="true" outlineLevel="0" collapsed="false">
      <c r="A289" s="89"/>
      <c r="O289" s="90"/>
    </row>
    <row r="290" customFormat="false" ht="15.75" hidden="false" customHeight="true" outlineLevel="0" collapsed="false">
      <c r="A290" s="89"/>
      <c r="O290" s="90"/>
    </row>
    <row r="291" customFormat="false" ht="15.75" hidden="false" customHeight="true" outlineLevel="0" collapsed="false">
      <c r="A291" s="89"/>
      <c r="O291" s="90"/>
    </row>
    <row r="292" customFormat="false" ht="15.75" hidden="false" customHeight="true" outlineLevel="0" collapsed="false">
      <c r="A292" s="89"/>
      <c r="O292" s="90"/>
    </row>
    <row r="293" customFormat="false" ht="15.75" hidden="false" customHeight="true" outlineLevel="0" collapsed="false">
      <c r="A293" s="89"/>
      <c r="O293" s="90"/>
    </row>
    <row r="294" customFormat="false" ht="15.75" hidden="false" customHeight="true" outlineLevel="0" collapsed="false">
      <c r="A294" s="89"/>
      <c r="O294" s="90"/>
    </row>
    <row r="295" customFormat="false" ht="15.75" hidden="false" customHeight="true" outlineLevel="0" collapsed="false">
      <c r="A295" s="89"/>
      <c r="O295" s="90"/>
    </row>
    <row r="296" customFormat="false" ht="15.75" hidden="false" customHeight="true" outlineLevel="0" collapsed="false">
      <c r="A296" s="89"/>
      <c r="O296" s="90"/>
    </row>
    <row r="297" customFormat="false" ht="15.75" hidden="false" customHeight="true" outlineLevel="0" collapsed="false">
      <c r="A297" s="89"/>
      <c r="O297" s="90"/>
    </row>
    <row r="298" customFormat="false" ht="15.75" hidden="false" customHeight="true" outlineLevel="0" collapsed="false">
      <c r="A298" s="89"/>
      <c r="O298" s="90"/>
    </row>
    <row r="299" customFormat="false" ht="15.75" hidden="false" customHeight="true" outlineLevel="0" collapsed="false">
      <c r="A299" s="89"/>
      <c r="O299" s="90"/>
    </row>
    <row r="300" customFormat="false" ht="15.75" hidden="false" customHeight="true" outlineLevel="0" collapsed="false">
      <c r="A300" s="89"/>
      <c r="O300" s="90"/>
    </row>
    <row r="301" customFormat="false" ht="15.75" hidden="false" customHeight="true" outlineLevel="0" collapsed="false">
      <c r="A301" s="89"/>
      <c r="O301" s="90"/>
    </row>
    <row r="302" customFormat="false" ht="15.75" hidden="false" customHeight="true" outlineLevel="0" collapsed="false">
      <c r="A302" s="89"/>
      <c r="O302" s="90"/>
    </row>
    <row r="303" customFormat="false" ht="15.75" hidden="false" customHeight="true" outlineLevel="0" collapsed="false">
      <c r="A303" s="89"/>
      <c r="O303" s="90"/>
    </row>
    <row r="304" customFormat="false" ht="15.75" hidden="false" customHeight="true" outlineLevel="0" collapsed="false">
      <c r="A304" s="89"/>
      <c r="O304" s="90"/>
    </row>
    <row r="305" customFormat="false" ht="15.75" hidden="false" customHeight="true" outlineLevel="0" collapsed="false">
      <c r="A305" s="89"/>
      <c r="O305" s="90"/>
    </row>
    <row r="306" customFormat="false" ht="15.75" hidden="false" customHeight="true" outlineLevel="0" collapsed="false">
      <c r="A306" s="89"/>
      <c r="O306" s="90"/>
    </row>
    <row r="307" customFormat="false" ht="15.75" hidden="false" customHeight="true" outlineLevel="0" collapsed="false">
      <c r="A307" s="89"/>
      <c r="O307" s="90"/>
    </row>
    <row r="308" customFormat="false" ht="15.75" hidden="false" customHeight="true" outlineLevel="0" collapsed="false">
      <c r="A308" s="89"/>
      <c r="O308" s="90"/>
    </row>
    <row r="309" customFormat="false" ht="15.75" hidden="false" customHeight="true" outlineLevel="0" collapsed="false">
      <c r="A309" s="89"/>
      <c r="O309" s="90"/>
    </row>
    <row r="310" customFormat="false" ht="15.75" hidden="false" customHeight="true" outlineLevel="0" collapsed="false">
      <c r="A310" s="89"/>
      <c r="O310" s="90"/>
    </row>
    <row r="311" customFormat="false" ht="15.75" hidden="false" customHeight="true" outlineLevel="0" collapsed="false">
      <c r="A311" s="89"/>
      <c r="O311" s="90"/>
    </row>
    <row r="312" customFormat="false" ht="15.75" hidden="false" customHeight="true" outlineLevel="0" collapsed="false">
      <c r="A312" s="89"/>
      <c r="O312" s="90"/>
    </row>
    <row r="313" customFormat="false" ht="15.75" hidden="false" customHeight="true" outlineLevel="0" collapsed="false">
      <c r="A313" s="89"/>
      <c r="O313" s="90"/>
    </row>
    <row r="314" customFormat="false" ht="15.75" hidden="false" customHeight="true" outlineLevel="0" collapsed="false">
      <c r="A314" s="89"/>
      <c r="O314" s="90"/>
    </row>
    <row r="315" customFormat="false" ht="15.75" hidden="false" customHeight="true" outlineLevel="0" collapsed="false">
      <c r="A315" s="89"/>
      <c r="O315" s="90"/>
    </row>
    <row r="316" customFormat="false" ht="15.75" hidden="false" customHeight="true" outlineLevel="0" collapsed="false">
      <c r="A316" s="89"/>
      <c r="O316" s="90"/>
    </row>
    <row r="317" customFormat="false" ht="15.75" hidden="false" customHeight="true" outlineLevel="0" collapsed="false">
      <c r="A317" s="89"/>
      <c r="O317" s="90"/>
    </row>
    <row r="318" customFormat="false" ht="15.75" hidden="false" customHeight="true" outlineLevel="0" collapsed="false">
      <c r="A318" s="89"/>
      <c r="O318" s="90"/>
    </row>
    <row r="319" customFormat="false" ht="15.75" hidden="false" customHeight="true" outlineLevel="0" collapsed="false">
      <c r="A319" s="89"/>
      <c r="O319" s="90"/>
    </row>
    <row r="320" customFormat="false" ht="15.75" hidden="false" customHeight="true" outlineLevel="0" collapsed="false">
      <c r="A320" s="89"/>
      <c r="O320" s="90"/>
    </row>
    <row r="321" customFormat="false" ht="15.75" hidden="false" customHeight="true" outlineLevel="0" collapsed="false">
      <c r="A321" s="89"/>
      <c r="O321" s="90"/>
    </row>
    <row r="322" customFormat="false" ht="15.75" hidden="false" customHeight="true" outlineLevel="0" collapsed="false">
      <c r="A322" s="89"/>
      <c r="O322" s="90"/>
    </row>
    <row r="323" customFormat="false" ht="15.75" hidden="false" customHeight="true" outlineLevel="0" collapsed="false">
      <c r="A323" s="89"/>
      <c r="O323" s="90"/>
    </row>
    <row r="324" customFormat="false" ht="15.75" hidden="false" customHeight="true" outlineLevel="0" collapsed="false">
      <c r="A324" s="89"/>
      <c r="O324" s="90"/>
    </row>
    <row r="325" customFormat="false" ht="15.75" hidden="false" customHeight="true" outlineLevel="0" collapsed="false">
      <c r="A325" s="89"/>
      <c r="O325" s="90"/>
    </row>
    <row r="326" customFormat="false" ht="15.75" hidden="false" customHeight="true" outlineLevel="0" collapsed="false">
      <c r="A326" s="89"/>
      <c r="O326" s="90"/>
    </row>
    <row r="327" customFormat="false" ht="15.75" hidden="false" customHeight="true" outlineLevel="0" collapsed="false">
      <c r="A327" s="89"/>
      <c r="O327" s="90"/>
    </row>
    <row r="328" customFormat="false" ht="15.75" hidden="false" customHeight="true" outlineLevel="0" collapsed="false">
      <c r="A328" s="89"/>
      <c r="O328" s="90"/>
    </row>
    <row r="329" customFormat="false" ht="15.75" hidden="false" customHeight="true" outlineLevel="0" collapsed="false">
      <c r="A329" s="89"/>
      <c r="O329" s="90"/>
    </row>
    <row r="330" customFormat="false" ht="15.75" hidden="false" customHeight="true" outlineLevel="0" collapsed="false">
      <c r="A330" s="89"/>
      <c r="O330" s="90"/>
    </row>
    <row r="331" customFormat="false" ht="15.75" hidden="false" customHeight="true" outlineLevel="0" collapsed="false">
      <c r="A331" s="89"/>
      <c r="O331" s="90"/>
    </row>
    <row r="332" customFormat="false" ht="15.75" hidden="false" customHeight="true" outlineLevel="0" collapsed="false">
      <c r="A332" s="89"/>
      <c r="O332" s="90"/>
    </row>
    <row r="333" customFormat="false" ht="15.75" hidden="false" customHeight="true" outlineLevel="0" collapsed="false">
      <c r="A333" s="89"/>
      <c r="O333" s="90"/>
    </row>
    <row r="334" customFormat="false" ht="15.75" hidden="false" customHeight="true" outlineLevel="0" collapsed="false">
      <c r="A334" s="89"/>
      <c r="O334" s="90"/>
    </row>
    <row r="335" customFormat="false" ht="15.75" hidden="false" customHeight="true" outlineLevel="0" collapsed="false">
      <c r="A335" s="89"/>
      <c r="O335" s="90"/>
    </row>
    <row r="336" customFormat="false" ht="15.75" hidden="false" customHeight="true" outlineLevel="0" collapsed="false">
      <c r="A336" s="89"/>
      <c r="O336" s="90"/>
    </row>
    <row r="337" customFormat="false" ht="15.75" hidden="false" customHeight="true" outlineLevel="0" collapsed="false">
      <c r="A337" s="89"/>
      <c r="O337" s="90"/>
    </row>
    <row r="338" customFormat="false" ht="15.75" hidden="false" customHeight="true" outlineLevel="0" collapsed="false">
      <c r="A338" s="89"/>
      <c r="O338" s="90"/>
    </row>
    <row r="339" customFormat="false" ht="15.75" hidden="false" customHeight="true" outlineLevel="0" collapsed="false">
      <c r="A339" s="89"/>
      <c r="O339" s="90"/>
    </row>
    <row r="340" customFormat="false" ht="15.75" hidden="false" customHeight="true" outlineLevel="0" collapsed="false">
      <c r="A340" s="89"/>
      <c r="O340" s="90"/>
    </row>
    <row r="341" customFormat="false" ht="15.75" hidden="false" customHeight="true" outlineLevel="0" collapsed="false">
      <c r="A341" s="89"/>
      <c r="O341" s="90"/>
    </row>
    <row r="342" customFormat="false" ht="15.75" hidden="false" customHeight="true" outlineLevel="0" collapsed="false">
      <c r="A342" s="89"/>
      <c r="O342" s="90"/>
    </row>
    <row r="343" customFormat="false" ht="15.75" hidden="false" customHeight="true" outlineLevel="0" collapsed="false">
      <c r="A343" s="89"/>
      <c r="O343" s="90"/>
    </row>
    <row r="344" customFormat="false" ht="15.75" hidden="false" customHeight="true" outlineLevel="0" collapsed="false">
      <c r="A344" s="89"/>
      <c r="O344" s="90"/>
    </row>
    <row r="345" customFormat="false" ht="15.75" hidden="false" customHeight="true" outlineLevel="0" collapsed="false">
      <c r="A345" s="89"/>
      <c r="O345" s="90"/>
    </row>
    <row r="346" customFormat="false" ht="15.75" hidden="false" customHeight="true" outlineLevel="0" collapsed="false">
      <c r="A346" s="89"/>
      <c r="O346" s="90"/>
    </row>
    <row r="347" customFormat="false" ht="15.75" hidden="false" customHeight="true" outlineLevel="0" collapsed="false">
      <c r="A347" s="89"/>
      <c r="O347" s="90"/>
    </row>
    <row r="348" customFormat="false" ht="15.75" hidden="false" customHeight="true" outlineLevel="0" collapsed="false">
      <c r="A348" s="89"/>
      <c r="O348" s="90"/>
    </row>
    <row r="349" customFormat="false" ht="15.75" hidden="false" customHeight="true" outlineLevel="0" collapsed="false">
      <c r="A349" s="89"/>
      <c r="O349" s="90"/>
    </row>
    <row r="350" customFormat="false" ht="15.75" hidden="false" customHeight="true" outlineLevel="0" collapsed="false">
      <c r="A350" s="89"/>
      <c r="O350" s="90"/>
    </row>
    <row r="351" customFormat="false" ht="15.75" hidden="false" customHeight="true" outlineLevel="0" collapsed="false">
      <c r="A351" s="89"/>
      <c r="O351" s="90"/>
    </row>
    <row r="352" customFormat="false" ht="15.75" hidden="false" customHeight="true" outlineLevel="0" collapsed="false">
      <c r="A352" s="89"/>
      <c r="O352" s="90"/>
    </row>
    <row r="353" customFormat="false" ht="15.75" hidden="false" customHeight="true" outlineLevel="0" collapsed="false">
      <c r="A353" s="89"/>
      <c r="O353" s="90"/>
    </row>
    <row r="354" customFormat="false" ht="15.75" hidden="false" customHeight="true" outlineLevel="0" collapsed="false">
      <c r="A354" s="89"/>
      <c r="O354" s="90"/>
    </row>
    <row r="355" customFormat="false" ht="15.75" hidden="false" customHeight="true" outlineLevel="0" collapsed="false">
      <c r="A355" s="89"/>
      <c r="O355" s="90"/>
    </row>
    <row r="356" customFormat="false" ht="15.75" hidden="false" customHeight="true" outlineLevel="0" collapsed="false">
      <c r="A356" s="89"/>
      <c r="O356" s="90"/>
    </row>
    <row r="357" customFormat="false" ht="15.75" hidden="false" customHeight="true" outlineLevel="0" collapsed="false">
      <c r="A357" s="89"/>
      <c r="O357" s="90"/>
    </row>
    <row r="358" customFormat="false" ht="15.75" hidden="false" customHeight="true" outlineLevel="0" collapsed="false">
      <c r="A358" s="89"/>
      <c r="O358" s="90"/>
    </row>
    <row r="359" customFormat="false" ht="15.75" hidden="false" customHeight="true" outlineLevel="0" collapsed="false">
      <c r="A359" s="89"/>
      <c r="O359" s="90"/>
    </row>
    <row r="360" customFormat="false" ht="15.75" hidden="false" customHeight="true" outlineLevel="0" collapsed="false">
      <c r="A360" s="89"/>
      <c r="O360" s="90"/>
    </row>
    <row r="361" customFormat="false" ht="15.75" hidden="false" customHeight="true" outlineLevel="0" collapsed="false">
      <c r="A361" s="89"/>
      <c r="O361" s="90"/>
    </row>
    <row r="362" customFormat="false" ht="15.75" hidden="false" customHeight="true" outlineLevel="0" collapsed="false">
      <c r="A362" s="89"/>
      <c r="O362" s="90"/>
    </row>
    <row r="363" customFormat="false" ht="15.75" hidden="false" customHeight="true" outlineLevel="0" collapsed="false">
      <c r="A363" s="89"/>
      <c r="O363" s="90"/>
    </row>
    <row r="364" customFormat="false" ht="15.75" hidden="false" customHeight="true" outlineLevel="0" collapsed="false">
      <c r="A364" s="89"/>
      <c r="O364" s="90"/>
    </row>
    <row r="365" customFormat="false" ht="15.75" hidden="false" customHeight="true" outlineLevel="0" collapsed="false">
      <c r="A365" s="89"/>
      <c r="O365" s="90"/>
    </row>
    <row r="366" customFormat="false" ht="15.75" hidden="false" customHeight="true" outlineLevel="0" collapsed="false">
      <c r="A366" s="89"/>
      <c r="O366" s="90"/>
    </row>
    <row r="367" customFormat="false" ht="15.75" hidden="false" customHeight="true" outlineLevel="0" collapsed="false">
      <c r="A367" s="89"/>
      <c r="O367" s="90"/>
    </row>
    <row r="368" customFormat="false" ht="15.75" hidden="false" customHeight="true" outlineLevel="0" collapsed="false">
      <c r="A368" s="89"/>
      <c r="O368" s="90"/>
    </row>
    <row r="369" customFormat="false" ht="15.75" hidden="false" customHeight="true" outlineLevel="0" collapsed="false">
      <c r="A369" s="89"/>
      <c r="O369" s="90"/>
    </row>
    <row r="370" customFormat="false" ht="15.75" hidden="false" customHeight="true" outlineLevel="0" collapsed="false">
      <c r="A370" s="89"/>
      <c r="O370" s="90"/>
    </row>
    <row r="371" customFormat="false" ht="15.75" hidden="false" customHeight="true" outlineLevel="0" collapsed="false">
      <c r="A371" s="89"/>
      <c r="O371" s="90"/>
    </row>
    <row r="372" customFormat="false" ht="15.75" hidden="false" customHeight="true" outlineLevel="0" collapsed="false">
      <c r="A372" s="89"/>
      <c r="O372" s="90"/>
    </row>
    <row r="373" customFormat="false" ht="15.75" hidden="false" customHeight="true" outlineLevel="0" collapsed="false">
      <c r="A373" s="89"/>
      <c r="O373" s="90"/>
    </row>
    <row r="374" customFormat="false" ht="15.75" hidden="false" customHeight="true" outlineLevel="0" collapsed="false">
      <c r="A374" s="89"/>
      <c r="O374" s="90"/>
    </row>
    <row r="375" customFormat="false" ht="15.75" hidden="false" customHeight="true" outlineLevel="0" collapsed="false">
      <c r="A375" s="89"/>
      <c r="O375" s="90"/>
    </row>
    <row r="376" customFormat="false" ht="15.75" hidden="false" customHeight="true" outlineLevel="0" collapsed="false">
      <c r="A376" s="89"/>
      <c r="O376" s="90"/>
    </row>
    <row r="377" customFormat="false" ht="15.75" hidden="false" customHeight="true" outlineLevel="0" collapsed="false">
      <c r="A377" s="89"/>
      <c r="O377" s="90"/>
    </row>
    <row r="378" customFormat="false" ht="15.75" hidden="false" customHeight="true" outlineLevel="0" collapsed="false">
      <c r="A378" s="89"/>
      <c r="O378" s="90"/>
    </row>
    <row r="379" customFormat="false" ht="15.75" hidden="false" customHeight="true" outlineLevel="0" collapsed="false">
      <c r="A379" s="89"/>
      <c r="O379" s="90"/>
    </row>
    <row r="380" customFormat="false" ht="15.75" hidden="false" customHeight="true" outlineLevel="0" collapsed="false">
      <c r="A380" s="89"/>
      <c r="O380" s="90"/>
    </row>
    <row r="381" customFormat="false" ht="15.75" hidden="false" customHeight="true" outlineLevel="0" collapsed="false">
      <c r="A381" s="89"/>
      <c r="O381" s="90"/>
    </row>
    <row r="382" customFormat="false" ht="15.75" hidden="false" customHeight="true" outlineLevel="0" collapsed="false">
      <c r="A382" s="89"/>
      <c r="O382" s="90"/>
    </row>
    <row r="383" customFormat="false" ht="15.75" hidden="false" customHeight="true" outlineLevel="0" collapsed="false">
      <c r="A383" s="89"/>
      <c r="O383" s="90"/>
    </row>
    <row r="384" customFormat="false" ht="15.75" hidden="false" customHeight="true" outlineLevel="0" collapsed="false">
      <c r="A384" s="89"/>
      <c r="O384" s="90"/>
    </row>
    <row r="385" customFormat="false" ht="15.75" hidden="false" customHeight="true" outlineLevel="0" collapsed="false">
      <c r="A385" s="89"/>
      <c r="O385" s="90"/>
    </row>
    <row r="386" customFormat="false" ht="15.75" hidden="false" customHeight="true" outlineLevel="0" collapsed="false">
      <c r="A386" s="89"/>
      <c r="O386" s="90"/>
    </row>
    <row r="387" customFormat="false" ht="15.75" hidden="false" customHeight="true" outlineLevel="0" collapsed="false">
      <c r="A387" s="89"/>
      <c r="O387" s="90"/>
    </row>
    <row r="388" customFormat="false" ht="15.75" hidden="false" customHeight="true" outlineLevel="0" collapsed="false">
      <c r="A388" s="89"/>
      <c r="O388" s="90"/>
    </row>
    <row r="389" customFormat="false" ht="15.75" hidden="false" customHeight="true" outlineLevel="0" collapsed="false">
      <c r="A389" s="89"/>
      <c r="O389" s="90"/>
    </row>
    <row r="390" customFormat="false" ht="15.75" hidden="false" customHeight="true" outlineLevel="0" collapsed="false">
      <c r="A390" s="89"/>
      <c r="O390" s="90"/>
    </row>
    <row r="391" customFormat="false" ht="15.75" hidden="false" customHeight="true" outlineLevel="0" collapsed="false">
      <c r="A391" s="89"/>
      <c r="O391" s="90"/>
    </row>
    <row r="392" customFormat="false" ht="15.75" hidden="false" customHeight="true" outlineLevel="0" collapsed="false">
      <c r="A392" s="89"/>
      <c r="O392" s="90"/>
    </row>
    <row r="393" customFormat="false" ht="15.75" hidden="false" customHeight="true" outlineLevel="0" collapsed="false">
      <c r="A393" s="89"/>
      <c r="O393" s="90"/>
    </row>
    <row r="394" customFormat="false" ht="15.75" hidden="false" customHeight="true" outlineLevel="0" collapsed="false">
      <c r="A394" s="89"/>
      <c r="O394" s="90"/>
    </row>
    <row r="395" customFormat="false" ht="15.75" hidden="false" customHeight="true" outlineLevel="0" collapsed="false">
      <c r="A395" s="89"/>
      <c r="O395" s="90"/>
    </row>
    <row r="396" customFormat="false" ht="15.75" hidden="false" customHeight="true" outlineLevel="0" collapsed="false">
      <c r="A396" s="89"/>
      <c r="O396" s="90"/>
    </row>
    <row r="397" customFormat="false" ht="15.75" hidden="false" customHeight="true" outlineLevel="0" collapsed="false">
      <c r="A397" s="89"/>
      <c r="O397" s="90"/>
    </row>
    <row r="398" customFormat="false" ht="15.75" hidden="false" customHeight="true" outlineLevel="0" collapsed="false">
      <c r="A398" s="89"/>
      <c r="O398" s="90"/>
    </row>
    <row r="399" customFormat="false" ht="15.75" hidden="false" customHeight="true" outlineLevel="0" collapsed="false">
      <c r="A399" s="89"/>
      <c r="O399" s="90"/>
    </row>
    <row r="400" customFormat="false" ht="15.75" hidden="false" customHeight="true" outlineLevel="0" collapsed="false">
      <c r="A400" s="89"/>
      <c r="O400" s="90"/>
    </row>
    <row r="401" customFormat="false" ht="15.75" hidden="false" customHeight="true" outlineLevel="0" collapsed="false">
      <c r="A401" s="89"/>
      <c r="O401" s="90"/>
    </row>
    <row r="402" customFormat="false" ht="15.75" hidden="false" customHeight="true" outlineLevel="0" collapsed="false">
      <c r="A402" s="89"/>
      <c r="O402" s="90"/>
    </row>
    <row r="403" customFormat="false" ht="15.75" hidden="false" customHeight="true" outlineLevel="0" collapsed="false">
      <c r="A403" s="89"/>
      <c r="O403" s="90"/>
    </row>
    <row r="404" customFormat="false" ht="15.75" hidden="false" customHeight="true" outlineLevel="0" collapsed="false">
      <c r="A404" s="89"/>
      <c r="O404" s="90"/>
    </row>
    <row r="405" customFormat="false" ht="15.75" hidden="false" customHeight="true" outlineLevel="0" collapsed="false">
      <c r="A405" s="89"/>
      <c r="O405" s="90"/>
    </row>
    <row r="406" customFormat="false" ht="15.75" hidden="false" customHeight="true" outlineLevel="0" collapsed="false">
      <c r="A406" s="89"/>
      <c r="O406" s="90"/>
    </row>
    <row r="407" customFormat="false" ht="15.75" hidden="false" customHeight="true" outlineLevel="0" collapsed="false">
      <c r="A407" s="89"/>
      <c r="O407" s="90"/>
    </row>
    <row r="408" customFormat="false" ht="15.75" hidden="false" customHeight="true" outlineLevel="0" collapsed="false">
      <c r="A408" s="89"/>
      <c r="O408" s="90"/>
    </row>
    <row r="409" customFormat="false" ht="15.75" hidden="false" customHeight="true" outlineLevel="0" collapsed="false">
      <c r="A409" s="89"/>
      <c r="O409" s="90"/>
    </row>
    <row r="410" customFormat="false" ht="15.75" hidden="false" customHeight="true" outlineLevel="0" collapsed="false">
      <c r="A410" s="89"/>
      <c r="O410" s="90"/>
    </row>
    <row r="411" customFormat="false" ht="15.75" hidden="false" customHeight="true" outlineLevel="0" collapsed="false">
      <c r="A411" s="89"/>
      <c r="O411" s="90"/>
    </row>
    <row r="412" customFormat="false" ht="15.75" hidden="false" customHeight="true" outlineLevel="0" collapsed="false">
      <c r="A412" s="89"/>
      <c r="O412" s="90"/>
    </row>
    <row r="413" customFormat="false" ht="15.75" hidden="false" customHeight="true" outlineLevel="0" collapsed="false">
      <c r="A413" s="89"/>
      <c r="O413" s="90"/>
    </row>
    <row r="414" customFormat="false" ht="15.75" hidden="false" customHeight="true" outlineLevel="0" collapsed="false">
      <c r="A414" s="89"/>
      <c r="O414" s="90"/>
    </row>
    <row r="415" customFormat="false" ht="15.75" hidden="false" customHeight="true" outlineLevel="0" collapsed="false">
      <c r="A415" s="89"/>
      <c r="O415" s="90"/>
    </row>
    <row r="416" customFormat="false" ht="15.75" hidden="false" customHeight="true" outlineLevel="0" collapsed="false">
      <c r="A416" s="89"/>
      <c r="O416" s="90"/>
    </row>
    <row r="417" customFormat="false" ht="15.75" hidden="false" customHeight="true" outlineLevel="0" collapsed="false">
      <c r="A417" s="89"/>
      <c r="O417" s="90"/>
    </row>
    <row r="418" customFormat="false" ht="15.75" hidden="false" customHeight="true" outlineLevel="0" collapsed="false">
      <c r="A418" s="89"/>
      <c r="O418" s="90"/>
    </row>
    <row r="419" customFormat="false" ht="15.75" hidden="false" customHeight="true" outlineLevel="0" collapsed="false">
      <c r="A419" s="89"/>
      <c r="O419" s="90"/>
    </row>
    <row r="420" customFormat="false" ht="15.75" hidden="false" customHeight="true" outlineLevel="0" collapsed="false">
      <c r="A420" s="89"/>
      <c r="O420" s="90"/>
    </row>
    <row r="421" customFormat="false" ht="15.75" hidden="false" customHeight="true" outlineLevel="0" collapsed="false">
      <c r="A421" s="89"/>
      <c r="O421" s="90"/>
    </row>
    <row r="422" customFormat="false" ht="15.75" hidden="false" customHeight="true" outlineLevel="0" collapsed="false">
      <c r="A422" s="89"/>
      <c r="O422" s="90"/>
    </row>
    <row r="423" customFormat="false" ht="15.75" hidden="false" customHeight="true" outlineLevel="0" collapsed="false">
      <c r="A423" s="89"/>
      <c r="O423" s="90"/>
    </row>
    <row r="424" customFormat="false" ht="15.75" hidden="false" customHeight="true" outlineLevel="0" collapsed="false">
      <c r="A424" s="89"/>
      <c r="O424" s="90"/>
    </row>
    <row r="425" customFormat="false" ht="15.75" hidden="false" customHeight="true" outlineLevel="0" collapsed="false">
      <c r="A425" s="89"/>
      <c r="O425" s="90"/>
    </row>
    <row r="426" customFormat="false" ht="15.75" hidden="false" customHeight="true" outlineLevel="0" collapsed="false">
      <c r="A426" s="89"/>
      <c r="O426" s="90"/>
    </row>
    <row r="427" customFormat="false" ht="15.75" hidden="false" customHeight="true" outlineLevel="0" collapsed="false">
      <c r="A427" s="89"/>
      <c r="O427" s="90"/>
    </row>
    <row r="428" customFormat="false" ht="15.75" hidden="false" customHeight="true" outlineLevel="0" collapsed="false">
      <c r="A428" s="89"/>
      <c r="O428" s="90"/>
    </row>
    <row r="429" customFormat="false" ht="15.75" hidden="false" customHeight="true" outlineLevel="0" collapsed="false">
      <c r="A429" s="89"/>
      <c r="O429" s="90"/>
    </row>
    <row r="430" customFormat="false" ht="15.75" hidden="false" customHeight="true" outlineLevel="0" collapsed="false">
      <c r="A430" s="89"/>
      <c r="O430" s="90"/>
    </row>
    <row r="431" customFormat="false" ht="15.75" hidden="false" customHeight="true" outlineLevel="0" collapsed="false">
      <c r="A431" s="89"/>
      <c r="O431" s="90"/>
    </row>
    <row r="432" customFormat="false" ht="15.75" hidden="false" customHeight="true" outlineLevel="0" collapsed="false">
      <c r="A432" s="89"/>
      <c r="O432" s="90"/>
    </row>
    <row r="433" customFormat="false" ht="15.75" hidden="false" customHeight="true" outlineLevel="0" collapsed="false">
      <c r="A433" s="89"/>
      <c r="O433" s="90"/>
    </row>
    <row r="434" customFormat="false" ht="15.75" hidden="false" customHeight="true" outlineLevel="0" collapsed="false">
      <c r="A434" s="89"/>
      <c r="O434" s="90"/>
    </row>
    <row r="435" customFormat="false" ht="15.75" hidden="false" customHeight="true" outlineLevel="0" collapsed="false">
      <c r="A435" s="89"/>
      <c r="O435" s="90"/>
    </row>
    <row r="436" customFormat="false" ht="15.75" hidden="false" customHeight="true" outlineLevel="0" collapsed="false">
      <c r="A436" s="89"/>
      <c r="O436" s="90"/>
    </row>
    <row r="437" customFormat="false" ht="15.75" hidden="false" customHeight="true" outlineLevel="0" collapsed="false">
      <c r="A437" s="89"/>
      <c r="O437" s="90"/>
    </row>
    <row r="438" customFormat="false" ht="15.75" hidden="false" customHeight="true" outlineLevel="0" collapsed="false">
      <c r="A438" s="89"/>
      <c r="O438" s="90"/>
    </row>
    <row r="439" customFormat="false" ht="15.75" hidden="false" customHeight="true" outlineLevel="0" collapsed="false">
      <c r="A439" s="89"/>
      <c r="O439" s="90"/>
    </row>
    <row r="440" customFormat="false" ht="15.75" hidden="false" customHeight="true" outlineLevel="0" collapsed="false">
      <c r="A440" s="89"/>
      <c r="O440" s="90"/>
    </row>
    <row r="441" customFormat="false" ht="15.75" hidden="false" customHeight="true" outlineLevel="0" collapsed="false">
      <c r="A441" s="89"/>
      <c r="O441" s="90"/>
    </row>
    <row r="442" customFormat="false" ht="15.75" hidden="false" customHeight="true" outlineLevel="0" collapsed="false">
      <c r="A442" s="89"/>
      <c r="O442" s="90"/>
    </row>
    <row r="443" customFormat="false" ht="15.75" hidden="false" customHeight="true" outlineLevel="0" collapsed="false">
      <c r="A443" s="89"/>
      <c r="O443" s="90"/>
    </row>
    <row r="444" customFormat="false" ht="15.75" hidden="false" customHeight="true" outlineLevel="0" collapsed="false">
      <c r="A444" s="89"/>
      <c r="O444" s="90"/>
    </row>
    <row r="445" customFormat="false" ht="15.75" hidden="false" customHeight="true" outlineLevel="0" collapsed="false">
      <c r="A445" s="89"/>
      <c r="O445" s="90"/>
    </row>
    <row r="446" customFormat="false" ht="15.75" hidden="false" customHeight="true" outlineLevel="0" collapsed="false">
      <c r="A446" s="89"/>
      <c r="O446" s="90"/>
    </row>
    <row r="447" customFormat="false" ht="15.75" hidden="false" customHeight="true" outlineLevel="0" collapsed="false">
      <c r="A447" s="89"/>
      <c r="O447" s="90"/>
    </row>
    <row r="448" customFormat="false" ht="15.75" hidden="false" customHeight="true" outlineLevel="0" collapsed="false">
      <c r="A448" s="89"/>
      <c r="O448" s="90"/>
    </row>
    <row r="449" customFormat="false" ht="15.75" hidden="false" customHeight="true" outlineLevel="0" collapsed="false">
      <c r="A449" s="89"/>
      <c r="O449" s="90"/>
    </row>
    <row r="450" customFormat="false" ht="15.75" hidden="false" customHeight="true" outlineLevel="0" collapsed="false">
      <c r="A450" s="89"/>
      <c r="O450" s="90"/>
    </row>
    <row r="451" customFormat="false" ht="15.75" hidden="false" customHeight="true" outlineLevel="0" collapsed="false">
      <c r="A451" s="89"/>
      <c r="O451" s="90"/>
    </row>
    <row r="452" customFormat="false" ht="15.75" hidden="false" customHeight="true" outlineLevel="0" collapsed="false">
      <c r="A452" s="89"/>
      <c r="O452" s="90"/>
    </row>
    <row r="453" customFormat="false" ht="15.75" hidden="false" customHeight="true" outlineLevel="0" collapsed="false">
      <c r="A453" s="89"/>
      <c r="O453" s="90"/>
    </row>
    <row r="454" customFormat="false" ht="15.75" hidden="false" customHeight="true" outlineLevel="0" collapsed="false">
      <c r="A454" s="89"/>
      <c r="O454" s="90"/>
    </row>
    <row r="455" customFormat="false" ht="15.75" hidden="false" customHeight="true" outlineLevel="0" collapsed="false">
      <c r="A455" s="89"/>
      <c r="O455" s="90"/>
    </row>
    <row r="456" customFormat="false" ht="15.75" hidden="false" customHeight="true" outlineLevel="0" collapsed="false">
      <c r="A456" s="89"/>
      <c r="O456" s="90"/>
    </row>
    <row r="457" customFormat="false" ht="15.75" hidden="false" customHeight="true" outlineLevel="0" collapsed="false">
      <c r="A457" s="89"/>
      <c r="O457" s="90"/>
    </row>
    <row r="458" customFormat="false" ht="15.75" hidden="false" customHeight="true" outlineLevel="0" collapsed="false">
      <c r="A458" s="89"/>
      <c r="O458" s="90"/>
    </row>
    <row r="459" customFormat="false" ht="15.75" hidden="false" customHeight="true" outlineLevel="0" collapsed="false">
      <c r="A459" s="89"/>
      <c r="O459" s="90"/>
    </row>
    <row r="460" customFormat="false" ht="15.75" hidden="false" customHeight="true" outlineLevel="0" collapsed="false">
      <c r="A460" s="89"/>
      <c r="O460" s="90"/>
    </row>
    <row r="461" customFormat="false" ht="15.75" hidden="false" customHeight="true" outlineLevel="0" collapsed="false">
      <c r="A461" s="89"/>
      <c r="O461" s="90"/>
    </row>
    <row r="462" customFormat="false" ht="15.75" hidden="false" customHeight="true" outlineLevel="0" collapsed="false">
      <c r="A462" s="89"/>
      <c r="O462" s="90"/>
    </row>
    <row r="463" customFormat="false" ht="15.75" hidden="false" customHeight="true" outlineLevel="0" collapsed="false">
      <c r="A463" s="89"/>
      <c r="O463" s="90"/>
    </row>
    <row r="464" customFormat="false" ht="15.75" hidden="false" customHeight="true" outlineLevel="0" collapsed="false">
      <c r="A464" s="89"/>
      <c r="O464" s="90"/>
    </row>
    <row r="465" customFormat="false" ht="15.75" hidden="false" customHeight="true" outlineLevel="0" collapsed="false">
      <c r="A465" s="89"/>
      <c r="O465" s="90"/>
    </row>
    <row r="466" customFormat="false" ht="15.75" hidden="false" customHeight="true" outlineLevel="0" collapsed="false">
      <c r="A466" s="89"/>
      <c r="O466" s="90"/>
    </row>
    <row r="467" customFormat="false" ht="15.75" hidden="false" customHeight="true" outlineLevel="0" collapsed="false">
      <c r="A467" s="89"/>
      <c r="O467" s="90"/>
    </row>
    <row r="468" customFormat="false" ht="15.75" hidden="false" customHeight="true" outlineLevel="0" collapsed="false">
      <c r="A468" s="89"/>
      <c r="O468" s="90"/>
    </row>
    <row r="469" customFormat="false" ht="15.75" hidden="false" customHeight="true" outlineLevel="0" collapsed="false">
      <c r="A469" s="89"/>
      <c r="O469" s="90"/>
    </row>
    <row r="470" customFormat="false" ht="15.75" hidden="false" customHeight="true" outlineLevel="0" collapsed="false">
      <c r="A470" s="89"/>
      <c r="O470" s="90"/>
    </row>
    <row r="471" customFormat="false" ht="15.75" hidden="false" customHeight="true" outlineLevel="0" collapsed="false">
      <c r="A471" s="89"/>
      <c r="O471" s="90"/>
    </row>
    <row r="472" customFormat="false" ht="15.75" hidden="false" customHeight="true" outlineLevel="0" collapsed="false">
      <c r="A472" s="89"/>
      <c r="O472" s="90"/>
    </row>
    <row r="473" customFormat="false" ht="15.75" hidden="false" customHeight="true" outlineLevel="0" collapsed="false">
      <c r="A473" s="89"/>
      <c r="O473" s="90"/>
    </row>
    <row r="474" customFormat="false" ht="15.75" hidden="false" customHeight="true" outlineLevel="0" collapsed="false">
      <c r="A474" s="89"/>
      <c r="O474" s="90"/>
    </row>
    <row r="475" customFormat="false" ht="15.75" hidden="false" customHeight="true" outlineLevel="0" collapsed="false">
      <c r="A475" s="89"/>
      <c r="O475" s="90"/>
    </row>
    <row r="476" customFormat="false" ht="15.75" hidden="false" customHeight="true" outlineLevel="0" collapsed="false">
      <c r="A476" s="89"/>
      <c r="O476" s="90"/>
    </row>
    <row r="477" customFormat="false" ht="15.75" hidden="false" customHeight="true" outlineLevel="0" collapsed="false">
      <c r="A477" s="89"/>
      <c r="O477" s="90"/>
    </row>
    <row r="478" customFormat="false" ht="15.75" hidden="false" customHeight="true" outlineLevel="0" collapsed="false">
      <c r="A478" s="89"/>
      <c r="O478" s="90"/>
    </row>
    <row r="479" customFormat="false" ht="15.75" hidden="false" customHeight="true" outlineLevel="0" collapsed="false">
      <c r="A479" s="89"/>
      <c r="O479" s="90"/>
    </row>
    <row r="480" customFormat="false" ht="15.75" hidden="false" customHeight="true" outlineLevel="0" collapsed="false">
      <c r="A480" s="89"/>
      <c r="O480" s="90"/>
    </row>
    <row r="481" customFormat="false" ht="15.75" hidden="false" customHeight="true" outlineLevel="0" collapsed="false">
      <c r="A481" s="89"/>
      <c r="O481" s="90"/>
    </row>
    <row r="482" customFormat="false" ht="15.75" hidden="false" customHeight="true" outlineLevel="0" collapsed="false">
      <c r="A482" s="89"/>
      <c r="O482" s="90"/>
    </row>
    <row r="483" customFormat="false" ht="15.75" hidden="false" customHeight="true" outlineLevel="0" collapsed="false">
      <c r="A483" s="89"/>
      <c r="O483" s="90"/>
    </row>
    <row r="484" customFormat="false" ht="15.75" hidden="false" customHeight="true" outlineLevel="0" collapsed="false">
      <c r="A484" s="89"/>
      <c r="O484" s="90"/>
    </row>
    <row r="485" customFormat="false" ht="15.75" hidden="false" customHeight="true" outlineLevel="0" collapsed="false">
      <c r="A485" s="89"/>
      <c r="O485" s="90"/>
    </row>
    <row r="486" customFormat="false" ht="15.75" hidden="false" customHeight="true" outlineLevel="0" collapsed="false">
      <c r="A486" s="89"/>
      <c r="O486" s="90"/>
    </row>
    <row r="487" customFormat="false" ht="15.75" hidden="false" customHeight="true" outlineLevel="0" collapsed="false">
      <c r="A487" s="89"/>
      <c r="O487" s="90"/>
    </row>
    <row r="488" customFormat="false" ht="15.75" hidden="false" customHeight="true" outlineLevel="0" collapsed="false">
      <c r="A488" s="89"/>
      <c r="O488" s="90"/>
    </row>
    <row r="489" customFormat="false" ht="15.75" hidden="false" customHeight="true" outlineLevel="0" collapsed="false">
      <c r="A489" s="89"/>
      <c r="O489" s="90"/>
    </row>
    <row r="490" customFormat="false" ht="15.75" hidden="false" customHeight="true" outlineLevel="0" collapsed="false">
      <c r="A490" s="89"/>
      <c r="O490" s="90"/>
    </row>
    <row r="491" customFormat="false" ht="15.75" hidden="false" customHeight="true" outlineLevel="0" collapsed="false">
      <c r="A491" s="89"/>
      <c r="O491" s="90"/>
    </row>
    <row r="492" customFormat="false" ht="15.75" hidden="false" customHeight="true" outlineLevel="0" collapsed="false">
      <c r="A492" s="89"/>
      <c r="O492" s="90"/>
    </row>
    <row r="493" customFormat="false" ht="15.75" hidden="false" customHeight="true" outlineLevel="0" collapsed="false">
      <c r="A493" s="89"/>
      <c r="O493" s="90"/>
    </row>
    <row r="494" customFormat="false" ht="15.75" hidden="false" customHeight="true" outlineLevel="0" collapsed="false">
      <c r="A494" s="89"/>
      <c r="O494" s="90"/>
    </row>
    <row r="495" customFormat="false" ht="15.75" hidden="false" customHeight="true" outlineLevel="0" collapsed="false">
      <c r="A495" s="89"/>
      <c r="O495" s="90"/>
    </row>
    <row r="496" customFormat="false" ht="15.75" hidden="false" customHeight="true" outlineLevel="0" collapsed="false">
      <c r="A496" s="89"/>
      <c r="O496" s="90"/>
    </row>
    <row r="497" customFormat="false" ht="15.75" hidden="false" customHeight="true" outlineLevel="0" collapsed="false">
      <c r="A497" s="89"/>
      <c r="O497" s="90"/>
    </row>
    <row r="498" customFormat="false" ht="15.75" hidden="false" customHeight="true" outlineLevel="0" collapsed="false">
      <c r="A498" s="89"/>
      <c r="O498" s="90"/>
    </row>
    <row r="499" customFormat="false" ht="15.75" hidden="false" customHeight="true" outlineLevel="0" collapsed="false">
      <c r="A499" s="89"/>
      <c r="O499" s="90"/>
    </row>
    <row r="500" customFormat="false" ht="15.75" hidden="false" customHeight="true" outlineLevel="0" collapsed="false">
      <c r="A500" s="89"/>
      <c r="O500" s="90"/>
    </row>
    <row r="501" customFormat="false" ht="15.75" hidden="false" customHeight="true" outlineLevel="0" collapsed="false">
      <c r="A501" s="89"/>
      <c r="O501" s="90"/>
    </row>
    <row r="502" customFormat="false" ht="15.75" hidden="false" customHeight="true" outlineLevel="0" collapsed="false">
      <c r="A502" s="89"/>
      <c r="O502" s="90"/>
    </row>
    <row r="503" customFormat="false" ht="15.75" hidden="false" customHeight="true" outlineLevel="0" collapsed="false">
      <c r="A503" s="89"/>
      <c r="O503" s="90"/>
    </row>
    <row r="504" customFormat="false" ht="15.75" hidden="false" customHeight="true" outlineLevel="0" collapsed="false">
      <c r="A504" s="89"/>
      <c r="O504" s="90"/>
    </row>
    <row r="505" customFormat="false" ht="15.75" hidden="false" customHeight="true" outlineLevel="0" collapsed="false">
      <c r="A505" s="89"/>
      <c r="O505" s="90"/>
    </row>
    <row r="506" customFormat="false" ht="15.75" hidden="false" customHeight="true" outlineLevel="0" collapsed="false">
      <c r="A506" s="89"/>
      <c r="O506" s="90"/>
    </row>
    <row r="507" customFormat="false" ht="15.75" hidden="false" customHeight="true" outlineLevel="0" collapsed="false">
      <c r="A507" s="89"/>
      <c r="O507" s="90"/>
    </row>
    <row r="508" customFormat="false" ht="15.75" hidden="false" customHeight="true" outlineLevel="0" collapsed="false">
      <c r="A508" s="89"/>
      <c r="O508" s="90"/>
    </row>
    <row r="509" customFormat="false" ht="15.75" hidden="false" customHeight="true" outlineLevel="0" collapsed="false">
      <c r="A509" s="89"/>
      <c r="O509" s="90"/>
    </row>
    <row r="510" customFormat="false" ht="15.75" hidden="false" customHeight="true" outlineLevel="0" collapsed="false">
      <c r="A510" s="89"/>
      <c r="O510" s="90"/>
    </row>
    <row r="511" customFormat="false" ht="15.75" hidden="false" customHeight="true" outlineLevel="0" collapsed="false">
      <c r="A511" s="89"/>
      <c r="O511" s="90"/>
    </row>
    <row r="512" customFormat="false" ht="15.75" hidden="false" customHeight="true" outlineLevel="0" collapsed="false">
      <c r="A512" s="89"/>
      <c r="O512" s="90"/>
    </row>
    <row r="513" customFormat="false" ht="15.75" hidden="false" customHeight="true" outlineLevel="0" collapsed="false">
      <c r="A513" s="89"/>
      <c r="O513" s="90"/>
    </row>
    <row r="514" customFormat="false" ht="15.75" hidden="false" customHeight="true" outlineLevel="0" collapsed="false">
      <c r="A514" s="89"/>
      <c r="O514" s="90"/>
    </row>
    <row r="515" customFormat="false" ht="15.75" hidden="false" customHeight="true" outlineLevel="0" collapsed="false">
      <c r="A515" s="89"/>
      <c r="O515" s="90"/>
    </row>
    <row r="516" customFormat="false" ht="15.75" hidden="false" customHeight="true" outlineLevel="0" collapsed="false">
      <c r="A516" s="89"/>
      <c r="O516" s="90"/>
    </row>
    <row r="517" customFormat="false" ht="15.75" hidden="false" customHeight="true" outlineLevel="0" collapsed="false">
      <c r="A517" s="89"/>
      <c r="O517" s="90"/>
    </row>
    <row r="518" customFormat="false" ht="15.75" hidden="false" customHeight="true" outlineLevel="0" collapsed="false">
      <c r="A518" s="89"/>
      <c r="O518" s="90"/>
    </row>
    <row r="519" customFormat="false" ht="15.75" hidden="false" customHeight="true" outlineLevel="0" collapsed="false">
      <c r="A519" s="89"/>
      <c r="O519" s="90"/>
    </row>
    <row r="520" customFormat="false" ht="15.75" hidden="false" customHeight="true" outlineLevel="0" collapsed="false">
      <c r="A520" s="89"/>
      <c r="O520" s="90"/>
    </row>
    <row r="521" customFormat="false" ht="15.75" hidden="false" customHeight="true" outlineLevel="0" collapsed="false">
      <c r="A521" s="89"/>
      <c r="O521" s="90"/>
    </row>
    <row r="522" customFormat="false" ht="15.75" hidden="false" customHeight="true" outlineLevel="0" collapsed="false">
      <c r="A522" s="89"/>
      <c r="O522" s="90"/>
    </row>
    <row r="523" customFormat="false" ht="15.75" hidden="false" customHeight="true" outlineLevel="0" collapsed="false">
      <c r="A523" s="89"/>
      <c r="O523" s="90"/>
    </row>
    <row r="524" customFormat="false" ht="15.75" hidden="false" customHeight="true" outlineLevel="0" collapsed="false">
      <c r="A524" s="89"/>
      <c r="O524" s="90"/>
    </row>
    <row r="525" customFormat="false" ht="15.75" hidden="false" customHeight="true" outlineLevel="0" collapsed="false">
      <c r="A525" s="89"/>
      <c r="O525" s="90"/>
    </row>
    <row r="526" customFormat="false" ht="15.75" hidden="false" customHeight="true" outlineLevel="0" collapsed="false">
      <c r="A526" s="89"/>
      <c r="O526" s="90"/>
    </row>
    <row r="527" customFormat="false" ht="15.75" hidden="false" customHeight="true" outlineLevel="0" collapsed="false">
      <c r="A527" s="89"/>
      <c r="O527" s="90"/>
    </row>
    <row r="528" customFormat="false" ht="15.75" hidden="false" customHeight="true" outlineLevel="0" collapsed="false">
      <c r="A528" s="89"/>
      <c r="O528" s="90"/>
    </row>
    <row r="529" customFormat="false" ht="15.75" hidden="false" customHeight="true" outlineLevel="0" collapsed="false">
      <c r="A529" s="89"/>
      <c r="O529" s="90"/>
    </row>
    <row r="530" customFormat="false" ht="15.75" hidden="false" customHeight="true" outlineLevel="0" collapsed="false">
      <c r="A530" s="89"/>
      <c r="O530" s="90"/>
    </row>
    <row r="531" customFormat="false" ht="15.75" hidden="false" customHeight="true" outlineLevel="0" collapsed="false">
      <c r="A531" s="89"/>
      <c r="O531" s="90"/>
    </row>
    <row r="532" customFormat="false" ht="15.75" hidden="false" customHeight="true" outlineLevel="0" collapsed="false">
      <c r="A532" s="89"/>
      <c r="O532" s="90"/>
    </row>
    <row r="533" customFormat="false" ht="15.75" hidden="false" customHeight="true" outlineLevel="0" collapsed="false">
      <c r="A533" s="89"/>
      <c r="O533" s="90"/>
    </row>
    <row r="534" customFormat="false" ht="15.75" hidden="false" customHeight="true" outlineLevel="0" collapsed="false">
      <c r="A534" s="89"/>
      <c r="O534" s="90"/>
    </row>
    <row r="535" customFormat="false" ht="15.75" hidden="false" customHeight="true" outlineLevel="0" collapsed="false">
      <c r="A535" s="89"/>
      <c r="O535" s="90"/>
    </row>
    <row r="536" customFormat="false" ht="15.75" hidden="false" customHeight="true" outlineLevel="0" collapsed="false">
      <c r="A536" s="89"/>
      <c r="O536" s="90"/>
    </row>
    <row r="537" customFormat="false" ht="15.75" hidden="false" customHeight="true" outlineLevel="0" collapsed="false">
      <c r="A537" s="89"/>
      <c r="O537" s="90"/>
    </row>
    <row r="538" customFormat="false" ht="15.75" hidden="false" customHeight="true" outlineLevel="0" collapsed="false">
      <c r="A538" s="89"/>
      <c r="O538" s="90"/>
    </row>
    <row r="539" customFormat="false" ht="15.75" hidden="false" customHeight="true" outlineLevel="0" collapsed="false">
      <c r="A539" s="89"/>
      <c r="O539" s="90"/>
    </row>
    <row r="540" customFormat="false" ht="15.75" hidden="false" customHeight="true" outlineLevel="0" collapsed="false">
      <c r="A540" s="89"/>
      <c r="O540" s="90"/>
    </row>
    <row r="541" customFormat="false" ht="15.75" hidden="false" customHeight="true" outlineLevel="0" collapsed="false">
      <c r="A541" s="89"/>
      <c r="O541" s="90"/>
    </row>
    <row r="542" customFormat="false" ht="15.75" hidden="false" customHeight="true" outlineLevel="0" collapsed="false">
      <c r="A542" s="89"/>
      <c r="O542" s="90"/>
    </row>
    <row r="543" customFormat="false" ht="15.75" hidden="false" customHeight="true" outlineLevel="0" collapsed="false">
      <c r="A543" s="89"/>
      <c r="O543" s="90"/>
    </row>
    <row r="544" customFormat="false" ht="15.75" hidden="false" customHeight="true" outlineLevel="0" collapsed="false">
      <c r="A544" s="89"/>
      <c r="O544" s="90"/>
    </row>
    <row r="545" customFormat="false" ht="15.75" hidden="false" customHeight="true" outlineLevel="0" collapsed="false">
      <c r="A545" s="89"/>
      <c r="O545" s="90"/>
    </row>
    <row r="546" customFormat="false" ht="15.75" hidden="false" customHeight="true" outlineLevel="0" collapsed="false">
      <c r="A546" s="89"/>
      <c r="O546" s="90"/>
    </row>
    <row r="547" customFormat="false" ht="15.75" hidden="false" customHeight="true" outlineLevel="0" collapsed="false">
      <c r="A547" s="89"/>
      <c r="O547" s="90"/>
    </row>
    <row r="548" customFormat="false" ht="15.75" hidden="false" customHeight="true" outlineLevel="0" collapsed="false">
      <c r="A548" s="89"/>
      <c r="O548" s="90"/>
    </row>
    <row r="549" customFormat="false" ht="15.75" hidden="false" customHeight="true" outlineLevel="0" collapsed="false">
      <c r="A549" s="89"/>
      <c r="O549" s="90"/>
    </row>
    <row r="550" customFormat="false" ht="15.75" hidden="false" customHeight="true" outlineLevel="0" collapsed="false">
      <c r="A550" s="89"/>
      <c r="O550" s="90"/>
    </row>
    <row r="551" customFormat="false" ht="15.75" hidden="false" customHeight="true" outlineLevel="0" collapsed="false">
      <c r="A551" s="89"/>
      <c r="O551" s="90"/>
    </row>
    <row r="552" customFormat="false" ht="15.75" hidden="false" customHeight="true" outlineLevel="0" collapsed="false">
      <c r="A552" s="89"/>
      <c r="O552" s="90"/>
    </row>
    <row r="553" customFormat="false" ht="15.75" hidden="false" customHeight="true" outlineLevel="0" collapsed="false">
      <c r="A553" s="89"/>
      <c r="O553" s="90"/>
    </row>
    <row r="554" customFormat="false" ht="15.75" hidden="false" customHeight="true" outlineLevel="0" collapsed="false">
      <c r="A554" s="89"/>
      <c r="O554" s="90"/>
    </row>
    <row r="555" customFormat="false" ht="15.75" hidden="false" customHeight="true" outlineLevel="0" collapsed="false">
      <c r="A555" s="89"/>
      <c r="O555" s="90"/>
    </row>
    <row r="556" customFormat="false" ht="15.75" hidden="false" customHeight="true" outlineLevel="0" collapsed="false">
      <c r="A556" s="89"/>
      <c r="O556" s="90"/>
    </row>
    <row r="557" customFormat="false" ht="15.75" hidden="false" customHeight="true" outlineLevel="0" collapsed="false">
      <c r="A557" s="89"/>
      <c r="O557" s="90"/>
    </row>
    <row r="558" customFormat="false" ht="15.75" hidden="false" customHeight="true" outlineLevel="0" collapsed="false">
      <c r="A558" s="89"/>
      <c r="O558" s="90"/>
    </row>
    <row r="559" customFormat="false" ht="15.75" hidden="false" customHeight="true" outlineLevel="0" collapsed="false">
      <c r="A559" s="89"/>
      <c r="O559" s="90"/>
    </row>
    <row r="560" customFormat="false" ht="15.75" hidden="false" customHeight="true" outlineLevel="0" collapsed="false">
      <c r="A560" s="89"/>
      <c r="O560" s="90"/>
    </row>
    <row r="561" customFormat="false" ht="15.75" hidden="false" customHeight="true" outlineLevel="0" collapsed="false">
      <c r="A561" s="89"/>
      <c r="O561" s="90"/>
    </row>
    <row r="562" customFormat="false" ht="15.75" hidden="false" customHeight="true" outlineLevel="0" collapsed="false">
      <c r="A562" s="89"/>
      <c r="O562" s="90"/>
    </row>
    <row r="563" customFormat="false" ht="15.75" hidden="false" customHeight="true" outlineLevel="0" collapsed="false">
      <c r="A563" s="89"/>
      <c r="O563" s="90"/>
    </row>
    <row r="564" customFormat="false" ht="15.75" hidden="false" customHeight="true" outlineLevel="0" collapsed="false">
      <c r="A564" s="89"/>
      <c r="O564" s="90"/>
    </row>
    <row r="565" customFormat="false" ht="15.75" hidden="false" customHeight="true" outlineLevel="0" collapsed="false">
      <c r="A565" s="89"/>
      <c r="O565" s="90"/>
    </row>
    <row r="566" customFormat="false" ht="15.75" hidden="false" customHeight="true" outlineLevel="0" collapsed="false">
      <c r="A566" s="89"/>
      <c r="O566" s="90"/>
    </row>
    <row r="567" customFormat="false" ht="15.75" hidden="false" customHeight="true" outlineLevel="0" collapsed="false">
      <c r="A567" s="89"/>
      <c r="O567" s="90"/>
    </row>
    <row r="568" customFormat="false" ht="15.75" hidden="false" customHeight="true" outlineLevel="0" collapsed="false">
      <c r="A568" s="89"/>
      <c r="O568" s="90"/>
    </row>
    <row r="569" customFormat="false" ht="15.75" hidden="false" customHeight="true" outlineLevel="0" collapsed="false">
      <c r="A569" s="89"/>
      <c r="O569" s="90"/>
    </row>
    <row r="570" customFormat="false" ht="15.75" hidden="false" customHeight="true" outlineLevel="0" collapsed="false">
      <c r="A570" s="89"/>
      <c r="O570" s="90"/>
    </row>
    <row r="571" customFormat="false" ht="15.75" hidden="false" customHeight="true" outlineLevel="0" collapsed="false">
      <c r="A571" s="89"/>
      <c r="O571" s="90"/>
    </row>
    <row r="572" customFormat="false" ht="15.75" hidden="false" customHeight="true" outlineLevel="0" collapsed="false">
      <c r="A572" s="89"/>
      <c r="O572" s="90"/>
    </row>
    <row r="573" customFormat="false" ht="15.75" hidden="false" customHeight="true" outlineLevel="0" collapsed="false">
      <c r="A573" s="89"/>
      <c r="O573" s="90"/>
    </row>
    <row r="574" customFormat="false" ht="15.75" hidden="false" customHeight="true" outlineLevel="0" collapsed="false">
      <c r="A574" s="89"/>
      <c r="O574" s="90"/>
    </row>
    <row r="575" customFormat="false" ht="15.75" hidden="false" customHeight="true" outlineLevel="0" collapsed="false">
      <c r="A575" s="89"/>
      <c r="O575" s="90"/>
    </row>
    <row r="576" customFormat="false" ht="15.75" hidden="false" customHeight="true" outlineLevel="0" collapsed="false">
      <c r="A576" s="89"/>
      <c r="O576" s="90"/>
    </row>
    <row r="577" customFormat="false" ht="15.75" hidden="false" customHeight="true" outlineLevel="0" collapsed="false">
      <c r="A577" s="89"/>
      <c r="O577" s="90"/>
    </row>
    <row r="578" customFormat="false" ht="15.75" hidden="false" customHeight="true" outlineLevel="0" collapsed="false">
      <c r="A578" s="89"/>
      <c r="O578" s="90"/>
    </row>
    <row r="579" customFormat="false" ht="15.75" hidden="false" customHeight="true" outlineLevel="0" collapsed="false">
      <c r="A579" s="89"/>
      <c r="O579" s="90"/>
    </row>
    <row r="580" customFormat="false" ht="15.75" hidden="false" customHeight="true" outlineLevel="0" collapsed="false">
      <c r="A580" s="89"/>
      <c r="O580" s="90"/>
    </row>
    <row r="581" customFormat="false" ht="15.75" hidden="false" customHeight="true" outlineLevel="0" collapsed="false">
      <c r="A581" s="89"/>
      <c r="O581" s="90"/>
    </row>
    <row r="582" customFormat="false" ht="15.75" hidden="false" customHeight="true" outlineLevel="0" collapsed="false">
      <c r="A582" s="89"/>
      <c r="O582" s="90"/>
    </row>
    <row r="583" customFormat="false" ht="15.75" hidden="false" customHeight="true" outlineLevel="0" collapsed="false">
      <c r="A583" s="89"/>
      <c r="O583" s="90"/>
    </row>
    <row r="584" customFormat="false" ht="15.75" hidden="false" customHeight="true" outlineLevel="0" collapsed="false">
      <c r="A584" s="89"/>
      <c r="O584" s="90"/>
    </row>
    <row r="585" customFormat="false" ht="15.75" hidden="false" customHeight="true" outlineLevel="0" collapsed="false">
      <c r="A585" s="89"/>
      <c r="O585" s="90"/>
    </row>
    <row r="586" customFormat="false" ht="15.75" hidden="false" customHeight="true" outlineLevel="0" collapsed="false">
      <c r="A586" s="89"/>
      <c r="O586" s="90"/>
    </row>
    <row r="587" customFormat="false" ht="15.75" hidden="false" customHeight="true" outlineLevel="0" collapsed="false">
      <c r="A587" s="89"/>
      <c r="O587" s="90"/>
    </row>
    <row r="588" customFormat="false" ht="15.75" hidden="false" customHeight="true" outlineLevel="0" collapsed="false">
      <c r="A588" s="89"/>
      <c r="O588" s="90"/>
    </row>
    <row r="589" customFormat="false" ht="15.75" hidden="false" customHeight="true" outlineLevel="0" collapsed="false">
      <c r="A589" s="89"/>
      <c r="O589" s="90"/>
    </row>
    <row r="590" customFormat="false" ht="15.75" hidden="false" customHeight="true" outlineLevel="0" collapsed="false">
      <c r="A590" s="89"/>
      <c r="O590" s="90"/>
    </row>
    <row r="591" customFormat="false" ht="15.75" hidden="false" customHeight="true" outlineLevel="0" collapsed="false">
      <c r="A591" s="89"/>
      <c r="O591" s="90"/>
    </row>
    <row r="592" customFormat="false" ht="15.75" hidden="false" customHeight="true" outlineLevel="0" collapsed="false">
      <c r="A592" s="89"/>
      <c r="O592" s="90"/>
    </row>
    <row r="593" customFormat="false" ht="15.75" hidden="false" customHeight="true" outlineLevel="0" collapsed="false">
      <c r="A593" s="89"/>
      <c r="O593" s="90"/>
    </row>
    <row r="594" customFormat="false" ht="15.75" hidden="false" customHeight="true" outlineLevel="0" collapsed="false">
      <c r="A594" s="89"/>
      <c r="O594" s="90"/>
    </row>
    <row r="595" customFormat="false" ht="15.75" hidden="false" customHeight="true" outlineLevel="0" collapsed="false">
      <c r="A595" s="89"/>
      <c r="O595" s="90"/>
    </row>
    <row r="596" customFormat="false" ht="15.75" hidden="false" customHeight="true" outlineLevel="0" collapsed="false">
      <c r="A596" s="89"/>
      <c r="O596" s="90"/>
    </row>
    <row r="597" customFormat="false" ht="15.75" hidden="false" customHeight="true" outlineLevel="0" collapsed="false">
      <c r="A597" s="89"/>
      <c r="O597" s="90"/>
    </row>
    <row r="598" customFormat="false" ht="15.75" hidden="false" customHeight="true" outlineLevel="0" collapsed="false">
      <c r="A598" s="89"/>
      <c r="O598" s="90"/>
    </row>
    <row r="599" customFormat="false" ht="15.75" hidden="false" customHeight="true" outlineLevel="0" collapsed="false">
      <c r="A599" s="89"/>
      <c r="O599" s="90"/>
    </row>
    <row r="600" customFormat="false" ht="15.75" hidden="false" customHeight="true" outlineLevel="0" collapsed="false">
      <c r="A600" s="89"/>
      <c r="O600" s="90"/>
    </row>
    <row r="601" customFormat="false" ht="15.75" hidden="false" customHeight="true" outlineLevel="0" collapsed="false">
      <c r="A601" s="89"/>
      <c r="O601" s="90"/>
    </row>
    <row r="602" customFormat="false" ht="15.75" hidden="false" customHeight="true" outlineLevel="0" collapsed="false">
      <c r="A602" s="89"/>
      <c r="O602" s="90"/>
    </row>
    <row r="603" customFormat="false" ht="15.75" hidden="false" customHeight="true" outlineLevel="0" collapsed="false">
      <c r="A603" s="89"/>
      <c r="O603" s="90"/>
    </row>
    <row r="604" customFormat="false" ht="15.75" hidden="false" customHeight="true" outlineLevel="0" collapsed="false">
      <c r="A604" s="89"/>
      <c r="O604" s="90"/>
    </row>
    <row r="605" customFormat="false" ht="15.75" hidden="false" customHeight="true" outlineLevel="0" collapsed="false">
      <c r="A605" s="89"/>
      <c r="O605" s="90"/>
    </row>
    <row r="606" customFormat="false" ht="15.75" hidden="false" customHeight="true" outlineLevel="0" collapsed="false">
      <c r="A606" s="89"/>
      <c r="O606" s="90"/>
    </row>
    <row r="607" customFormat="false" ht="15.75" hidden="false" customHeight="true" outlineLevel="0" collapsed="false">
      <c r="A607" s="89"/>
      <c r="O607" s="90"/>
    </row>
    <row r="608" customFormat="false" ht="15.75" hidden="false" customHeight="true" outlineLevel="0" collapsed="false">
      <c r="A608" s="89"/>
      <c r="O608" s="90"/>
    </row>
    <row r="609" customFormat="false" ht="15.75" hidden="false" customHeight="true" outlineLevel="0" collapsed="false">
      <c r="A609" s="89"/>
      <c r="O609" s="90"/>
    </row>
    <row r="610" customFormat="false" ht="15.75" hidden="false" customHeight="true" outlineLevel="0" collapsed="false">
      <c r="A610" s="89"/>
      <c r="O610" s="90"/>
    </row>
    <row r="611" customFormat="false" ht="15.75" hidden="false" customHeight="true" outlineLevel="0" collapsed="false">
      <c r="A611" s="89"/>
      <c r="O611" s="90"/>
    </row>
    <row r="612" customFormat="false" ht="15.75" hidden="false" customHeight="true" outlineLevel="0" collapsed="false">
      <c r="A612" s="89"/>
      <c r="O612" s="90"/>
    </row>
    <row r="613" customFormat="false" ht="15.75" hidden="false" customHeight="true" outlineLevel="0" collapsed="false">
      <c r="A613" s="89"/>
      <c r="O613" s="90"/>
    </row>
    <row r="614" customFormat="false" ht="15.75" hidden="false" customHeight="true" outlineLevel="0" collapsed="false">
      <c r="A614" s="89"/>
      <c r="O614" s="90"/>
    </row>
    <row r="615" customFormat="false" ht="15.75" hidden="false" customHeight="true" outlineLevel="0" collapsed="false">
      <c r="A615" s="89"/>
      <c r="O615" s="90"/>
    </row>
    <row r="616" customFormat="false" ht="15.75" hidden="false" customHeight="true" outlineLevel="0" collapsed="false">
      <c r="A616" s="89"/>
      <c r="O616" s="90"/>
    </row>
    <row r="617" customFormat="false" ht="15.75" hidden="false" customHeight="true" outlineLevel="0" collapsed="false">
      <c r="A617" s="89"/>
      <c r="O617" s="90"/>
    </row>
    <row r="618" customFormat="false" ht="15.75" hidden="false" customHeight="true" outlineLevel="0" collapsed="false">
      <c r="A618" s="89"/>
      <c r="O618" s="90"/>
    </row>
    <row r="619" customFormat="false" ht="15.75" hidden="false" customHeight="true" outlineLevel="0" collapsed="false">
      <c r="A619" s="89"/>
      <c r="O619" s="90"/>
    </row>
    <row r="620" customFormat="false" ht="15.75" hidden="false" customHeight="true" outlineLevel="0" collapsed="false">
      <c r="A620" s="89"/>
      <c r="O620" s="90"/>
    </row>
    <row r="621" customFormat="false" ht="15.75" hidden="false" customHeight="true" outlineLevel="0" collapsed="false">
      <c r="A621" s="89"/>
      <c r="O621" s="90"/>
    </row>
    <row r="622" customFormat="false" ht="15.75" hidden="false" customHeight="true" outlineLevel="0" collapsed="false">
      <c r="A622" s="89"/>
      <c r="O622" s="90"/>
    </row>
    <row r="623" customFormat="false" ht="15.75" hidden="false" customHeight="true" outlineLevel="0" collapsed="false">
      <c r="A623" s="89"/>
      <c r="O623" s="90"/>
    </row>
    <row r="624" customFormat="false" ht="15.75" hidden="false" customHeight="true" outlineLevel="0" collapsed="false">
      <c r="A624" s="89"/>
      <c r="O624" s="90"/>
    </row>
    <row r="625" customFormat="false" ht="15.75" hidden="false" customHeight="true" outlineLevel="0" collapsed="false">
      <c r="A625" s="89"/>
      <c r="O625" s="90"/>
    </row>
    <row r="626" customFormat="false" ht="15.75" hidden="false" customHeight="true" outlineLevel="0" collapsed="false">
      <c r="A626" s="89"/>
      <c r="O626" s="90"/>
    </row>
    <row r="627" customFormat="false" ht="15.75" hidden="false" customHeight="true" outlineLevel="0" collapsed="false">
      <c r="A627" s="89"/>
      <c r="O627" s="90"/>
    </row>
    <row r="628" customFormat="false" ht="15.75" hidden="false" customHeight="true" outlineLevel="0" collapsed="false">
      <c r="A628" s="89"/>
      <c r="O628" s="90"/>
    </row>
    <row r="629" customFormat="false" ht="15.75" hidden="false" customHeight="true" outlineLevel="0" collapsed="false">
      <c r="A629" s="89"/>
      <c r="O629" s="90"/>
    </row>
    <row r="630" customFormat="false" ht="15.75" hidden="false" customHeight="true" outlineLevel="0" collapsed="false">
      <c r="A630" s="89"/>
      <c r="O630" s="90"/>
    </row>
    <row r="631" customFormat="false" ht="15.75" hidden="false" customHeight="true" outlineLevel="0" collapsed="false">
      <c r="A631" s="89"/>
      <c r="O631" s="90"/>
    </row>
    <row r="632" customFormat="false" ht="15.75" hidden="false" customHeight="true" outlineLevel="0" collapsed="false">
      <c r="A632" s="89"/>
      <c r="O632" s="90"/>
    </row>
    <row r="633" customFormat="false" ht="15.75" hidden="false" customHeight="true" outlineLevel="0" collapsed="false">
      <c r="A633" s="89"/>
      <c r="O633" s="90"/>
    </row>
    <row r="634" customFormat="false" ht="15.75" hidden="false" customHeight="true" outlineLevel="0" collapsed="false">
      <c r="A634" s="89"/>
      <c r="O634" s="90"/>
    </row>
    <row r="635" customFormat="false" ht="15.75" hidden="false" customHeight="true" outlineLevel="0" collapsed="false">
      <c r="A635" s="89"/>
      <c r="O635" s="90"/>
    </row>
    <row r="636" customFormat="false" ht="15.75" hidden="false" customHeight="true" outlineLevel="0" collapsed="false">
      <c r="A636" s="89"/>
      <c r="O636" s="90"/>
    </row>
    <row r="637" customFormat="false" ht="15.75" hidden="false" customHeight="true" outlineLevel="0" collapsed="false">
      <c r="A637" s="89"/>
      <c r="O637" s="90"/>
    </row>
    <row r="638" customFormat="false" ht="15.75" hidden="false" customHeight="true" outlineLevel="0" collapsed="false">
      <c r="A638" s="89"/>
      <c r="O638" s="90"/>
    </row>
    <row r="639" customFormat="false" ht="15.75" hidden="false" customHeight="true" outlineLevel="0" collapsed="false">
      <c r="A639" s="89"/>
      <c r="O639" s="90"/>
    </row>
    <row r="640" customFormat="false" ht="15.75" hidden="false" customHeight="true" outlineLevel="0" collapsed="false">
      <c r="A640" s="89"/>
      <c r="O640" s="90"/>
    </row>
    <row r="641" customFormat="false" ht="15.75" hidden="false" customHeight="true" outlineLevel="0" collapsed="false">
      <c r="A641" s="89"/>
      <c r="O641" s="90"/>
    </row>
    <row r="642" customFormat="false" ht="15.75" hidden="false" customHeight="true" outlineLevel="0" collapsed="false">
      <c r="A642" s="89"/>
      <c r="O642" s="90"/>
    </row>
    <row r="643" customFormat="false" ht="15.75" hidden="false" customHeight="true" outlineLevel="0" collapsed="false">
      <c r="A643" s="89"/>
      <c r="O643" s="90"/>
    </row>
    <row r="644" customFormat="false" ht="15.75" hidden="false" customHeight="true" outlineLevel="0" collapsed="false">
      <c r="A644" s="89"/>
      <c r="O644" s="90"/>
    </row>
    <row r="645" customFormat="false" ht="15.75" hidden="false" customHeight="true" outlineLevel="0" collapsed="false">
      <c r="A645" s="89"/>
      <c r="O645" s="90"/>
    </row>
    <row r="646" customFormat="false" ht="15.75" hidden="false" customHeight="true" outlineLevel="0" collapsed="false">
      <c r="A646" s="89"/>
      <c r="O646" s="90"/>
    </row>
    <row r="647" customFormat="false" ht="15.75" hidden="false" customHeight="true" outlineLevel="0" collapsed="false">
      <c r="A647" s="89"/>
      <c r="O647" s="90"/>
    </row>
    <row r="648" customFormat="false" ht="15.75" hidden="false" customHeight="true" outlineLevel="0" collapsed="false">
      <c r="A648" s="89"/>
      <c r="O648" s="90"/>
    </row>
    <row r="649" customFormat="false" ht="15.75" hidden="false" customHeight="true" outlineLevel="0" collapsed="false">
      <c r="A649" s="89"/>
      <c r="O649" s="90"/>
    </row>
    <row r="650" customFormat="false" ht="15.75" hidden="false" customHeight="true" outlineLevel="0" collapsed="false">
      <c r="A650" s="89"/>
      <c r="O650" s="90"/>
    </row>
    <row r="651" customFormat="false" ht="15.75" hidden="false" customHeight="true" outlineLevel="0" collapsed="false">
      <c r="A651" s="89"/>
      <c r="O651" s="90"/>
    </row>
    <row r="652" customFormat="false" ht="15.75" hidden="false" customHeight="true" outlineLevel="0" collapsed="false">
      <c r="A652" s="89"/>
      <c r="O652" s="90"/>
    </row>
    <row r="653" customFormat="false" ht="15.75" hidden="false" customHeight="true" outlineLevel="0" collapsed="false">
      <c r="A653" s="89"/>
      <c r="O653" s="90"/>
    </row>
    <row r="654" customFormat="false" ht="15.75" hidden="false" customHeight="true" outlineLevel="0" collapsed="false">
      <c r="A654" s="89"/>
      <c r="O654" s="90"/>
    </row>
    <row r="655" customFormat="false" ht="15.75" hidden="false" customHeight="true" outlineLevel="0" collapsed="false">
      <c r="A655" s="89"/>
      <c r="O655" s="90"/>
    </row>
    <row r="656" customFormat="false" ht="15.75" hidden="false" customHeight="true" outlineLevel="0" collapsed="false">
      <c r="A656" s="89"/>
      <c r="O656" s="90"/>
    </row>
    <row r="657" customFormat="false" ht="15.75" hidden="false" customHeight="true" outlineLevel="0" collapsed="false">
      <c r="A657" s="89"/>
      <c r="O657" s="90"/>
    </row>
    <row r="658" customFormat="false" ht="15.75" hidden="false" customHeight="true" outlineLevel="0" collapsed="false">
      <c r="A658" s="89"/>
      <c r="O658" s="90"/>
    </row>
    <row r="659" customFormat="false" ht="15.75" hidden="false" customHeight="true" outlineLevel="0" collapsed="false">
      <c r="A659" s="89"/>
      <c r="O659" s="90"/>
    </row>
    <row r="660" customFormat="false" ht="15.75" hidden="false" customHeight="true" outlineLevel="0" collapsed="false">
      <c r="A660" s="89"/>
      <c r="O660" s="90"/>
    </row>
    <row r="661" customFormat="false" ht="15.75" hidden="false" customHeight="true" outlineLevel="0" collapsed="false">
      <c r="A661" s="89"/>
      <c r="O661" s="90"/>
    </row>
    <row r="662" customFormat="false" ht="15.75" hidden="false" customHeight="true" outlineLevel="0" collapsed="false">
      <c r="A662" s="89"/>
      <c r="O662" s="90"/>
    </row>
    <row r="663" customFormat="false" ht="15.75" hidden="false" customHeight="true" outlineLevel="0" collapsed="false">
      <c r="A663" s="89"/>
      <c r="O663" s="90"/>
    </row>
    <row r="664" customFormat="false" ht="15.75" hidden="false" customHeight="true" outlineLevel="0" collapsed="false">
      <c r="A664" s="89"/>
      <c r="O664" s="90"/>
    </row>
    <row r="665" customFormat="false" ht="15.75" hidden="false" customHeight="true" outlineLevel="0" collapsed="false">
      <c r="A665" s="89"/>
      <c r="O665" s="90"/>
    </row>
    <row r="666" customFormat="false" ht="15.75" hidden="false" customHeight="true" outlineLevel="0" collapsed="false">
      <c r="A666" s="89"/>
      <c r="O666" s="90"/>
    </row>
    <row r="667" customFormat="false" ht="15.75" hidden="false" customHeight="true" outlineLevel="0" collapsed="false">
      <c r="A667" s="89"/>
      <c r="O667" s="90"/>
    </row>
    <row r="668" customFormat="false" ht="15.75" hidden="false" customHeight="true" outlineLevel="0" collapsed="false">
      <c r="A668" s="89"/>
      <c r="O668" s="90"/>
    </row>
    <row r="669" customFormat="false" ht="15.75" hidden="false" customHeight="true" outlineLevel="0" collapsed="false">
      <c r="A669" s="89"/>
      <c r="O669" s="90"/>
    </row>
    <row r="670" customFormat="false" ht="15.75" hidden="false" customHeight="true" outlineLevel="0" collapsed="false">
      <c r="A670" s="89"/>
      <c r="O670" s="90"/>
    </row>
    <row r="671" customFormat="false" ht="15.75" hidden="false" customHeight="true" outlineLevel="0" collapsed="false">
      <c r="A671" s="89"/>
      <c r="O671" s="90"/>
    </row>
    <row r="672" customFormat="false" ht="15.75" hidden="false" customHeight="true" outlineLevel="0" collapsed="false">
      <c r="A672" s="89"/>
      <c r="O672" s="90"/>
    </row>
    <row r="673" customFormat="false" ht="15.75" hidden="false" customHeight="true" outlineLevel="0" collapsed="false">
      <c r="A673" s="89"/>
      <c r="O673" s="90"/>
    </row>
    <row r="674" customFormat="false" ht="15.75" hidden="false" customHeight="true" outlineLevel="0" collapsed="false">
      <c r="A674" s="89"/>
      <c r="O674" s="90"/>
    </row>
    <row r="675" customFormat="false" ht="15.75" hidden="false" customHeight="true" outlineLevel="0" collapsed="false">
      <c r="A675" s="89"/>
      <c r="O675" s="90"/>
    </row>
    <row r="676" customFormat="false" ht="15.75" hidden="false" customHeight="true" outlineLevel="0" collapsed="false">
      <c r="A676" s="89"/>
      <c r="O676" s="90"/>
    </row>
    <row r="677" customFormat="false" ht="15.75" hidden="false" customHeight="true" outlineLevel="0" collapsed="false">
      <c r="A677" s="89"/>
      <c r="O677" s="90"/>
    </row>
    <row r="678" customFormat="false" ht="15.75" hidden="false" customHeight="true" outlineLevel="0" collapsed="false">
      <c r="A678" s="89"/>
      <c r="O678" s="90"/>
    </row>
    <row r="679" customFormat="false" ht="15.75" hidden="false" customHeight="true" outlineLevel="0" collapsed="false">
      <c r="A679" s="89"/>
      <c r="O679" s="90"/>
    </row>
    <row r="680" customFormat="false" ht="15.75" hidden="false" customHeight="true" outlineLevel="0" collapsed="false">
      <c r="A680" s="89"/>
      <c r="O680" s="90"/>
    </row>
    <row r="681" customFormat="false" ht="15.75" hidden="false" customHeight="true" outlineLevel="0" collapsed="false">
      <c r="A681" s="89"/>
      <c r="O681" s="90"/>
    </row>
    <row r="682" customFormat="false" ht="15.75" hidden="false" customHeight="true" outlineLevel="0" collapsed="false">
      <c r="A682" s="89"/>
      <c r="O682" s="90"/>
    </row>
    <row r="683" customFormat="false" ht="15.75" hidden="false" customHeight="true" outlineLevel="0" collapsed="false">
      <c r="A683" s="89"/>
      <c r="O683" s="90"/>
    </row>
    <row r="684" customFormat="false" ht="15.75" hidden="false" customHeight="true" outlineLevel="0" collapsed="false">
      <c r="A684" s="89"/>
      <c r="O684" s="90"/>
    </row>
    <row r="685" customFormat="false" ht="15.75" hidden="false" customHeight="true" outlineLevel="0" collapsed="false">
      <c r="A685" s="89"/>
      <c r="O685" s="90"/>
    </row>
    <row r="686" customFormat="false" ht="15.75" hidden="false" customHeight="true" outlineLevel="0" collapsed="false">
      <c r="A686" s="89"/>
      <c r="O686" s="90"/>
    </row>
    <row r="687" customFormat="false" ht="15.75" hidden="false" customHeight="true" outlineLevel="0" collapsed="false">
      <c r="A687" s="89"/>
      <c r="O687" s="90"/>
    </row>
    <row r="688" customFormat="false" ht="15.75" hidden="false" customHeight="true" outlineLevel="0" collapsed="false">
      <c r="A688" s="89"/>
      <c r="O688" s="90"/>
    </row>
    <row r="689" customFormat="false" ht="15.75" hidden="false" customHeight="true" outlineLevel="0" collapsed="false">
      <c r="A689" s="89"/>
      <c r="O689" s="90"/>
    </row>
    <row r="690" customFormat="false" ht="15.75" hidden="false" customHeight="true" outlineLevel="0" collapsed="false">
      <c r="A690" s="89"/>
      <c r="O690" s="90"/>
    </row>
    <row r="691" customFormat="false" ht="15.75" hidden="false" customHeight="true" outlineLevel="0" collapsed="false">
      <c r="A691" s="89"/>
      <c r="O691" s="90"/>
    </row>
    <row r="692" customFormat="false" ht="15.75" hidden="false" customHeight="true" outlineLevel="0" collapsed="false">
      <c r="A692" s="89"/>
      <c r="O692" s="90"/>
    </row>
    <row r="693" customFormat="false" ht="15.75" hidden="false" customHeight="true" outlineLevel="0" collapsed="false">
      <c r="A693" s="89"/>
      <c r="O693" s="90"/>
    </row>
    <row r="694" customFormat="false" ht="15.75" hidden="false" customHeight="true" outlineLevel="0" collapsed="false">
      <c r="A694" s="89"/>
      <c r="O694" s="90"/>
    </row>
    <row r="695" customFormat="false" ht="15.75" hidden="false" customHeight="true" outlineLevel="0" collapsed="false">
      <c r="A695" s="89"/>
      <c r="O695" s="90"/>
    </row>
    <row r="696" customFormat="false" ht="15.75" hidden="false" customHeight="true" outlineLevel="0" collapsed="false">
      <c r="A696" s="89"/>
      <c r="O696" s="90"/>
    </row>
    <row r="697" customFormat="false" ht="15.75" hidden="false" customHeight="true" outlineLevel="0" collapsed="false">
      <c r="A697" s="89"/>
      <c r="O697" s="90"/>
    </row>
    <row r="698" customFormat="false" ht="15.75" hidden="false" customHeight="true" outlineLevel="0" collapsed="false">
      <c r="A698" s="89"/>
      <c r="O698" s="90"/>
    </row>
    <row r="699" customFormat="false" ht="15.75" hidden="false" customHeight="true" outlineLevel="0" collapsed="false">
      <c r="A699" s="89"/>
      <c r="O699" s="90"/>
    </row>
    <row r="700" customFormat="false" ht="15.75" hidden="false" customHeight="true" outlineLevel="0" collapsed="false">
      <c r="A700" s="89"/>
      <c r="O700" s="90"/>
    </row>
    <row r="701" customFormat="false" ht="15.75" hidden="false" customHeight="true" outlineLevel="0" collapsed="false">
      <c r="A701" s="89"/>
      <c r="O701" s="90"/>
    </row>
    <row r="702" customFormat="false" ht="15.75" hidden="false" customHeight="true" outlineLevel="0" collapsed="false">
      <c r="A702" s="89"/>
      <c r="O702" s="90"/>
    </row>
    <row r="703" customFormat="false" ht="15.75" hidden="false" customHeight="true" outlineLevel="0" collapsed="false">
      <c r="A703" s="89"/>
      <c r="O703" s="90"/>
    </row>
    <row r="704" customFormat="false" ht="15.75" hidden="false" customHeight="true" outlineLevel="0" collapsed="false">
      <c r="A704" s="89"/>
      <c r="O704" s="90"/>
    </row>
    <row r="705" customFormat="false" ht="15.75" hidden="false" customHeight="true" outlineLevel="0" collapsed="false">
      <c r="A705" s="89"/>
      <c r="O705" s="90"/>
    </row>
    <row r="706" customFormat="false" ht="15.75" hidden="false" customHeight="true" outlineLevel="0" collapsed="false">
      <c r="A706" s="89"/>
      <c r="O706" s="90"/>
    </row>
    <row r="707" customFormat="false" ht="15.75" hidden="false" customHeight="true" outlineLevel="0" collapsed="false">
      <c r="A707" s="89"/>
      <c r="O707" s="90"/>
    </row>
    <row r="708" customFormat="false" ht="15.75" hidden="false" customHeight="true" outlineLevel="0" collapsed="false">
      <c r="A708" s="89"/>
      <c r="O708" s="90"/>
    </row>
    <row r="709" customFormat="false" ht="15.75" hidden="false" customHeight="true" outlineLevel="0" collapsed="false">
      <c r="A709" s="89"/>
      <c r="O709" s="90"/>
    </row>
    <row r="710" customFormat="false" ht="15.75" hidden="false" customHeight="true" outlineLevel="0" collapsed="false">
      <c r="A710" s="89"/>
      <c r="O710" s="90"/>
    </row>
    <row r="711" customFormat="false" ht="15.75" hidden="false" customHeight="true" outlineLevel="0" collapsed="false">
      <c r="A711" s="89"/>
      <c r="O711" s="90"/>
    </row>
    <row r="712" customFormat="false" ht="15.75" hidden="false" customHeight="true" outlineLevel="0" collapsed="false">
      <c r="A712" s="89"/>
      <c r="O712" s="90"/>
    </row>
    <row r="713" customFormat="false" ht="15.75" hidden="false" customHeight="true" outlineLevel="0" collapsed="false">
      <c r="A713" s="89"/>
      <c r="O713" s="90"/>
    </row>
    <row r="714" customFormat="false" ht="15.75" hidden="false" customHeight="true" outlineLevel="0" collapsed="false">
      <c r="A714" s="89"/>
      <c r="O714" s="90"/>
    </row>
    <row r="715" customFormat="false" ht="15.75" hidden="false" customHeight="true" outlineLevel="0" collapsed="false">
      <c r="A715" s="89"/>
      <c r="O715" s="90"/>
    </row>
    <row r="716" customFormat="false" ht="15.75" hidden="false" customHeight="true" outlineLevel="0" collapsed="false">
      <c r="A716" s="89"/>
      <c r="O716" s="90"/>
    </row>
    <row r="717" customFormat="false" ht="15.75" hidden="false" customHeight="true" outlineLevel="0" collapsed="false">
      <c r="A717" s="89"/>
      <c r="O717" s="90"/>
    </row>
    <row r="718" customFormat="false" ht="15.75" hidden="false" customHeight="true" outlineLevel="0" collapsed="false">
      <c r="A718" s="89"/>
      <c r="O718" s="90"/>
    </row>
    <row r="719" customFormat="false" ht="15.75" hidden="false" customHeight="true" outlineLevel="0" collapsed="false">
      <c r="A719" s="89"/>
      <c r="O719" s="90"/>
    </row>
    <row r="720" customFormat="false" ht="15.75" hidden="false" customHeight="true" outlineLevel="0" collapsed="false">
      <c r="A720" s="89"/>
      <c r="O720" s="90"/>
    </row>
    <row r="721" customFormat="false" ht="15.75" hidden="false" customHeight="true" outlineLevel="0" collapsed="false">
      <c r="A721" s="89"/>
      <c r="O721" s="90"/>
    </row>
    <row r="722" customFormat="false" ht="15.75" hidden="false" customHeight="true" outlineLevel="0" collapsed="false">
      <c r="A722" s="89"/>
      <c r="O722" s="90"/>
    </row>
    <row r="723" customFormat="false" ht="15.75" hidden="false" customHeight="true" outlineLevel="0" collapsed="false">
      <c r="A723" s="89"/>
      <c r="O723" s="90"/>
    </row>
    <row r="724" customFormat="false" ht="15.75" hidden="false" customHeight="true" outlineLevel="0" collapsed="false">
      <c r="A724" s="89"/>
      <c r="O724" s="90"/>
    </row>
    <row r="725" customFormat="false" ht="15.75" hidden="false" customHeight="true" outlineLevel="0" collapsed="false">
      <c r="A725" s="89"/>
      <c r="O725" s="90"/>
    </row>
    <row r="726" customFormat="false" ht="15.75" hidden="false" customHeight="true" outlineLevel="0" collapsed="false">
      <c r="A726" s="89"/>
      <c r="O726" s="90"/>
    </row>
    <row r="727" customFormat="false" ht="15.75" hidden="false" customHeight="true" outlineLevel="0" collapsed="false">
      <c r="A727" s="89"/>
      <c r="O727" s="90"/>
    </row>
    <row r="728" customFormat="false" ht="15.75" hidden="false" customHeight="true" outlineLevel="0" collapsed="false">
      <c r="A728" s="89"/>
      <c r="O728" s="90"/>
    </row>
    <row r="729" customFormat="false" ht="15.75" hidden="false" customHeight="true" outlineLevel="0" collapsed="false">
      <c r="A729" s="89"/>
      <c r="O729" s="90"/>
    </row>
    <row r="730" customFormat="false" ht="15.75" hidden="false" customHeight="true" outlineLevel="0" collapsed="false">
      <c r="A730" s="89"/>
      <c r="O730" s="90"/>
    </row>
    <row r="731" customFormat="false" ht="15.75" hidden="false" customHeight="true" outlineLevel="0" collapsed="false">
      <c r="A731" s="89"/>
      <c r="O731" s="90"/>
    </row>
    <row r="732" customFormat="false" ht="15.75" hidden="false" customHeight="true" outlineLevel="0" collapsed="false">
      <c r="A732" s="89"/>
      <c r="O732" s="90"/>
    </row>
    <row r="733" customFormat="false" ht="15.75" hidden="false" customHeight="true" outlineLevel="0" collapsed="false">
      <c r="A733" s="89"/>
      <c r="O733" s="90"/>
    </row>
    <row r="734" customFormat="false" ht="15.75" hidden="false" customHeight="true" outlineLevel="0" collapsed="false">
      <c r="A734" s="89"/>
      <c r="O734" s="90"/>
    </row>
    <row r="735" customFormat="false" ht="15.75" hidden="false" customHeight="true" outlineLevel="0" collapsed="false">
      <c r="A735" s="89"/>
      <c r="O735" s="90"/>
    </row>
    <row r="736" customFormat="false" ht="15.75" hidden="false" customHeight="true" outlineLevel="0" collapsed="false">
      <c r="A736" s="89"/>
      <c r="O736" s="90"/>
    </row>
    <row r="737" customFormat="false" ht="15.75" hidden="false" customHeight="true" outlineLevel="0" collapsed="false">
      <c r="A737" s="89"/>
      <c r="O737" s="90"/>
    </row>
    <row r="738" customFormat="false" ht="15.75" hidden="false" customHeight="true" outlineLevel="0" collapsed="false">
      <c r="A738" s="89"/>
      <c r="O738" s="90"/>
    </row>
    <row r="739" customFormat="false" ht="15.75" hidden="false" customHeight="true" outlineLevel="0" collapsed="false">
      <c r="A739" s="89"/>
      <c r="O739" s="90"/>
    </row>
    <row r="740" customFormat="false" ht="15.75" hidden="false" customHeight="true" outlineLevel="0" collapsed="false">
      <c r="A740" s="89"/>
      <c r="O740" s="90"/>
    </row>
    <row r="741" customFormat="false" ht="15.75" hidden="false" customHeight="true" outlineLevel="0" collapsed="false">
      <c r="A741" s="89"/>
      <c r="O741" s="90"/>
    </row>
    <row r="742" customFormat="false" ht="15.75" hidden="false" customHeight="true" outlineLevel="0" collapsed="false">
      <c r="A742" s="89"/>
      <c r="O742" s="90"/>
    </row>
    <row r="743" customFormat="false" ht="15.75" hidden="false" customHeight="true" outlineLevel="0" collapsed="false">
      <c r="A743" s="89"/>
      <c r="O743" s="90"/>
    </row>
    <row r="744" customFormat="false" ht="15.75" hidden="false" customHeight="true" outlineLevel="0" collapsed="false">
      <c r="A744" s="89"/>
      <c r="O744" s="90"/>
    </row>
    <row r="745" customFormat="false" ht="15.75" hidden="false" customHeight="true" outlineLevel="0" collapsed="false">
      <c r="A745" s="89"/>
      <c r="O745" s="90"/>
    </row>
    <row r="746" customFormat="false" ht="15.75" hidden="false" customHeight="true" outlineLevel="0" collapsed="false">
      <c r="A746" s="89"/>
      <c r="O746" s="90"/>
    </row>
    <row r="747" customFormat="false" ht="15.75" hidden="false" customHeight="true" outlineLevel="0" collapsed="false">
      <c r="A747" s="89"/>
      <c r="O747" s="90"/>
    </row>
    <row r="748" customFormat="false" ht="15.75" hidden="false" customHeight="true" outlineLevel="0" collapsed="false">
      <c r="A748" s="89"/>
      <c r="O748" s="90"/>
    </row>
    <row r="749" customFormat="false" ht="15.75" hidden="false" customHeight="true" outlineLevel="0" collapsed="false">
      <c r="A749" s="89"/>
      <c r="O749" s="90"/>
    </row>
    <row r="750" customFormat="false" ht="15.75" hidden="false" customHeight="true" outlineLevel="0" collapsed="false">
      <c r="A750" s="89"/>
      <c r="O750" s="90"/>
    </row>
    <row r="751" customFormat="false" ht="15.75" hidden="false" customHeight="true" outlineLevel="0" collapsed="false">
      <c r="A751" s="89"/>
      <c r="O751" s="90"/>
    </row>
    <row r="752" customFormat="false" ht="15.75" hidden="false" customHeight="true" outlineLevel="0" collapsed="false">
      <c r="A752" s="89"/>
      <c r="O752" s="90"/>
    </row>
    <row r="753" customFormat="false" ht="15.75" hidden="false" customHeight="true" outlineLevel="0" collapsed="false">
      <c r="A753" s="89"/>
      <c r="O753" s="90"/>
    </row>
    <row r="754" customFormat="false" ht="15.75" hidden="false" customHeight="true" outlineLevel="0" collapsed="false">
      <c r="A754" s="89"/>
      <c r="O754" s="90"/>
    </row>
    <row r="755" customFormat="false" ht="15.75" hidden="false" customHeight="true" outlineLevel="0" collapsed="false">
      <c r="A755" s="89"/>
      <c r="O755" s="90"/>
    </row>
    <row r="756" customFormat="false" ht="15.75" hidden="false" customHeight="true" outlineLevel="0" collapsed="false">
      <c r="A756" s="89"/>
      <c r="O756" s="90"/>
    </row>
    <row r="757" customFormat="false" ht="15.75" hidden="false" customHeight="true" outlineLevel="0" collapsed="false">
      <c r="A757" s="89"/>
      <c r="O757" s="90"/>
    </row>
    <row r="758" customFormat="false" ht="15.75" hidden="false" customHeight="true" outlineLevel="0" collapsed="false">
      <c r="A758" s="89"/>
      <c r="O758" s="90"/>
    </row>
    <row r="759" customFormat="false" ht="15.75" hidden="false" customHeight="true" outlineLevel="0" collapsed="false">
      <c r="A759" s="89"/>
      <c r="O759" s="90"/>
    </row>
    <row r="760" customFormat="false" ht="15.75" hidden="false" customHeight="true" outlineLevel="0" collapsed="false">
      <c r="A760" s="89"/>
      <c r="O760" s="90"/>
    </row>
    <row r="761" customFormat="false" ht="15.75" hidden="false" customHeight="true" outlineLevel="0" collapsed="false">
      <c r="A761" s="89"/>
      <c r="O761" s="90"/>
    </row>
    <row r="762" customFormat="false" ht="15.75" hidden="false" customHeight="true" outlineLevel="0" collapsed="false">
      <c r="A762" s="89"/>
      <c r="O762" s="90"/>
    </row>
    <row r="763" customFormat="false" ht="15.75" hidden="false" customHeight="true" outlineLevel="0" collapsed="false">
      <c r="A763" s="89"/>
      <c r="O763" s="90"/>
    </row>
    <row r="764" customFormat="false" ht="15.75" hidden="false" customHeight="true" outlineLevel="0" collapsed="false">
      <c r="A764" s="89"/>
      <c r="O764" s="90"/>
    </row>
    <row r="765" customFormat="false" ht="15.75" hidden="false" customHeight="true" outlineLevel="0" collapsed="false">
      <c r="A765" s="89"/>
      <c r="O765" s="90"/>
    </row>
    <row r="766" customFormat="false" ht="15.75" hidden="false" customHeight="true" outlineLevel="0" collapsed="false">
      <c r="A766" s="89"/>
      <c r="O766" s="90"/>
    </row>
    <row r="767" customFormat="false" ht="15.75" hidden="false" customHeight="true" outlineLevel="0" collapsed="false">
      <c r="A767" s="89"/>
      <c r="O767" s="90"/>
    </row>
    <row r="768" customFormat="false" ht="15.75" hidden="false" customHeight="true" outlineLevel="0" collapsed="false">
      <c r="A768" s="89"/>
      <c r="O768" s="90"/>
    </row>
    <row r="769" customFormat="false" ht="15.75" hidden="false" customHeight="true" outlineLevel="0" collapsed="false">
      <c r="A769" s="89"/>
      <c r="O769" s="90"/>
    </row>
    <row r="770" customFormat="false" ht="15.75" hidden="false" customHeight="true" outlineLevel="0" collapsed="false">
      <c r="A770" s="89"/>
      <c r="O770" s="90"/>
    </row>
    <row r="771" customFormat="false" ht="15.75" hidden="false" customHeight="true" outlineLevel="0" collapsed="false">
      <c r="A771" s="89"/>
      <c r="O771" s="90"/>
    </row>
    <row r="772" customFormat="false" ht="15.75" hidden="false" customHeight="true" outlineLevel="0" collapsed="false">
      <c r="A772" s="89"/>
      <c r="O772" s="90"/>
    </row>
    <row r="773" customFormat="false" ht="15.75" hidden="false" customHeight="true" outlineLevel="0" collapsed="false">
      <c r="A773" s="89"/>
      <c r="O773" s="90"/>
    </row>
    <row r="774" customFormat="false" ht="15.75" hidden="false" customHeight="true" outlineLevel="0" collapsed="false">
      <c r="A774" s="89"/>
      <c r="O774" s="90"/>
    </row>
    <row r="775" customFormat="false" ht="15.75" hidden="false" customHeight="true" outlineLevel="0" collapsed="false">
      <c r="A775" s="89"/>
      <c r="O775" s="90"/>
    </row>
    <row r="776" customFormat="false" ht="15.75" hidden="false" customHeight="true" outlineLevel="0" collapsed="false">
      <c r="A776" s="89"/>
      <c r="O776" s="90"/>
    </row>
    <row r="777" customFormat="false" ht="15.75" hidden="false" customHeight="true" outlineLevel="0" collapsed="false">
      <c r="A777" s="89"/>
      <c r="O777" s="90"/>
    </row>
    <row r="778" customFormat="false" ht="15.75" hidden="false" customHeight="true" outlineLevel="0" collapsed="false">
      <c r="A778" s="89"/>
      <c r="O778" s="90"/>
    </row>
    <row r="779" customFormat="false" ht="15.75" hidden="false" customHeight="true" outlineLevel="0" collapsed="false">
      <c r="A779" s="89"/>
      <c r="O779" s="90"/>
    </row>
    <row r="780" customFormat="false" ht="15.75" hidden="false" customHeight="true" outlineLevel="0" collapsed="false">
      <c r="A780" s="89"/>
      <c r="O780" s="90"/>
    </row>
    <row r="781" customFormat="false" ht="15.75" hidden="false" customHeight="true" outlineLevel="0" collapsed="false">
      <c r="A781" s="89"/>
      <c r="O781" s="90"/>
    </row>
    <row r="782" customFormat="false" ht="15.75" hidden="false" customHeight="true" outlineLevel="0" collapsed="false">
      <c r="A782" s="89"/>
      <c r="O782" s="90"/>
    </row>
    <row r="783" customFormat="false" ht="15.75" hidden="false" customHeight="true" outlineLevel="0" collapsed="false">
      <c r="A783" s="89"/>
      <c r="O783" s="90"/>
    </row>
    <row r="784" customFormat="false" ht="15.75" hidden="false" customHeight="true" outlineLevel="0" collapsed="false">
      <c r="A784" s="89"/>
      <c r="O784" s="90"/>
    </row>
    <row r="785" customFormat="false" ht="15.75" hidden="false" customHeight="true" outlineLevel="0" collapsed="false">
      <c r="A785" s="89"/>
      <c r="O785" s="90"/>
    </row>
    <row r="786" customFormat="false" ht="15.75" hidden="false" customHeight="true" outlineLevel="0" collapsed="false">
      <c r="A786" s="89"/>
      <c r="O786" s="90"/>
    </row>
    <row r="787" customFormat="false" ht="15.75" hidden="false" customHeight="true" outlineLevel="0" collapsed="false">
      <c r="A787" s="89"/>
      <c r="O787" s="90"/>
    </row>
    <row r="788" customFormat="false" ht="15.75" hidden="false" customHeight="true" outlineLevel="0" collapsed="false">
      <c r="A788" s="89"/>
      <c r="O788" s="90"/>
    </row>
    <row r="789" customFormat="false" ht="15.75" hidden="false" customHeight="true" outlineLevel="0" collapsed="false">
      <c r="A789" s="89"/>
      <c r="O789" s="90"/>
    </row>
    <row r="790" customFormat="false" ht="15.75" hidden="false" customHeight="true" outlineLevel="0" collapsed="false">
      <c r="A790" s="89"/>
      <c r="O790" s="90"/>
    </row>
    <row r="791" customFormat="false" ht="15.75" hidden="false" customHeight="true" outlineLevel="0" collapsed="false">
      <c r="A791" s="89"/>
      <c r="O791" s="90"/>
    </row>
    <row r="792" customFormat="false" ht="15.75" hidden="false" customHeight="true" outlineLevel="0" collapsed="false">
      <c r="A792" s="89"/>
      <c r="O792" s="90"/>
    </row>
    <row r="793" customFormat="false" ht="15.75" hidden="false" customHeight="true" outlineLevel="0" collapsed="false">
      <c r="A793" s="89"/>
      <c r="O793" s="90"/>
    </row>
    <row r="794" customFormat="false" ht="15.75" hidden="false" customHeight="true" outlineLevel="0" collapsed="false">
      <c r="A794" s="89"/>
      <c r="O794" s="90"/>
    </row>
    <row r="795" customFormat="false" ht="15.75" hidden="false" customHeight="true" outlineLevel="0" collapsed="false">
      <c r="A795" s="89"/>
      <c r="O795" s="90"/>
    </row>
    <row r="796" customFormat="false" ht="15.75" hidden="false" customHeight="true" outlineLevel="0" collapsed="false">
      <c r="A796" s="89"/>
      <c r="O796" s="90"/>
    </row>
    <row r="797" customFormat="false" ht="15.75" hidden="false" customHeight="true" outlineLevel="0" collapsed="false">
      <c r="A797" s="89"/>
      <c r="O797" s="90"/>
    </row>
    <row r="798" customFormat="false" ht="15.75" hidden="false" customHeight="true" outlineLevel="0" collapsed="false">
      <c r="A798" s="89"/>
      <c r="O798" s="90"/>
    </row>
    <row r="799" customFormat="false" ht="15.75" hidden="false" customHeight="true" outlineLevel="0" collapsed="false">
      <c r="A799" s="89"/>
      <c r="O799" s="90"/>
    </row>
    <row r="800" customFormat="false" ht="15.75" hidden="false" customHeight="true" outlineLevel="0" collapsed="false">
      <c r="A800" s="89"/>
      <c r="O800" s="90"/>
    </row>
    <row r="801" customFormat="false" ht="15.75" hidden="false" customHeight="true" outlineLevel="0" collapsed="false">
      <c r="A801" s="89"/>
      <c r="O801" s="90"/>
    </row>
    <row r="802" customFormat="false" ht="15.75" hidden="false" customHeight="true" outlineLevel="0" collapsed="false">
      <c r="A802" s="89"/>
      <c r="O802" s="90"/>
    </row>
    <row r="803" customFormat="false" ht="15.75" hidden="false" customHeight="true" outlineLevel="0" collapsed="false">
      <c r="A803" s="89"/>
      <c r="O803" s="90"/>
    </row>
    <row r="804" customFormat="false" ht="15.75" hidden="false" customHeight="true" outlineLevel="0" collapsed="false">
      <c r="A804" s="89"/>
      <c r="O804" s="90"/>
    </row>
    <row r="805" customFormat="false" ht="15.75" hidden="false" customHeight="true" outlineLevel="0" collapsed="false">
      <c r="A805" s="89"/>
      <c r="O805" s="90"/>
    </row>
    <row r="806" customFormat="false" ht="15.75" hidden="false" customHeight="true" outlineLevel="0" collapsed="false">
      <c r="A806" s="89"/>
      <c r="O806" s="90"/>
    </row>
    <row r="807" customFormat="false" ht="15.75" hidden="false" customHeight="true" outlineLevel="0" collapsed="false">
      <c r="A807" s="89"/>
      <c r="O807" s="90"/>
    </row>
    <row r="808" customFormat="false" ht="15.75" hidden="false" customHeight="true" outlineLevel="0" collapsed="false">
      <c r="A808" s="89"/>
      <c r="O808" s="90"/>
    </row>
    <row r="809" customFormat="false" ht="15.75" hidden="false" customHeight="true" outlineLevel="0" collapsed="false">
      <c r="A809" s="89"/>
      <c r="O809" s="90"/>
    </row>
    <row r="810" customFormat="false" ht="15.75" hidden="false" customHeight="true" outlineLevel="0" collapsed="false">
      <c r="A810" s="89"/>
      <c r="O810" s="90"/>
    </row>
    <row r="811" customFormat="false" ht="15.75" hidden="false" customHeight="true" outlineLevel="0" collapsed="false">
      <c r="A811" s="89"/>
      <c r="O811" s="90"/>
    </row>
    <row r="812" customFormat="false" ht="15.75" hidden="false" customHeight="true" outlineLevel="0" collapsed="false">
      <c r="A812" s="89"/>
      <c r="O812" s="90"/>
    </row>
    <row r="813" customFormat="false" ht="15.75" hidden="false" customHeight="true" outlineLevel="0" collapsed="false">
      <c r="A813" s="89"/>
      <c r="O813" s="90"/>
    </row>
    <row r="814" customFormat="false" ht="15.75" hidden="false" customHeight="true" outlineLevel="0" collapsed="false">
      <c r="A814" s="89"/>
      <c r="O814" s="90"/>
    </row>
    <row r="815" customFormat="false" ht="15.75" hidden="false" customHeight="true" outlineLevel="0" collapsed="false">
      <c r="A815" s="89"/>
      <c r="O815" s="90"/>
    </row>
    <row r="816" customFormat="false" ht="15.75" hidden="false" customHeight="true" outlineLevel="0" collapsed="false">
      <c r="A816" s="89"/>
      <c r="O816" s="90"/>
    </row>
    <row r="817" customFormat="false" ht="15.75" hidden="false" customHeight="true" outlineLevel="0" collapsed="false">
      <c r="A817" s="89"/>
      <c r="O817" s="90"/>
    </row>
    <row r="818" customFormat="false" ht="15.75" hidden="false" customHeight="true" outlineLevel="0" collapsed="false">
      <c r="A818" s="89"/>
      <c r="O818" s="90"/>
    </row>
    <row r="819" customFormat="false" ht="15.75" hidden="false" customHeight="true" outlineLevel="0" collapsed="false">
      <c r="A819" s="89"/>
      <c r="O819" s="90"/>
    </row>
    <row r="820" customFormat="false" ht="15.75" hidden="false" customHeight="true" outlineLevel="0" collapsed="false">
      <c r="A820" s="89"/>
      <c r="O820" s="90"/>
    </row>
    <row r="821" customFormat="false" ht="15.75" hidden="false" customHeight="true" outlineLevel="0" collapsed="false">
      <c r="A821" s="89"/>
      <c r="O821" s="90"/>
    </row>
    <row r="822" customFormat="false" ht="15.75" hidden="false" customHeight="true" outlineLevel="0" collapsed="false">
      <c r="A822" s="89"/>
      <c r="O822" s="90"/>
    </row>
    <row r="823" customFormat="false" ht="15.75" hidden="false" customHeight="true" outlineLevel="0" collapsed="false">
      <c r="A823" s="89"/>
      <c r="O823" s="90"/>
    </row>
    <row r="824" customFormat="false" ht="15.75" hidden="false" customHeight="true" outlineLevel="0" collapsed="false">
      <c r="A824" s="89"/>
      <c r="O824" s="90"/>
    </row>
    <row r="825" customFormat="false" ht="15.75" hidden="false" customHeight="true" outlineLevel="0" collapsed="false">
      <c r="A825" s="89"/>
      <c r="O825" s="90"/>
    </row>
    <row r="826" customFormat="false" ht="15.75" hidden="false" customHeight="true" outlineLevel="0" collapsed="false">
      <c r="A826" s="89"/>
      <c r="O826" s="90"/>
    </row>
    <row r="827" customFormat="false" ht="15.75" hidden="false" customHeight="true" outlineLevel="0" collapsed="false">
      <c r="A827" s="89"/>
      <c r="O827" s="90"/>
    </row>
    <row r="828" customFormat="false" ht="15.75" hidden="false" customHeight="true" outlineLevel="0" collapsed="false">
      <c r="A828" s="89"/>
      <c r="O828" s="90"/>
    </row>
    <row r="829" customFormat="false" ht="15.75" hidden="false" customHeight="true" outlineLevel="0" collapsed="false">
      <c r="A829" s="89"/>
      <c r="O829" s="90"/>
    </row>
    <row r="830" customFormat="false" ht="15.75" hidden="false" customHeight="true" outlineLevel="0" collapsed="false">
      <c r="A830" s="89"/>
      <c r="O830" s="90"/>
    </row>
    <row r="831" customFormat="false" ht="15.75" hidden="false" customHeight="true" outlineLevel="0" collapsed="false">
      <c r="A831" s="89"/>
      <c r="O831" s="90"/>
    </row>
    <row r="832" customFormat="false" ht="15.75" hidden="false" customHeight="true" outlineLevel="0" collapsed="false">
      <c r="A832" s="89"/>
      <c r="O832" s="90"/>
    </row>
    <row r="833" customFormat="false" ht="15.75" hidden="false" customHeight="true" outlineLevel="0" collapsed="false">
      <c r="A833" s="89"/>
      <c r="O833" s="90"/>
    </row>
    <row r="834" customFormat="false" ht="15.75" hidden="false" customHeight="true" outlineLevel="0" collapsed="false">
      <c r="A834" s="89"/>
      <c r="O834" s="90"/>
    </row>
    <row r="835" customFormat="false" ht="15.75" hidden="false" customHeight="true" outlineLevel="0" collapsed="false">
      <c r="A835" s="89"/>
      <c r="O835" s="90"/>
    </row>
    <row r="836" customFormat="false" ht="15.75" hidden="false" customHeight="true" outlineLevel="0" collapsed="false">
      <c r="A836" s="89"/>
      <c r="O836" s="90"/>
    </row>
    <row r="837" customFormat="false" ht="15.75" hidden="false" customHeight="true" outlineLevel="0" collapsed="false">
      <c r="A837" s="89"/>
      <c r="O837" s="90"/>
    </row>
    <row r="838" customFormat="false" ht="15.75" hidden="false" customHeight="true" outlineLevel="0" collapsed="false">
      <c r="A838" s="89"/>
      <c r="O838" s="90"/>
    </row>
    <row r="839" customFormat="false" ht="15.75" hidden="false" customHeight="true" outlineLevel="0" collapsed="false">
      <c r="A839" s="89"/>
      <c r="O839" s="90"/>
    </row>
    <row r="840" customFormat="false" ht="15.75" hidden="false" customHeight="true" outlineLevel="0" collapsed="false">
      <c r="A840" s="89"/>
      <c r="O840" s="90"/>
    </row>
    <row r="841" customFormat="false" ht="15.75" hidden="false" customHeight="true" outlineLevel="0" collapsed="false">
      <c r="A841" s="89"/>
      <c r="O841" s="90"/>
    </row>
    <row r="842" customFormat="false" ht="15.75" hidden="false" customHeight="true" outlineLevel="0" collapsed="false">
      <c r="A842" s="89"/>
      <c r="O842" s="90"/>
    </row>
    <row r="843" customFormat="false" ht="15.75" hidden="false" customHeight="true" outlineLevel="0" collapsed="false">
      <c r="A843" s="89"/>
      <c r="O843" s="90"/>
    </row>
    <row r="844" customFormat="false" ht="15.75" hidden="false" customHeight="true" outlineLevel="0" collapsed="false">
      <c r="A844" s="89"/>
      <c r="O844" s="90"/>
    </row>
    <row r="845" customFormat="false" ht="15.75" hidden="false" customHeight="true" outlineLevel="0" collapsed="false">
      <c r="A845" s="89"/>
      <c r="O845" s="90"/>
    </row>
    <row r="846" customFormat="false" ht="15.75" hidden="false" customHeight="true" outlineLevel="0" collapsed="false">
      <c r="A846" s="89"/>
      <c r="O846" s="90"/>
    </row>
    <row r="847" customFormat="false" ht="15.75" hidden="false" customHeight="true" outlineLevel="0" collapsed="false">
      <c r="A847" s="89"/>
      <c r="O847" s="90"/>
    </row>
    <row r="848" customFormat="false" ht="15.75" hidden="false" customHeight="true" outlineLevel="0" collapsed="false">
      <c r="A848" s="89"/>
      <c r="O848" s="90"/>
    </row>
    <row r="849" customFormat="false" ht="15.75" hidden="false" customHeight="true" outlineLevel="0" collapsed="false">
      <c r="A849" s="89"/>
      <c r="O849" s="90"/>
    </row>
    <row r="850" customFormat="false" ht="15.75" hidden="false" customHeight="true" outlineLevel="0" collapsed="false">
      <c r="A850" s="89"/>
      <c r="O850" s="90"/>
    </row>
    <row r="851" customFormat="false" ht="15.75" hidden="false" customHeight="true" outlineLevel="0" collapsed="false">
      <c r="A851" s="89"/>
      <c r="O851" s="90"/>
    </row>
    <row r="852" customFormat="false" ht="15.75" hidden="false" customHeight="true" outlineLevel="0" collapsed="false">
      <c r="A852" s="89"/>
      <c r="O852" s="90"/>
    </row>
    <row r="853" customFormat="false" ht="15.75" hidden="false" customHeight="true" outlineLevel="0" collapsed="false">
      <c r="A853" s="89"/>
      <c r="O853" s="90"/>
    </row>
    <row r="854" customFormat="false" ht="15.75" hidden="false" customHeight="true" outlineLevel="0" collapsed="false">
      <c r="A854" s="89"/>
      <c r="O854" s="90"/>
    </row>
    <row r="855" customFormat="false" ht="15.75" hidden="false" customHeight="true" outlineLevel="0" collapsed="false">
      <c r="A855" s="89"/>
      <c r="O855" s="90"/>
    </row>
    <row r="856" customFormat="false" ht="15.75" hidden="false" customHeight="true" outlineLevel="0" collapsed="false">
      <c r="A856" s="89"/>
      <c r="O856" s="90"/>
    </row>
    <row r="857" customFormat="false" ht="15.75" hidden="false" customHeight="true" outlineLevel="0" collapsed="false">
      <c r="A857" s="89"/>
      <c r="O857" s="90"/>
    </row>
    <row r="858" customFormat="false" ht="15.75" hidden="false" customHeight="true" outlineLevel="0" collapsed="false">
      <c r="A858" s="89"/>
      <c r="O858" s="90"/>
    </row>
    <row r="859" customFormat="false" ht="15.75" hidden="false" customHeight="true" outlineLevel="0" collapsed="false">
      <c r="A859" s="89"/>
      <c r="O859" s="90"/>
    </row>
    <row r="860" customFormat="false" ht="15.75" hidden="false" customHeight="true" outlineLevel="0" collapsed="false">
      <c r="A860" s="89"/>
      <c r="O860" s="90"/>
    </row>
    <row r="861" customFormat="false" ht="15.75" hidden="false" customHeight="true" outlineLevel="0" collapsed="false">
      <c r="A861" s="89"/>
      <c r="O861" s="90"/>
    </row>
    <row r="862" customFormat="false" ht="15.75" hidden="false" customHeight="true" outlineLevel="0" collapsed="false">
      <c r="A862" s="89"/>
      <c r="O862" s="90"/>
    </row>
    <row r="863" customFormat="false" ht="15.75" hidden="false" customHeight="true" outlineLevel="0" collapsed="false">
      <c r="A863" s="89"/>
      <c r="O863" s="90"/>
    </row>
    <row r="864" customFormat="false" ht="15.75" hidden="false" customHeight="true" outlineLevel="0" collapsed="false">
      <c r="A864" s="89"/>
      <c r="O864" s="90"/>
    </row>
    <row r="865" customFormat="false" ht="15.75" hidden="false" customHeight="true" outlineLevel="0" collapsed="false">
      <c r="A865" s="89"/>
      <c r="O865" s="90"/>
    </row>
    <row r="866" customFormat="false" ht="15.75" hidden="false" customHeight="true" outlineLevel="0" collapsed="false">
      <c r="A866" s="89"/>
      <c r="O866" s="90"/>
    </row>
    <row r="867" customFormat="false" ht="15.75" hidden="false" customHeight="true" outlineLevel="0" collapsed="false">
      <c r="A867" s="89"/>
      <c r="O867" s="90"/>
    </row>
    <row r="868" customFormat="false" ht="15.75" hidden="false" customHeight="true" outlineLevel="0" collapsed="false">
      <c r="A868" s="89"/>
      <c r="O868" s="90"/>
    </row>
    <row r="869" customFormat="false" ht="15.75" hidden="false" customHeight="true" outlineLevel="0" collapsed="false">
      <c r="A869" s="89"/>
      <c r="O869" s="90"/>
    </row>
    <row r="870" customFormat="false" ht="15.75" hidden="false" customHeight="true" outlineLevel="0" collapsed="false">
      <c r="A870" s="89"/>
      <c r="O870" s="90"/>
    </row>
    <row r="871" customFormat="false" ht="15.75" hidden="false" customHeight="true" outlineLevel="0" collapsed="false">
      <c r="A871" s="89"/>
      <c r="O871" s="90"/>
    </row>
    <row r="872" customFormat="false" ht="15.75" hidden="false" customHeight="true" outlineLevel="0" collapsed="false">
      <c r="A872" s="89"/>
      <c r="O872" s="90"/>
    </row>
    <row r="873" customFormat="false" ht="15.75" hidden="false" customHeight="true" outlineLevel="0" collapsed="false">
      <c r="A873" s="89"/>
      <c r="O873" s="90"/>
    </row>
    <row r="874" customFormat="false" ht="15.75" hidden="false" customHeight="true" outlineLevel="0" collapsed="false">
      <c r="A874" s="89"/>
      <c r="O874" s="90"/>
    </row>
    <row r="875" customFormat="false" ht="15.75" hidden="false" customHeight="true" outlineLevel="0" collapsed="false">
      <c r="A875" s="89"/>
      <c r="O875" s="90"/>
    </row>
    <row r="876" customFormat="false" ht="15.75" hidden="false" customHeight="true" outlineLevel="0" collapsed="false">
      <c r="A876" s="89"/>
      <c r="O876" s="90"/>
    </row>
    <row r="877" customFormat="false" ht="15.75" hidden="false" customHeight="true" outlineLevel="0" collapsed="false">
      <c r="A877" s="89"/>
      <c r="O877" s="90"/>
    </row>
    <row r="878" customFormat="false" ht="15.75" hidden="false" customHeight="true" outlineLevel="0" collapsed="false">
      <c r="A878" s="89"/>
      <c r="O878" s="90"/>
    </row>
    <row r="879" customFormat="false" ht="15.75" hidden="false" customHeight="true" outlineLevel="0" collapsed="false">
      <c r="A879" s="89"/>
      <c r="O879" s="90"/>
    </row>
    <row r="880" customFormat="false" ht="15.75" hidden="false" customHeight="true" outlineLevel="0" collapsed="false">
      <c r="A880" s="89"/>
      <c r="O880" s="90"/>
    </row>
    <row r="881" customFormat="false" ht="15.75" hidden="false" customHeight="true" outlineLevel="0" collapsed="false">
      <c r="A881" s="89"/>
      <c r="O881" s="90"/>
    </row>
    <row r="882" customFormat="false" ht="15.75" hidden="false" customHeight="true" outlineLevel="0" collapsed="false">
      <c r="A882" s="89"/>
      <c r="O882" s="90"/>
    </row>
    <row r="883" customFormat="false" ht="15.75" hidden="false" customHeight="true" outlineLevel="0" collapsed="false">
      <c r="A883" s="89"/>
      <c r="O883" s="90"/>
    </row>
    <row r="884" customFormat="false" ht="15.75" hidden="false" customHeight="true" outlineLevel="0" collapsed="false">
      <c r="A884" s="89"/>
      <c r="O884" s="90"/>
    </row>
    <row r="885" customFormat="false" ht="15.75" hidden="false" customHeight="true" outlineLevel="0" collapsed="false">
      <c r="A885" s="89"/>
      <c r="O885" s="90"/>
    </row>
    <row r="886" customFormat="false" ht="15.75" hidden="false" customHeight="true" outlineLevel="0" collapsed="false">
      <c r="A886" s="89"/>
      <c r="O886" s="90"/>
    </row>
    <row r="887" customFormat="false" ht="15.75" hidden="false" customHeight="true" outlineLevel="0" collapsed="false">
      <c r="A887" s="89"/>
      <c r="O887" s="90"/>
    </row>
    <row r="888" customFormat="false" ht="15.75" hidden="false" customHeight="true" outlineLevel="0" collapsed="false">
      <c r="A888" s="89"/>
      <c r="O888" s="90"/>
    </row>
    <row r="889" customFormat="false" ht="15.75" hidden="false" customHeight="true" outlineLevel="0" collapsed="false">
      <c r="A889" s="89"/>
      <c r="O889" s="90"/>
    </row>
    <row r="890" customFormat="false" ht="15.75" hidden="false" customHeight="true" outlineLevel="0" collapsed="false">
      <c r="A890" s="89"/>
      <c r="O890" s="90"/>
    </row>
    <row r="891" customFormat="false" ht="15.75" hidden="false" customHeight="true" outlineLevel="0" collapsed="false">
      <c r="A891" s="89"/>
      <c r="O891" s="90"/>
    </row>
    <row r="892" customFormat="false" ht="15.75" hidden="false" customHeight="true" outlineLevel="0" collapsed="false">
      <c r="A892" s="89"/>
      <c r="O892" s="90"/>
    </row>
    <row r="893" customFormat="false" ht="15.75" hidden="false" customHeight="true" outlineLevel="0" collapsed="false">
      <c r="A893" s="89"/>
      <c r="O893" s="90"/>
    </row>
    <row r="894" customFormat="false" ht="15.75" hidden="false" customHeight="true" outlineLevel="0" collapsed="false">
      <c r="A894" s="89"/>
      <c r="O894" s="90"/>
    </row>
    <row r="895" customFormat="false" ht="15.75" hidden="false" customHeight="true" outlineLevel="0" collapsed="false">
      <c r="A895" s="89"/>
      <c r="O895" s="90"/>
    </row>
    <row r="896" customFormat="false" ht="15.75" hidden="false" customHeight="true" outlineLevel="0" collapsed="false">
      <c r="A896" s="89"/>
      <c r="O896" s="90"/>
    </row>
    <row r="897" customFormat="false" ht="15.75" hidden="false" customHeight="true" outlineLevel="0" collapsed="false">
      <c r="A897" s="89"/>
      <c r="O897" s="90"/>
    </row>
    <row r="898" customFormat="false" ht="15.75" hidden="false" customHeight="true" outlineLevel="0" collapsed="false">
      <c r="A898" s="89"/>
      <c r="O898" s="90"/>
    </row>
    <row r="899" customFormat="false" ht="15.75" hidden="false" customHeight="true" outlineLevel="0" collapsed="false">
      <c r="A899" s="89"/>
      <c r="O899" s="90"/>
    </row>
    <row r="900" customFormat="false" ht="15.75" hidden="false" customHeight="true" outlineLevel="0" collapsed="false">
      <c r="A900" s="89"/>
      <c r="O900" s="90"/>
    </row>
    <row r="901" customFormat="false" ht="15.75" hidden="false" customHeight="true" outlineLevel="0" collapsed="false">
      <c r="A901" s="89"/>
      <c r="O901" s="90"/>
    </row>
    <row r="902" customFormat="false" ht="15.75" hidden="false" customHeight="true" outlineLevel="0" collapsed="false">
      <c r="A902" s="89"/>
      <c r="O902" s="90"/>
    </row>
    <row r="903" customFormat="false" ht="15.75" hidden="false" customHeight="true" outlineLevel="0" collapsed="false">
      <c r="A903" s="89"/>
      <c r="O903" s="90"/>
    </row>
    <row r="904" customFormat="false" ht="15.75" hidden="false" customHeight="true" outlineLevel="0" collapsed="false">
      <c r="A904" s="89"/>
      <c r="O904" s="90"/>
    </row>
    <row r="905" customFormat="false" ht="15.75" hidden="false" customHeight="true" outlineLevel="0" collapsed="false">
      <c r="A905" s="89"/>
      <c r="O905" s="90"/>
    </row>
    <row r="906" customFormat="false" ht="15.75" hidden="false" customHeight="true" outlineLevel="0" collapsed="false">
      <c r="A906" s="89"/>
      <c r="O906" s="90"/>
    </row>
    <row r="907" customFormat="false" ht="15.75" hidden="false" customHeight="true" outlineLevel="0" collapsed="false">
      <c r="A907" s="89"/>
      <c r="O907" s="90"/>
    </row>
    <row r="908" customFormat="false" ht="15.75" hidden="false" customHeight="true" outlineLevel="0" collapsed="false">
      <c r="A908" s="89"/>
      <c r="O908" s="90"/>
    </row>
    <row r="909" customFormat="false" ht="15.75" hidden="false" customHeight="true" outlineLevel="0" collapsed="false">
      <c r="A909" s="89"/>
      <c r="O909" s="90"/>
    </row>
    <row r="910" customFormat="false" ht="15.75" hidden="false" customHeight="true" outlineLevel="0" collapsed="false">
      <c r="A910" s="89"/>
      <c r="O910" s="90"/>
    </row>
    <row r="911" customFormat="false" ht="15.75" hidden="false" customHeight="true" outlineLevel="0" collapsed="false">
      <c r="A911" s="89"/>
      <c r="O911" s="90"/>
    </row>
    <row r="912" customFormat="false" ht="15.75" hidden="false" customHeight="true" outlineLevel="0" collapsed="false">
      <c r="A912" s="89"/>
      <c r="O912" s="90"/>
    </row>
    <row r="913" customFormat="false" ht="15.75" hidden="false" customHeight="true" outlineLevel="0" collapsed="false">
      <c r="A913" s="89"/>
      <c r="O913" s="90"/>
    </row>
    <row r="914" customFormat="false" ht="15.75" hidden="false" customHeight="true" outlineLevel="0" collapsed="false">
      <c r="A914" s="89"/>
      <c r="O914" s="90"/>
    </row>
    <row r="915" customFormat="false" ht="15.75" hidden="false" customHeight="true" outlineLevel="0" collapsed="false">
      <c r="A915" s="89"/>
      <c r="O915" s="90"/>
    </row>
    <row r="916" customFormat="false" ht="15.75" hidden="false" customHeight="true" outlineLevel="0" collapsed="false">
      <c r="A916" s="89"/>
      <c r="O916" s="90"/>
    </row>
    <row r="917" customFormat="false" ht="15.75" hidden="false" customHeight="true" outlineLevel="0" collapsed="false">
      <c r="A917" s="89"/>
      <c r="O917" s="90"/>
    </row>
    <row r="918" customFormat="false" ht="15.75" hidden="false" customHeight="true" outlineLevel="0" collapsed="false">
      <c r="A918" s="89"/>
      <c r="O918" s="90"/>
    </row>
    <row r="919" customFormat="false" ht="15.75" hidden="false" customHeight="true" outlineLevel="0" collapsed="false">
      <c r="A919" s="89"/>
      <c r="O919" s="90"/>
    </row>
    <row r="920" customFormat="false" ht="15.75" hidden="false" customHeight="true" outlineLevel="0" collapsed="false">
      <c r="A920" s="89"/>
      <c r="O920" s="90"/>
    </row>
    <row r="921" customFormat="false" ht="15.75" hidden="false" customHeight="true" outlineLevel="0" collapsed="false">
      <c r="A921" s="89"/>
      <c r="O921" s="90"/>
    </row>
    <row r="922" customFormat="false" ht="15.75" hidden="false" customHeight="true" outlineLevel="0" collapsed="false">
      <c r="A922" s="89"/>
      <c r="O922" s="90"/>
    </row>
    <row r="923" customFormat="false" ht="15.75" hidden="false" customHeight="true" outlineLevel="0" collapsed="false">
      <c r="A923" s="89"/>
      <c r="O923" s="90"/>
    </row>
    <row r="924" customFormat="false" ht="15.75" hidden="false" customHeight="true" outlineLevel="0" collapsed="false">
      <c r="A924" s="89"/>
      <c r="O924" s="90"/>
    </row>
    <row r="925" customFormat="false" ht="15.75" hidden="false" customHeight="true" outlineLevel="0" collapsed="false">
      <c r="A925" s="89"/>
      <c r="O925" s="90"/>
    </row>
    <row r="926" customFormat="false" ht="15.75" hidden="false" customHeight="true" outlineLevel="0" collapsed="false">
      <c r="A926" s="89"/>
      <c r="O926" s="90"/>
    </row>
    <row r="927" customFormat="false" ht="15.75" hidden="false" customHeight="true" outlineLevel="0" collapsed="false">
      <c r="A927" s="89"/>
      <c r="O927" s="90"/>
    </row>
    <row r="928" customFormat="false" ht="15.75" hidden="false" customHeight="true" outlineLevel="0" collapsed="false">
      <c r="A928" s="89"/>
      <c r="O928" s="90"/>
    </row>
    <row r="929" customFormat="false" ht="15.75" hidden="false" customHeight="true" outlineLevel="0" collapsed="false">
      <c r="A929" s="89"/>
      <c r="O929" s="90"/>
    </row>
    <row r="930" customFormat="false" ht="15.75" hidden="false" customHeight="true" outlineLevel="0" collapsed="false">
      <c r="A930" s="89"/>
      <c r="O930" s="90"/>
    </row>
    <row r="931" customFormat="false" ht="15.75" hidden="false" customHeight="true" outlineLevel="0" collapsed="false">
      <c r="A931" s="89"/>
      <c r="O931" s="90"/>
    </row>
    <row r="932" customFormat="false" ht="15.75" hidden="false" customHeight="true" outlineLevel="0" collapsed="false">
      <c r="A932" s="89"/>
      <c r="O932" s="90"/>
    </row>
    <row r="933" customFormat="false" ht="15.75" hidden="false" customHeight="true" outlineLevel="0" collapsed="false">
      <c r="A933" s="89"/>
      <c r="O933" s="90"/>
    </row>
    <row r="934" customFormat="false" ht="15.75" hidden="false" customHeight="true" outlineLevel="0" collapsed="false">
      <c r="A934" s="89"/>
      <c r="O934" s="90"/>
    </row>
    <row r="935" customFormat="false" ht="15.75" hidden="false" customHeight="true" outlineLevel="0" collapsed="false">
      <c r="A935" s="89"/>
      <c r="O935" s="90"/>
    </row>
    <row r="936" customFormat="false" ht="15.75" hidden="false" customHeight="true" outlineLevel="0" collapsed="false">
      <c r="A936" s="89"/>
      <c r="O936" s="90"/>
    </row>
    <row r="937" customFormat="false" ht="15.75" hidden="false" customHeight="true" outlineLevel="0" collapsed="false">
      <c r="A937" s="89"/>
      <c r="O937" s="90"/>
    </row>
    <row r="938" customFormat="false" ht="15.75" hidden="false" customHeight="true" outlineLevel="0" collapsed="false">
      <c r="A938" s="89"/>
      <c r="O938" s="90"/>
    </row>
    <row r="939" customFormat="false" ht="15.75" hidden="false" customHeight="true" outlineLevel="0" collapsed="false">
      <c r="A939" s="89"/>
      <c r="O939" s="90"/>
    </row>
    <row r="940" customFormat="false" ht="15.75" hidden="false" customHeight="true" outlineLevel="0" collapsed="false">
      <c r="A940" s="89"/>
      <c r="O940" s="90"/>
    </row>
    <row r="941" customFormat="false" ht="15.75" hidden="false" customHeight="true" outlineLevel="0" collapsed="false">
      <c r="A941" s="89"/>
      <c r="O941" s="90"/>
    </row>
    <row r="942" customFormat="false" ht="15.75" hidden="false" customHeight="true" outlineLevel="0" collapsed="false">
      <c r="A942" s="89"/>
      <c r="O942" s="90"/>
    </row>
    <row r="943" customFormat="false" ht="15.75" hidden="false" customHeight="true" outlineLevel="0" collapsed="false">
      <c r="A943" s="89"/>
      <c r="O943" s="90"/>
    </row>
    <row r="944" customFormat="false" ht="15.75" hidden="false" customHeight="true" outlineLevel="0" collapsed="false">
      <c r="A944" s="89"/>
      <c r="O944" s="90"/>
    </row>
    <row r="945" customFormat="false" ht="15.75" hidden="false" customHeight="true" outlineLevel="0" collapsed="false">
      <c r="A945" s="89"/>
      <c r="O945" s="90"/>
    </row>
    <row r="946" customFormat="false" ht="15.75" hidden="false" customHeight="true" outlineLevel="0" collapsed="false">
      <c r="A946" s="89"/>
      <c r="O946" s="90"/>
    </row>
    <row r="947" customFormat="false" ht="15.75" hidden="false" customHeight="true" outlineLevel="0" collapsed="false">
      <c r="A947" s="89"/>
      <c r="O947" s="90"/>
    </row>
    <row r="948" customFormat="false" ht="15.75" hidden="false" customHeight="true" outlineLevel="0" collapsed="false">
      <c r="A948" s="89"/>
      <c r="O948" s="90"/>
    </row>
    <row r="949" customFormat="false" ht="15.75" hidden="false" customHeight="true" outlineLevel="0" collapsed="false">
      <c r="A949" s="89"/>
      <c r="O949" s="90"/>
    </row>
    <row r="950" customFormat="false" ht="15.75" hidden="false" customHeight="true" outlineLevel="0" collapsed="false">
      <c r="A950" s="89"/>
      <c r="O950" s="90"/>
    </row>
    <row r="951" customFormat="false" ht="15.75" hidden="false" customHeight="true" outlineLevel="0" collapsed="false">
      <c r="A951" s="89"/>
      <c r="O951" s="90"/>
    </row>
    <row r="952" customFormat="false" ht="15.75" hidden="false" customHeight="true" outlineLevel="0" collapsed="false">
      <c r="A952" s="89"/>
      <c r="O952" s="90"/>
    </row>
    <row r="953" customFormat="false" ht="15.75" hidden="false" customHeight="true" outlineLevel="0" collapsed="false">
      <c r="A953" s="89"/>
      <c r="O953" s="90"/>
    </row>
    <row r="954" customFormat="false" ht="15.75" hidden="false" customHeight="true" outlineLevel="0" collapsed="false">
      <c r="A954" s="89"/>
      <c r="O954" s="90"/>
    </row>
    <row r="955" customFormat="false" ht="15.75" hidden="false" customHeight="true" outlineLevel="0" collapsed="false">
      <c r="A955" s="89"/>
      <c r="O955" s="90"/>
    </row>
    <row r="956" customFormat="false" ht="15.75" hidden="false" customHeight="true" outlineLevel="0" collapsed="false">
      <c r="A956" s="89"/>
      <c r="O956" s="90"/>
    </row>
    <row r="957" customFormat="false" ht="15.75" hidden="false" customHeight="true" outlineLevel="0" collapsed="false">
      <c r="A957" s="89"/>
      <c r="O957" s="90"/>
    </row>
    <row r="958" customFormat="false" ht="15.75" hidden="false" customHeight="true" outlineLevel="0" collapsed="false">
      <c r="A958" s="89"/>
      <c r="O958" s="90"/>
    </row>
    <row r="959" customFormat="false" ht="15.75" hidden="false" customHeight="true" outlineLevel="0" collapsed="false">
      <c r="A959" s="89"/>
      <c r="O959" s="90"/>
    </row>
    <row r="960" customFormat="false" ht="15.75" hidden="false" customHeight="true" outlineLevel="0" collapsed="false">
      <c r="A960" s="89"/>
      <c r="O960" s="90"/>
    </row>
    <row r="961" customFormat="false" ht="15.75" hidden="false" customHeight="true" outlineLevel="0" collapsed="false">
      <c r="A961" s="89"/>
      <c r="O961" s="90"/>
    </row>
    <row r="962" customFormat="false" ht="15.75" hidden="false" customHeight="true" outlineLevel="0" collapsed="false">
      <c r="A962" s="89"/>
      <c r="O962" s="90"/>
    </row>
    <row r="963" customFormat="false" ht="15.75" hidden="false" customHeight="true" outlineLevel="0" collapsed="false">
      <c r="A963" s="89"/>
      <c r="O963" s="90"/>
    </row>
    <row r="964" customFormat="false" ht="15.75" hidden="false" customHeight="true" outlineLevel="0" collapsed="false">
      <c r="A964" s="89"/>
      <c r="O964" s="90"/>
    </row>
    <row r="965" customFormat="false" ht="15.75" hidden="false" customHeight="true" outlineLevel="0" collapsed="false">
      <c r="A965" s="89"/>
      <c r="O965" s="90"/>
    </row>
    <row r="966" customFormat="false" ht="15.75" hidden="false" customHeight="true" outlineLevel="0" collapsed="false">
      <c r="A966" s="89"/>
      <c r="O966" s="90"/>
    </row>
    <row r="967" customFormat="false" ht="15.75" hidden="false" customHeight="true" outlineLevel="0" collapsed="false">
      <c r="A967" s="89"/>
      <c r="O967" s="90"/>
    </row>
    <row r="968" customFormat="false" ht="15.75" hidden="false" customHeight="true" outlineLevel="0" collapsed="false">
      <c r="A968" s="89"/>
      <c r="O968" s="90"/>
    </row>
    <row r="969" customFormat="false" ht="15.75" hidden="false" customHeight="true" outlineLevel="0" collapsed="false">
      <c r="A969" s="89"/>
      <c r="O969" s="90"/>
    </row>
    <row r="970" customFormat="false" ht="15.75" hidden="false" customHeight="true" outlineLevel="0" collapsed="false">
      <c r="A970" s="89"/>
      <c r="O970" s="90"/>
    </row>
    <row r="971" customFormat="false" ht="15.75" hidden="false" customHeight="true" outlineLevel="0" collapsed="false">
      <c r="A971" s="89"/>
      <c r="O971" s="90"/>
    </row>
    <row r="972" customFormat="false" ht="15.75" hidden="false" customHeight="true" outlineLevel="0" collapsed="false">
      <c r="A972" s="89"/>
      <c r="O972" s="90"/>
    </row>
    <row r="973" customFormat="false" ht="15.75" hidden="false" customHeight="true" outlineLevel="0" collapsed="false">
      <c r="A973" s="89"/>
      <c r="O973" s="90"/>
    </row>
    <row r="974" customFormat="false" ht="15.75" hidden="false" customHeight="true" outlineLevel="0" collapsed="false">
      <c r="A974" s="89"/>
      <c r="O974" s="90"/>
    </row>
    <row r="975" customFormat="false" ht="15.75" hidden="false" customHeight="true" outlineLevel="0" collapsed="false">
      <c r="A975" s="89"/>
      <c r="O975" s="90"/>
    </row>
    <row r="976" customFormat="false" ht="15.75" hidden="false" customHeight="true" outlineLevel="0" collapsed="false">
      <c r="A976" s="89"/>
      <c r="O976" s="90"/>
    </row>
    <row r="977" customFormat="false" ht="15.75" hidden="false" customHeight="true" outlineLevel="0" collapsed="false">
      <c r="A977" s="89"/>
      <c r="O977" s="90"/>
    </row>
    <row r="978" customFormat="false" ht="15.75" hidden="false" customHeight="true" outlineLevel="0" collapsed="false">
      <c r="A978" s="89"/>
      <c r="O978" s="90"/>
    </row>
    <row r="979" customFormat="false" ht="15.75" hidden="false" customHeight="true" outlineLevel="0" collapsed="false">
      <c r="A979" s="89"/>
      <c r="O979" s="90"/>
    </row>
    <row r="980" customFormat="false" ht="15.75" hidden="false" customHeight="true" outlineLevel="0" collapsed="false">
      <c r="A980" s="89"/>
      <c r="O980" s="90"/>
    </row>
    <row r="981" customFormat="false" ht="15.75" hidden="false" customHeight="true" outlineLevel="0" collapsed="false">
      <c r="A981" s="89"/>
      <c r="O981" s="90"/>
    </row>
    <row r="982" customFormat="false" ht="15.75" hidden="false" customHeight="true" outlineLevel="0" collapsed="false">
      <c r="A982" s="89"/>
      <c r="O982" s="90"/>
    </row>
    <row r="983" customFormat="false" ht="15.75" hidden="false" customHeight="true" outlineLevel="0" collapsed="false">
      <c r="A983" s="89"/>
      <c r="O983" s="90"/>
    </row>
    <row r="984" customFormat="false" ht="15.75" hidden="false" customHeight="true" outlineLevel="0" collapsed="false">
      <c r="A984" s="89"/>
      <c r="O984" s="90"/>
    </row>
    <row r="985" customFormat="false" ht="15.75" hidden="false" customHeight="true" outlineLevel="0" collapsed="false">
      <c r="A985" s="89"/>
      <c r="O985" s="90"/>
    </row>
    <row r="986" customFormat="false" ht="15.75" hidden="false" customHeight="true" outlineLevel="0" collapsed="false">
      <c r="A986" s="89"/>
      <c r="O986" s="90"/>
    </row>
    <row r="987" customFormat="false" ht="15.75" hidden="false" customHeight="true" outlineLevel="0" collapsed="false">
      <c r="A987" s="89"/>
      <c r="O987" s="90"/>
    </row>
    <row r="988" customFormat="false" ht="15.75" hidden="false" customHeight="true" outlineLevel="0" collapsed="false">
      <c r="A988" s="89"/>
      <c r="O988" s="90"/>
    </row>
    <row r="989" customFormat="false" ht="15.75" hidden="false" customHeight="true" outlineLevel="0" collapsed="false">
      <c r="A989" s="89"/>
      <c r="O989" s="90"/>
    </row>
    <row r="990" customFormat="false" ht="15.75" hidden="false" customHeight="true" outlineLevel="0" collapsed="false">
      <c r="A990" s="89"/>
      <c r="O990" s="90"/>
    </row>
    <row r="991" customFormat="false" ht="15.75" hidden="false" customHeight="true" outlineLevel="0" collapsed="false">
      <c r="A991" s="89"/>
      <c r="O991" s="90"/>
    </row>
    <row r="992" customFormat="false" ht="15.75" hidden="false" customHeight="true" outlineLevel="0" collapsed="false">
      <c r="A992" s="89"/>
      <c r="O992" s="90"/>
    </row>
    <row r="993" customFormat="false" ht="15.75" hidden="false" customHeight="true" outlineLevel="0" collapsed="false">
      <c r="A993" s="89"/>
      <c r="O993" s="90"/>
    </row>
    <row r="994" customFormat="false" ht="15.75" hidden="false" customHeight="true" outlineLevel="0" collapsed="false">
      <c r="A994" s="89"/>
      <c r="O994" s="90"/>
    </row>
    <row r="995" customFormat="false" ht="15.75" hidden="false" customHeight="true" outlineLevel="0" collapsed="false">
      <c r="A995" s="89"/>
      <c r="O995" s="90"/>
    </row>
    <row r="996" customFormat="false" ht="15.75" hidden="false" customHeight="true" outlineLevel="0" collapsed="false">
      <c r="A996" s="89"/>
      <c r="O996" s="90"/>
    </row>
    <row r="997" customFormat="false" ht="15.75" hidden="false" customHeight="true" outlineLevel="0" collapsed="false">
      <c r="A997" s="89"/>
      <c r="O997" s="90"/>
    </row>
    <row r="998" customFormat="false" ht="15.75" hidden="false" customHeight="true" outlineLevel="0" collapsed="false">
      <c r="A998" s="89"/>
      <c r="O998" s="90"/>
    </row>
    <row r="999" customFormat="false" ht="15.75" hidden="false" customHeight="true" outlineLevel="0" collapsed="false">
      <c r="A999" s="89"/>
      <c r="O999" s="90"/>
    </row>
    <row r="1000" customFormat="false" ht="15.75" hidden="false" customHeight="true" outlineLevel="0" collapsed="false">
      <c r="A1000" s="89"/>
      <c r="O1000" s="90"/>
    </row>
  </sheetData>
  <mergeCells count="1">
    <mergeCell ref="A1:A16"/>
  </mergeCells>
  <conditionalFormatting sqref="F2:O16">
    <cfRule type="cellIs" priority="2" operator="equal" aboveAverage="0" equalAverage="0" bottom="0" percent="0" rank="0" text="" dxfId="12">
      <formula>"A"</formula>
    </cfRule>
    <cfRule type="cellIs" priority="3" operator="equal" aboveAverage="0" equalAverage="0" bottom="0" percent="0" rank="0" text="" dxfId="15">
      <formula>"P"</formula>
    </cfRule>
  </conditionalFormatting>
  <conditionalFormatting sqref="U2:U1000 R1:R16">
    <cfRule type="colorScale" priority="4">
      <colorScale>
        <cfvo type="percent" val="0"/>
        <cfvo type="percent" val="50"/>
        <cfvo type="percent" val="100"/>
        <color rgb="FFCC0000"/>
        <color rgb="FFFFF2CC"/>
        <color rgb="FF57BB8A"/>
      </colorScale>
    </cfRule>
  </conditionalFormatting>
  <conditionalFormatting sqref="S2:U15">
    <cfRule type="expression" priority="5" aboveAverage="0" equalAverage="0" bottom="0" percent="0" rank="0" text="" dxfId="12">
      <formula>$I2:$I27="Fail"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2025-03-12T14:25:24Z</dcterms:modified>
  <cp:revision>6</cp:revision>
  <dc:subject/>
  <dc:title/>
</cp:coreProperties>
</file>