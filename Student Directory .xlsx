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pivotTables/pivotTable1.xml" ContentType="application/vnd.openxmlformats-officedocument.spreadsheetml.pivotTable+xml"/>
  <Override PartName="/xl/pivotTables/_rels/pivotTable1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_rels/pivotCacheDefinition1.xml.rels" ContentType="application/vnd.openxmlformats-package.relationships+xml"/>
  <Override PartName="/xl/pivotCache/pivotCacheRecords1.xml" ContentType="application/vnd.openxmlformats-officedocument.spreadsheetml.pivotCacheRecord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tudendEnroll" sheetId="1" state="visible" r:id="rId3"/>
    <sheet name="StudentTracker" sheetId="2" state="visible" r:id="rId4"/>
    <sheet name="Physics1.DailyAttendance" sheetId="3" state="visible" r:id="rId5"/>
    <sheet name="Maths1.DailyAttendance" sheetId="4" state="visible" r:id="rId6"/>
    <sheet name="English Language" sheetId="5" state="visible" r:id="rId7"/>
  </sheets>
  <definedNames>
    <definedName function="false" hidden="true" localSheetId="1" name="_xlnm._FilterDatabase" vbProcedure="false">StudentTracker!$A$1:$S$27</definedName>
  </definedNames>
  <calcPr iterateCount="100" refMode="A1" iterate="false" iterateDelta="0.0001"/>
  <pivotCaches>
    <pivotCache cacheId="1" r:id="rId9"/>
  </pivotCaches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<sst xmlns="http://schemas.openxmlformats.org/spreadsheetml/2006/main" count="704" uniqueCount="130">
  <si>
    <t xml:space="preserve">Name</t>
  </si>
  <si>
    <t xml:space="preserve">Surname</t>
  </si>
  <si>
    <t xml:space="preserve">email</t>
  </si>
  <si>
    <t xml:space="preserve">Class</t>
  </si>
  <si>
    <t xml:space="preserve">Certification Status</t>
  </si>
  <si>
    <t xml:space="preserve">Course</t>
  </si>
  <si>
    <t xml:space="preserve">Learners</t>
  </si>
  <si>
    <t xml:space="preserve">Passed</t>
  </si>
  <si>
    <t xml:space="preserve">Failed To Pass</t>
  </si>
  <si>
    <t xml:space="preserve">John</t>
  </si>
  <si>
    <t xml:space="preserve">Makaron</t>
  </si>
  <si>
    <t xml:space="preserve">Physics1</t>
  </si>
  <si>
    <t xml:space="preserve">Maths1</t>
  </si>
  <si>
    <t xml:space="preserve">Elvis</t>
  </si>
  <si>
    <t xml:space="preserve">Bond</t>
  </si>
  <si>
    <t xml:space="preserve">Mary</t>
  </si>
  <si>
    <t xml:space="preserve">Gas</t>
  </si>
  <si>
    <t xml:space="preserve">English Language</t>
  </si>
  <si>
    <t xml:space="preserve">Olivia</t>
  </si>
  <si>
    <t xml:space="preserve">Matt</t>
  </si>
  <si>
    <t xml:space="preserve">Robert</t>
  </si>
  <si>
    <t xml:space="preserve">Hus</t>
  </si>
  <si>
    <t xml:space="preserve">Omar</t>
  </si>
  <si>
    <t xml:space="preserve">Kasim</t>
  </si>
  <si>
    <t xml:space="preserve">Diana</t>
  </si>
  <si>
    <t xml:space="preserve">Pinto</t>
  </si>
  <si>
    <t xml:space="preserve">Denis</t>
  </si>
  <si>
    <t xml:space="preserve">Rodman</t>
  </si>
  <si>
    <t xml:space="preserve">Kate</t>
  </si>
  <si>
    <t xml:space="preserve">Potter</t>
  </si>
  <si>
    <t xml:space="preserve">Manny</t>
  </si>
  <si>
    <t xml:space="preserve">Pac</t>
  </si>
  <si>
    <t xml:space="preserve">Katy</t>
  </si>
  <si>
    <t xml:space="preserve">Perri</t>
  </si>
  <si>
    <t xml:space="preserve">Antony</t>
  </si>
  <si>
    <t xml:space="preserve">Ward</t>
  </si>
  <si>
    <t xml:space="preserve">Billy</t>
  </si>
  <si>
    <t xml:space="preserve">Sane</t>
  </si>
  <si>
    <t xml:space="preserve">Ronald</t>
  </si>
  <si>
    <t xml:space="preserve">Connan</t>
  </si>
  <si>
    <t xml:space="preserve">Baderas</t>
  </si>
  <si>
    <t xml:space="preserve">Dennis</t>
  </si>
  <si>
    <t xml:space="preserve">Menace</t>
  </si>
  <si>
    <t xml:space="preserve">Pape</t>
  </si>
  <si>
    <t xml:space="preserve">Walid</t>
  </si>
  <si>
    <t xml:space="preserve">Matip</t>
  </si>
  <si>
    <t xml:space="preserve">Donna</t>
  </si>
  <si>
    <t xml:space="preserve">Corleone</t>
  </si>
  <si>
    <t xml:space="preserve">Dustin</t>
  </si>
  <si>
    <t xml:space="preserve">Boier</t>
  </si>
  <si>
    <t xml:space="preserve">Lana</t>
  </si>
  <si>
    <t xml:space="preserve">Andie</t>
  </si>
  <si>
    <t xml:space="preserve">Anna</t>
  </si>
  <si>
    <t xml:space="preserve">Tsakiris</t>
  </si>
  <si>
    <t xml:space="preserve">Neto</t>
  </si>
  <si>
    <t xml:space="preserve">Juninhio</t>
  </si>
  <si>
    <t xml:space="preserve">Andres</t>
  </si>
  <si>
    <t xml:space="preserve">Iniesti</t>
  </si>
  <si>
    <t xml:space="preserve">Katie</t>
  </si>
  <si>
    <t xml:space="preserve">Parn</t>
  </si>
  <si>
    <t xml:space="preserve">Ronaldo</t>
  </si>
  <si>
    <t xml:space="preserve">Felipe</t>
  </si>
  <si>
    <t xml:space="preserve">Dean</t>
  </si>
  <si>
    <t xml:space="preserve">Jolie</t>
  </si>
  <si>
    <t xml:space="preserve">Paolo</t>
  </si>
  <si>
    <t xml:space="preserve">Jasmini</t>
  </si>
  <si>
    <t xml:space="preserve">Jean </t>
  </si>
  <si>
    <t xml:space="preserve">Damme</t>
  </si>
  <si>
    <t xml:space="preserve">Helen </t>
  </si>
  <si>
    <t xml:space="preserve">Birren</t>
  </si>
  <si>
    <t xml:space="preserve">Cander</t>
  </si>
  <si>
    <t xml:space="preserve">Evita </t>
  </si>
  <si>
    <t xml:space="preserve">Saron</t>
  </si>
  <si>
    <t xml:space="preserve">Muhammed </t>
  </si>
  <si>
    <t xml:space="preserve">Hasan</t>
  </si>
  <si>
    <t xml:space="preserve">Bill</t>
  </si>
  <si>
    <t xml:space="preserve">Kill</t>
  </si>
  <si>
    <t xml:space="preserve">Bario</t>
  </si>
  <si>
    <t xml:space="preserve">Sarmiento</t>
  </si>
  <si>
    <t xml:space="preserve">Silvio</t>
  </si>
  <si>
    <t xml:space="preserve">Zerosconi</t>
  </si>
  <si>
    <t xml:space="preserve">Suzie</t>
  </si>
  <si>
    <t xml:space="preserve">Partone</t>
  </si>
  <si>
    <t xml:space="preserve">Donald</t>
  </si>
  <si>
    <t xml:space="preserve">Alberto</t>
  </si>
  <si>
    <t xml:space="preserve">Ina</t>
  </si>
  <si>
    <t xml:space="preserve">Christal</t>
  </si>
  <si>
    <t xml:space="preserve">Wei</t>
  </si>
  <si>
    <t xml:space="preserve">Bao</t>
  </si>
  <si>
    <t xml:space="preserve">Kostas</t>
  </si>
  <si>
    <t xml:space="preserve">Loukas</t>
  </si>
  <si>
    <t xml:space="preserve">Attendance</t>
  </si>
  <si>
    <t xml:space="preserve">1st test score</t>
  </si>
  <si>
    <t xml:space="preserve">2nd test score</t>
  </si>
  <si>
    <t xml:space="preserve">Final Assignment Completed</t>
  </si>
  <si>
    <t xml:space="preserve">Certificate Score</t>
  </si>
  <si>
    <t xml:space="preserve">Certificate  Rank</t>
  </si>
  <si>
    <t xml:space="preserve">Classes</t>
  </si>
  <si>
    <t xml:space="preserve">Certification Score </t>
  </si>
  <si>
    <t xml:space="preserve">Percentage</t>
  </si>
  <si>
    <t xml:space="preserve">Attendance </t>
  </si>
  <si>
    <t xml:space="preserve">Test1</t>
  </si>
  <si>
    <t xml:space="preserve">Test2</t>
  </si>
  <si>
    <t xml:space="preserve">Final assignment</t>
  </si>
  <si>
    <t xml:space="preserve">Overall </t>
  </si>
  <si>
    <t xml:space="preserve">Score to pass </t>
  </si>
  <si>
    <t xml:space="preserve">&gt;=70</t>
  </si>
  <si>
    <t xml:space="preserve">Score Good</t>
  </si>
  <si>
    <t xml:space="preserve">&gt;77&lt;85</t>
  </si>
  <si>
    <t xml:space="preserve">Score Excellent</t>
  </si>
  <si>
    <t xml:space="preserve">&gt;87</t>
  </si>
  <si>
    <t xml:space="preserve">Week1 Day1</t>
  </si>
  <si>
    <t xml:space="preserve">Week1 Day2</t>
  </si>
  <si>
    <t xml:space="preserve">Week1 Day3</t>
  </si>
  <si>
    <t xml:space="preserve">Week1 Day4</t>
  </si>
  <si>
    <t xml:space="preserve">Week1 Day5</t>
  </si>
  <si>
    <t xml:space="preserve">Week2 Day1</t>
  </si>
  <si>
    <t xml:space="preserve">Week2 Day2</t>
  </si>
  <si>
    <t xml:space="preserve">Week2 Day3</t>
  </si>
  <si>
    <t xml:space="preserve">Week2 Day4</t>
  </si>
  <si>
    <t xml:space="preserve">Week2 Day5</t>
  </si>
  <si>
    <t xml:space="preserve">Week1 Attendance</t>
  </si>
  <si>
    <t xml:space="preserve">Week2 Attendance</t>
  </si>
  <si>
    <t xml:space="preserve">Overall Attendance</t>
  </si>
  <si>
    <t xml:space="preserve">Final Assignment Completion</t>
  </si>
  <si>
    <t xml:space="preserve">P</t>
  </si>
  <si>
    <t xml:space="preserve">A</t>
  </si>
  <si>
    <t xml:space="preserve">Yes</t>
  </si>
  <si>
    <t xml:space="preserve">No</t>
  </si>
  <si>
    <t xml:space="preserve">p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</si>
</sst>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%"/>
    <numFmt numFmtId="166" formatCode="0.00"/>
  </numFmts>
  <fonts count="26">
    <font>
      <sz val="11"/>
      <color theme="1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ptos Narrow"/>
      <family val="0"/>
      <charset val="1"/>
    </font>
    <font>
      <sz val="14"/>
      <color theme="1"/>
      <name val="Arial Black"/>
      <family val="2"/>
      <charset val="1"/>
    </font>
    <font>
      <b val="true"/>
      <sz val="11"/>
      <color theme="1"/>
      <name val="Arial"/>
      <family val="0"/>
      <charset val="1"/>
    </font>
    <font>
      <sz val="11"/>
      <color theme="1"/>
      <name val="Aptos Narrow"/>
      <family val="0"/>
    </font>
    <font>
      <sz val="12"/>
      <color theme="1"/>
      <name val="Aptos Narrow"/>
      <family val="0"/>
      <charset val="1"/>
    </font>
    <font>
      <b val="true"/>
      <sz val="14"/>
      <color theme="0"/>
      <name val="Arial"/>
      <family val="2"/>
      <charset val="1"/>
    </font>
    <font>
      <sz val="14"/>
      <color theme="1"/>
      <name val="Arial"/>
      <family val="2"/>
      <charset val="1"/>
    </font>
    <font>
      <b val="true"/>
      <sz val="14"/>
      <color theme="1"/>
      <name val="Arial"/>
      <family val="2"/>
      <charset val="1"/>
    </font>
    <font>
      <sz val="11"/>
      <color theme="1"/>
      <name val="Arial"/>
      <family val="0"/>
      <charset val="1"/>
    </font>
    <font>
      <sz val="11"/>
      <name val="Aptos Narrow"/>
      <family val="0"/>
      <charset val="1"/>
    </font>
    <font>
      <b val="true"/>
      <sz val="11"/>
      <name val="Aptos Narrow"/>
      <family val="0"/>
      <charset val="1"/>
    </font>
    <font>
      <sz val="11"/>
      <color theme="1"/>
      <name val="Arial"/>
      <family val="2"/>
      <charset val="1"/>
    </font>
    <font>
      <sz val="20"/>
      <color theme="1"/>
      <name val="Arial"/>
      <family val="2"/>
      <charset val="1"/>
    </font>
    <font>
      <b val="true"/>
      <sz val="12"/>
      <color theme="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20"/>
      <color theme="6"/>
      <name val="Aptos Narrow"/>
      <family val="0"/>
      <charset val="1"/>
    </font>
    <font>
      <sz val="12"/>
      <color theme="1"/>
      <name val="Arial"/>
      <family val="2"/>
      <charset val="1"/>
    </font>
    <font>
      <b val="true"/>
      <sz val="13"/>
      <color theme="1"/>
      <name val="Arial"/>
      <family val="2"/>
      <charset val="1"/>
    </font>
    <font>
      <b val="true"/>
      <sz val="14"/>
      <color theme="1"/>
      <name val="Aptos Narrow"/>
      <family val="0"/>
      <charset val="1"/>
    </font>
    <font>
      <sz val="14"/>
      <color theme="1"/>
      <name val="Aptos Narrow"/>
      <family val="0"/>
      <charset val="1"/>
    </font>
    <font>
      <sz val="12"/>
      <color theme="1"/>
      <name val="Arial"/>
      <family val="0"/>
      <charset val="1"/>
    </font>
    <font>
      <b val="true"/>
      <sz val="14"/>
      <color theme="1"/>
      <name val="Arial"/>
      <family val="0"/>
      <charset val="1"/>
    </font>
  </fonts>
  <fills count="17">
    <fill>
      <patternFill patternType="none"/>
    </fill>
    <fill>
      <patternFill patternType="gray125"/>
    </fill>
    <fill>
      <patternFill patternType="solid">
        <fgColor rgb="FFF2F2F2"/>
        <bgColor rgb="FFF3F3F3"/>
      </patternFill>
    </fill>
    <fill>
      <patternFill patternType="solid">
        <fgColor rgb="FFFFD966"/>
        <bgColor rgb="FFF5C6AC"/>
      </patternFill>
    </fill>
    <fill>
      <patternFill patternType="solid">
        <fgColor rgb="FF333333"/>
        <bgColor rgb="FF333300"/>
      </patternFill>
    </fill>
    <fill>
      <patternFill patternType="solid">
        <fgColor rgb="FFCCCCCC"/>
        <bgColor rgb="FFD0D0D0"/>
      </patternFill>
    </fill>
    <fill>
      <patternFill patternType="solid">
        <fgColor rgb="FFF5C6AC"/>
        <bgColor rgb="FFF4CCCC"/>
      </patternFill>
    </fill>
    <fill>
      <patternFill patternType="solid">
        <fgColor rgb="FFDBE9F7"/>
        <bgColor rgb="FFCFE2F3"/>
      </patternFill>
    </fill>
    <fill>
      <patternFill patternType="solid">
        <fgColor rgb="FFFFFFB3"/>
        <bgColor rgb="FFFFF2CC"/>
      </patternFill>
    </fill>
    <fill>
      <patternFill patternType="solid">
        <fgColor rgb="FFF1CEEE"/>
        <bgColor rgb="FFF4CCCC"/>
      </patternFill>
    </fill>
    <fill>
      <patternFill patternType="solid">
        <fgColor theme="9"/>
        <bgColor rgb="FF808000"/>
      </patternFill>
    </fill>
    <fill>
      <patternFill patternType="solid">
        <fgColor rgb="FFFAE2D5"/>
        <bgColor rgb="FFFFF2CC"/>
      </patternFill>
    </fill>
    <fill>
      <patternFill patternType="solid">
        <fgColor rgb="FFFFFFFF"/>
        <bgColor rgb="FFF3F3F3"/>
      </patternFill>
    </fill>
    <fill>
      <patternFill patternType="solid">
        <fgColor rgb="FFA6C9EB"/>
        <bgColor rgb="FFB7E1CD"/>
      </patternFill>
    </fill>
    <fill>
      <patternFill patternType="solid">
        <fgColor rgb="FFD0D0D0"/>
        <bgColor rgb="FFCCCCCC"/>
      </patternFill>
    </fill>
    <fill>
      <patternFill patternType="solid">
        <fgColor rgb="FFF3F3F3"/>
        <bgColor rgb="FFF2F2F2"/>
      </patternFill>
    </fill>
    <fill>
      <patternFill patternType="solid">
        <fgColor rgb="FFFFF2CC"/>
        <bgColor rgb="FFFAE2D5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7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7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7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8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1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1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3" fillId="0" borderId="0" xfId="22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14" fillId="0" borderId="0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13" fillId="0" borderId="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24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11" borderId="0" xfId="0" applyFont="true" applyBorder="true" applyAlignment="true" applyProtection="false">
      <alignment horizontal="center" vertical="top" textRotation="255" wrapText="false" indent="0" shrinkToFit="false"/>
      <protection locked="true" hidden="false"/>
    </xf>
    <xf numFmtId="164" fontId="11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7" fillId="2" borderId="1" xfId="0" applyFont="true" applyBorder="true" applyAlignment="true" applyProtection="false">
      <alignment horizontal="distributed" vertical="center" textRotation="0" wrapText="true" indent="0" shrinkToFit="false"/>
      <protection locked="true" hidden="false"/>
    </xf>
    <xf numFmtId="164" fontId="17" fillId="2" borderId="2" xfId="0" applyFont="true" applyBorder="true" applyAlignment="true" applyProtection="false">
      <alignment horizontal="distributed" vertical="center" textRotation="0" wrapText="true" indent="0" shrinkToFit="false"/>
      <protection locked="true" hidden="false"/>
    </xf>
    <xf numFmtId="164" fontId="17" fillId="2" borderId="3" xfId="0" applyFont="true" applyBorder="true" applyAlignment="true" applyProtection="false">
      <alignment horizontal="distributed" vertical="center" textRotation="0" wrapText="true" indent="0" shrinkToFit="false"/>
      <protection locked="true" hidden="false"/>
    </xf>
    <xf numFmtId="164" fontId="17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7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8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5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1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5" fillId="0" borderId="1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13" borderId="0" xfId="0" applyFont="true" applyBorder="true" applyAlignment="true" applyProtection="false">
      <alignment horizontal="center" vertical="distributed" textRotation="255" wrapText="false" indent="0" shrinkToFit="false"/>
      <protection locked="true" hidden="false"/>
    </xf>
    <xf numFmtId="164" fontId="11" fillId="14" borderId="0" xfId="0" applyFont="true" applyBorder="true" applyAlignment="true" applyProtection="false">
      <alignment horizontal="center" vertical="distributed" textRotation="0" wrapText="true" indent="0" shrinkToFit="false"/>
      <protection locked="true" hidden="false"/>
    </xf>
    <xf numFmtId="164" fontId="10" fillId="14" borderId="0" xfId="0" applyFont="true" applyBorder="true" applyAlignment="true" applyProtection="false">
      <alignment horizontal="center" vertical="distributed" textRotation="0" wrapText="true" indent="0" shrinkToFit="false"/>
      <protection locked="true" hidden="false"/>
    </xf>
    <xf numFmtId="164" fontId="20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8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distributed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distributed" textRotation="0" wrapText="false" indent="0" shrinkToFit="false"/>
      <protection locked="true" hidden="false"/>
    </xf>
    <xf numFmtId="164" fontId="0" fillId="0" borderId="13" xfId="0" applyFont="true" applyBorder="true" applyAlignment="true" applyProtection="false">
      <alignment horizontal="center" vertical="distributed" textRotation="0" wrapText="false" indent="0" shrinkToFit="false"/>
      <protection locked="true" hidden="false"/>
    </xf>
    <xf numFmtId="164" fontId="0" fillId="0" borderId="14" xfId="0" applyFont="true" applyBorder="true" applyAlignment="true" applyProtection="false">
      <alignment horizontal="center" vertical="distributed" textRotation="0" wrapText="false" indent="0" shrinkToFit="false"/>
      <protection locked="true" hidden="false"/>
    </xf>
    <xf numFmtId="164" fontId="12" fillId="12" borderId="14" xfId="0" applyFont="true" applyBorder="true" applyAlignment="true" applyProtection="false">
      <alignment horizontal="center" vertical="distributed" textRotation="0" wrapText="false" indent="0" shrinkToFit="false"/>
      <protection locked="true" hidden="false"/>
    </xf>
    <xf numFmtId="165" fontId="0" fillId="16" borderId="0" xfId="0" applyFont="true" applyBorder="false" applyAlignment="true" applyProtection="false">
      <alignment horizontal="center" vertical="distributed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distributed" textRotation="0" wrapText="false" indent="0" shrinkToFit="false"/>
      <protection locked="true" hidden="false"/>
    </xf>
    <xf numFmtId="164" fontId="12" fillId="0" borderId="13" xfId="0" applyFont="true" applyBorder="true" applyAlignment="true" applyProtection="false">
      <alignment horizontal="center" vertical="distributed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distributed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center" vertical="distributed" textRotation="0" wrapText="false" indent="0" shrinkToFit="false"/>
      <protection locked="true" hidden="false"/>
    </xf>
    <xf numFmtId="164" fontId="0" fillId="0" borderId="11" xfId="0" applyFont="true" applyBorder="true" applyAlignment="true" applyProtection="false">
      <alignment horizontal="center" vertical="distributed" textRotation="0" wrapText="false" indent="0" shrinkToFit="false"/>
      <protection locked="true" hidden="false"/>
    </xf>
    <xf numFmtId="164" fontId="12" fillId="0" borderId="11" xfId="0" applyFont="true" applyBorder="true" applyAlignment="true" applyProtection="false">
      <alignment horizontal="center" vertical="distributed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center" vertical="distributed" textRotation="0" wrapText="false" indent="0" shrinkToFit="false"/>
      <protection locked="true" hidden="false"/>
    </xf>
    <xf numFmtId="164" fontId="12" fillId="12" borderId="12" xfId="0" applyFont="true" applyBorder="true" applyAlignment="true" applyProtection="false">
      <alignment horizontal="center" vertical="distributed" textRotation="0" wrapText="false" indent="0" shrinkToFit="false"/>
      <protection locked="true" hidden="false"/>
    </xf>
    <xf numFmtId="164" fontId="0" fillId="1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13" borderId="0" xfId="0" applyFont="true" applyBorder="true" applyAlignment="true" applyProtection="false">
      <alignment horizontal="center" vertical="center" textRotation="255" wrapText="false" indent="0" shrinkToFit="false"/>
      <protection locked="true" hidden="false"/>
    </xf>
    <xf numFmtId="164" fontId="22" fillId="14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3" fillId="14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4" fillId="15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4" fillId="15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4" fillId="15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16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5" fillId="16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12" borderId="1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12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Corner" xfId="20"/>
    <cellStyle name="Pivot Table Value" xfId="21"/>
    <cellStyle name="Pivot Table Category" xfId="22"/>
    <cellStyle name="Pivot Table Title" xfId="23"/>
    <cellStyle name="Pivot Table Result" xfId="24"/>
    <cellStyle name="Pivot Table Field" xfId="25"/>
  </cellStyles>
  <dxfs count="18"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CCCC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5C6A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4EA72E"/>
          <bgColor rgb="FF000000"/>
        </patternFill>
      </fill>
    </dxf>
    <dxf>
      <fill>
        <patternFill patternType="solid">
          <fgColor rgb="FFDBE9F7"/>
          <bgColor rgb="FF000000"/>
        </patternFill>
      </fill>
    </dxf>
    <dxf>
      <fill>
        <patternFill patternType="solid">
          <fgColor rgb="FFF1CEEE"/>
          <bgColor rgb="FF000000"/>
        </patternFill>
      </fill>
    </dxf>
    <dxf>
      <fill>
        <patternFill patternType="solid">
          <fgColor rgb="FFFFFFB3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B6D7A8"/>
        </patternFill>
      </fill>
    </dxf>
    <dxf>
      <fill>
        <patternFill>
          <bgColor rgb="FFCFE2F3"/>
        </patternFill>
      </fill>
    </dxf>
    <dxf>
      <fill>
        <patternFill>
          <bgColor rgb="FFB7E1CD"/>
        </patternFill>
      </fill>
    </dxf>
    <dxf>
      <fill>
        <patternFill>
          <bgColor rgb="FFF4CCCC"/>
        </patternFill>
      </fill>
    </dxf>
    <dxf>
      <font>
        <name val="Aptos Narrow"/>
        <charset val="1"/>
        <family val="0"/>
        <b val="1"/>
        <color rgb="FF000000"/>
        <sz val="11"/>
      </font>
      <alignment horizontal="general" vertical="bottom" textRotation="0" wrapText="false" indent="0" shrinkToFit="false"/>
    </dxf>
  </dxfs>
  <colors>
    <indexedColors>
      <rgbColor rgb="FF000000"/>
      <rgbColor rgb="FFFFFFFF"/>
      <rgbColor rgb="FFFF0000"/>
      <rgbColor rgb="FF00FF00"/>
      <rgbColor rgb="FF0000FF"/>
      <rgbColor rgb="FFFAE2D5"/>
      <rgbColor rgb="FFFF00FF"/>
      <rgbColor rgb="FF00FFFF"/>
      <rgbColor rgb="FF9C0006"/>
      <rgbColor rgb="FF186C24"/>
      <rgbColor rgb="FF000080"/>
      <rgbColor rgb="FF808000"/>
      <rgbColor rgb="FF800080"/>
      <rgbColor rgb="FF008080"/>
      <rgbColor rgb="FFCCCCCC"/>
      <rgbColor rgb="FF808080"/>
      <rgbColor rgb="FFF3F3F3"/>
      <rgbColor rgb="FF993366"/>
      <rgbColor rgb="FFFFFFB3"/>
      <rgbColor rgb="FFDBE9F7"/>
      <rgbColor rgb="FF660066"/>
      <rgbColor rgb="FFF4CCCC"/>
      <rgbColor rgb="FF0066CC"/>
      <rgbColor rgb="FFD0D0D0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CFE2F3"/>
      <rgbColor rgb="FFB7E1CD"/>
      <rgbColor rgb="FFFFF2CC"/>
      <rgbColor rgb="FFA6C9EB"/>
      <rgbColor rgb="FFFFC7CE"/>
      <rgbColor rgb="FFF1CEEE"/>
      <rgbColor rgb="FFF5C6AC"/>
      <rgbColor rgb="FF3366FF"/>
      <rgbColor rgb="FF33CCCC"/>
      <rgbColor rgb="FF99CC00"/>
      <rgbColor rgb="FFFFD966"/>
      <rgbColor rgb="FFFF9900"/>
      <rgbColor rgb="FFFF6600"/>
      <rgbColor rgb="FF666699"/>
      <rgbColor rgb="FFB6D7A8"/>
      <rgbColor rgb="FF003366"/>
      <rgbColor rgb="FF4EA72E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<Relationship Id="rId9" Type="http://schemas.openxmlformats.org/officeDocument/2006/relationships/pivotCacheDefinition" Target="pivotCache/pivotCacheDefinition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26" createdVersion="3">
  <cacheSource type="worksheet">
    <worksheetSource ref="A1:I27" sheet="StudentTracker"/>
  </cacheSource>
  <cacheFields count="9">
    <cacheField name="Name" numFmtId="0">
      <sharedItems count="22">
        <s v="Andres"/>
        <s v="Anna"/>
        <s v="Antony"/>
        <s v="Billy"/>
        <s v="Denis"/>
        <s v="Dennis"/>
        <s v="Diana"/>
        <s v="Donna"/>
        <s v="Dustin"/>
        <s v="Elvis"/>
        <s v="John"/>
        <s v="Kate"/>
        <s v="Katy"/>
        <s v="Lana"/>
        <s v="Manny"/>
        <s v="Mary"/>
        <s v="Neto"/>
        <s v="Olivia"/>
        <s v="Omar"/>
        <s v="Robert"/>
        <s v="Ronald"/>
        <s v="Walid"/>
      </sharedItems>
    </cacheField>
    <cacheField name="Surname" numFmtId="0">
      <sharedItems count="24">
        <s v="Andie"/>
        <s v="Baderas"/>
        <s v="Boier"/>
        <s v="Bond"/>
        <s v="Connan"/>
        <s v="Corleone"/>
        <s v="Gas"/>
        <s v="Hus"/>
        <s v="Iniesti"/>
        <s v="Juninhio"/>
        <s v="Kasim"/>
        <s v="Makaron"/>
        <s v="Matip"/>
        <s v="Matt"/>
        <s v="Menace"/>
        <s v="Pac"/>
        <s v="Pape"/>
        <s v="Perri"/>
        <s v="Pinto"/>
        <s v="Potter"/>
        <s v="Rodman"/>
        <s v="Sane"/>
        <s v="Tsakiris"/>
        <s v="Ward"/>
      </sharedItems>
    </cacheField>
    <cacheField name="email" numFmtId="0">
      <sharedItems count="25">
        <s v="AndresIniesti@gmail.com"/>
        <s v="AnnaTsakiris@gmail.com"/>
        <s v="AntonyWard@gmail.com"/>
        <s v="BillySane@gmail.com"/>
        <s v="DenisRodman@gmail.com"/>
        <s v="DennisMenace@gmail.com"/>
        <s v="DianaPinto@gmail.com"/>
        <s v="DonnaCorleone@gmail.com"/>
        <s v="DustinBoier@gmail.com"/>
        <s v="ElvisBond@gmail.com"/>
        <s v="JohnBaderas@gmail.com"/>
        <s v="JohnMakaron@gmail.com"/>
        <s v="KatePotter@gmail.com"/>
        <s v="KatyPerri@gmail.com"/>
        <s v="LanaAndie@gmail.com"/>
        <s v="MannyPac@gmail.com"/>
        <s v="MaryConnan@gmail.com"/>
        <s v="MaryGas@gmail.com"/>
        <s v="NetoJuninhio@gmail.com"/>
        <s v="OliviaMatt@gmail.com"/>
        <s v="OmarKasim@gmail.com"/>
        <s v="RobertHus@gmail.com"/>
        <s v="RonaldConnan@gmail.com"/>
        <s v="RonaldPape@gmail.com"/>
        <s v="WalidMatip@gmail.com"/>
      </sharedItems>
    </cacheField>
    <cacheField name="Class" numFmtId="0">
      <sharedItems count="2">
        <s v="Maths1"/>
        <s v="Physics1"/>
      </sharedItems>
    </cacheField>
    <cacheField name="Attendance" numFmtId="0">
      <sharedItems count="1">
        <e v="#NAME?"/>
      </sharedItems>
    </cacheField>
    <cacheField name="1st test score" numFmtId="0">
      <sharedItems count="1">
        <e v="#NAME?"/>
      </sharedItems>
    </cacheField>
    <cacheField name="2nd test score" numFmtId="0">
      <sharedItems count="1">
        <e v="#NAME?"/>
      </sharedItems>
    </cacheField>
    <cacheField name="Final Project Completed" numFmtId="0">
      <sharedItems count="1">
        <e v="#NAME?"/>
      </sharedItems>
    </cacheField>
    <cacheField name="Certificate Grade" numFmtId="0">
      <sharedItems count="1">
        <e v="#NAME?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6">
  <r>
    <x v="10"/>
    <x v="11"/>
    <x v="11"/>
    <x v="1"/>
    <x v="0"/>
    <x v="0"/>
    <x v="0"/>
    <x v="0"/>
    <x v="0"/>
  </r>
  <r>
    <x v="9"/>
    <x v="3"/>
    <x v="9"/>
    <x v="0"/>
    <x v="0"/>
    <x v="0"/>
    <x v="0"/>
    <x v="0"/>
    <x v="0"/>
  </r>
  <r>
    <x v="15"/>
    <x v="6"/>
    <x v="17"/>
    <x v="0"/>
    <x v="0"/>
    <x v="0"/>
    <x v="0"/>
    <x v="0"/>
    <x v="0"/>
  </r>
  <r>
    <x v="17"/>
    <x v="13"/>
    <x v="19"/>
    <x v="1"/>
    <x v="0"/>
    <x v="0"/>
    <x v="0"/>
    <x v="0"/>
    <x v="0"/>
  </r>
  <r>
    <x v="19"/>
    <x v="7"/>
    <x v="21"/>
    <x v="0"/>
    <x v="0"/>
    <x v="0"/>
    <x v="0"/>
    <x v="0"/>
    <x v="0"/>
  </r>
  <r>
    <x v="18"/>
    <x v="10"/>
    <x v="20"/>
    <x v="0"/>
    <x v="0"/>
    <x v="0"/>
    <x v="0"/>
    <x v="0"/>
    <x v="0"/>
  </r>
  <r>
    <x v="6"/>
    <x v="18"/>
    <x v="6"/>
    <x v="1"/>
    <x v="0"/>
    <x v="0"/>
    <x v="0"/>
    <x v="0"/>
    <x v="0"/>
  </r>
  <r>
    <x v="4"/>
    <x v="20"/>
    <x v="4"/>
    <x v="0"/>
    <x v="0"/>
    <x v="0"/>
    <x v="0"/>
    <x v="0"/>
    <x v="0"/>
  </r>
  <r>
    <x v="11"/>
    <x v="19"/>
    <x v="12"/>
    <x v="1"/>
    <x v="0"/>
    <x v="0"/>
    <x v="0"/>
    <x v="0"/>
    <x v="0"/>
  </r>
  <r>
    <x v="14"/>
    <x v="15"/>
    <x v="15"/>
    <x v="1"/>
    <x v="0"/>
    <x v="0"/>
    <x v="0"/>
    <x v="0"/>
    <x v="0"/>
  </r>
  <r>
    <x v="12"/>
    <x v="17"/>
    <x v="13"/>
    <x v="1"/>
    <x v="0"/>
    <x v="0"/>
    <x v="0"/>
    <x v="0"/>
    <x v="0"/>
  </r>
  <r>
    <x v="2"/>
    <x v="23"/>
    <x v="2"/>
    <x v="1"/>
    <x v="0"/>
    <x v="0"/>
    <x v="0"/>
    <x v="0"/>
    <x v="0"/>
  </r>
  <r>
    <x v="3"/>
    <x v="21"/>
    <x v="3"/>
    <x v="1"/>
    <x v="0"/>
    <x v="0"/>
    <x v="0"/>
    <x v="0"/>
    <x v="0"/>
  </r>
  <r>
    <x v="20"/>
    <x v="4"/>
    <x v="22"/>
    <x v="1"/>
    <x v="0"/>
    <x v="0"/>
    <x v="0"/>
    <x v="0"/>
    <x v="0"/>
  </r>
  <r>
    <x v="10"/>
    <x v="1"/>
    <x v="10"/>
    <x v="0"/>
    <x v="0"/>
    <x v="0"/>
    <x v="0"/>
    <x v="0"/>
    <x v="0"/>
  </r>
  <r>
    <x v="20"/>
    <x v="4"/>
    <x v="22"/>
    <x v="0"/>
    <x v="0"/>
    <x v="0"/>
    <x v="0"/>
    <x v="0"/>
    <x v="0"/>
  </r>
  <r>
    <x v="5"/>
    <x v="14"/>
    <x v="5"/>
    <x v="0"/>
    <x v="0"/>
    <x v="0"/>
    <x v="0"/>
    <x v="0"/>
    <x v="0"/>
  </r>
  <r>
    <x v="20"/>
    <x v="16"/>
    <x v="23"/>
    <x v="0"/>
    <x v="0"/>
    <x v="0"/>
    <x v="0"/>
    <x v="0"/>
    <x v="0"/>
  </r>
  <r>
    <x v="21"/>
    <x v="12"/>
    <x v="24"/>
    <x v="0"/>
    <x v="0"/>
    <x v="0"/>
    <x v="0"/>
    <x v="0"/>
    <x v="0"/>
  </r>
  <r>
    <x v="7"/>
    <x v="5"/>
    <x v="7"/>
    <x v="0"/>
    <x v="0"/>
    <x v="0"/>
    <x v="0"/>
    <x v="0"/>
    <x v="0"/>
  </r>
  <r>
    <x v="15"/>
    <x v="4"/>
    <x v="16"/>
    <x v="0"/>
    <x v="0"/>
    <x v="0"/>
    <x v="0"/>
    <x v="0"/>
    <x v="0"/>
  </r>
  <r>
    <x v="8"/>
    <x v="2"/>
    <x v="8"/>
    <x v="0"/>
    <x v="0"/>
    <x v="0"/>
    <x v="0"/>
    <x v="0"/>
    <x v="0"/>
  </r>
  <r>
    <x v="13"/>
    <x v="0"/>
    <x v="14"/>
    <x v="0"/>
    <x v="0"/>
    <x v="0"/>
    <x v="0"/>
    <x v="0"/>
    <x v="0"/>
  </r>
  <r>
    <x v="1"/>
    <x v="22"/>
    <x v="1"/>
    <x v="1"/>
    <x v="0"/>
    <x v="0"/>
    <x v="0"/>
    <x v="0"/>
    <x v="0"/>
  </r>
  <r>
    <x v="16"/>
    <x v="9"/>
    <x v="18"/>
    <x v="1"/>
    <x v="0"/>
    <x v="0"/>
    <x v="0"/>
    <x v="0"/>
    <x v="0"/>
  </r>
  <r>
    <x v="0"/>
    <x v="8"/>
    <x v="0"/>
    <x v="0"/>
    <x v="0"/>
    <x v="0"/>
    <x v="0"/>
    <x v="0"/>
    <x v="0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StudentTracker" cacheId="1" applyNumberFormats="0" applyBorderFormats="0" applyFontFormats="0" applyPatternFormats="0" applyAlignmentFormats="0" applyWidthHeightFormats="0" dataCaption="Values" showDrill="1" useAutoFormatting="0" itemPrintTitles="1" indent="0" outline="0" outlineData="0" compact="0" compactData="0">
  <location ref="M15:O16" firstHeaderRow="0" firstDataRow="1" firstDataCol="0"/>
  <pivotFields count="9">
    <pivotField compact="0" showAll="0" outline="0"/>
    <pivotField compact="0" showAll="0" outline="0"/>
    <pivotField compact="0" showAll="0" outline="0"/>
    <pivotField axis="axisCol" compact="0" showAll="0" outline="0">
      <items count="3">
        <item x="0"/>
        <item x="1"/>
        <item t="default"/>
      </items>
    </pivotField>
    <pivotField compact="0" showAll="0" outline="0"/>
    <pivotField compact="0" showAll="0" outline="0"/>
    <pivotField compact="0" showAll="0" outline="0"/>
    <pivotField compact="0" showAll="0" outline="0"/>
    <pivotField compact="0" showAll="0" outline="0"/>
  </pivotFields>
  <colFields count="1">
    <field x="3"/>
  </colFields>
  <dataFields count="1">
    <dataField name="Learners Count" fld="8" subtotal="count" numFmtId="164"/>
  </dataField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StudentsEnrolment" displayName="StudentsEnrolment" ref="A1:D44" headerRowCount="1" totalsRowCount="0" totalsRowShown="0">
  <tableColumns count="4">
    <tableColumn id="1" name="Name"/>
    <tableColumn id="2" name="Surname"/>
    <tableColumn id="3" name="email"/>
    <tableColumn id="4" name="Class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 pitchFamily="0" charset="1"/>
        <a:ea typeface="Aptos Narrow" pitchFamily="0" charset="1"/>
        <a:cs typeface="Aptos Narrow" pitchFamily="0" charset="1"/>
      </a:majorFont>
      <a:minorFont>
        <a:latin typeface="Aptos Narrow" pitchFamily="0" charset="1"/>
        <a:ea typeface="Aptos Narrow" pitchFamily="0" charset="1"/>
        <a:cs typeface="Aptos Narrow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0"/>
  <sheetViews>
    <sheetView showFormulas="false" showGridLines="true" showRowColHeaders="true" showZeros="true" rightToLeft="false" tabSelected="false" showOutlineSymbols="true" defaultGridColor="true" view="normal" topLeftCell="A1" colorId="64" zoomScale="77" zoomScaleNormal="77" zoomScalePageLayoutView="100" workbookViewId="0">
      <selection pane="topLeft" activeCell="G2" activeCellId="0" sqref="G2"/>
    </sheetView>
  </sheetViews>
  <sheetFormatPr defaultColWidth="12.63671875" defaultRowHeight="15" zeroHeight="false" outlineLevelRow="0" outlineLevelCol="0"/>
  <cols>
    <col collapsed="false" customWidth="true" hidden="false" outlineLevel="0" max="1" min="1" style="0" width="7.63"/>
    <col collapsed="false" customWidth="true" hidden="false" outlineLevel="0" max="2" min="2" style="0" width="11.88"/>
    <col collapsed="false" customWidth="true" hidden="false" outlineLevel="0" max="3" min="3" style="0" width="18.88"/>
    <col collapsed="false" customWidth="true" hidden="false" outlineLevel="0" max="4" min="4" style="0" width="68.91"/>
    <col collapsed="false" customWidth="true" hidden="false" outlineLevel="0" max="5" min="5" style="0" width="29.1"/>
    <col collapsed="false" customWidth="true" hidden="false" outlineLevel="0" max="6" min="6" style="0" width="36.28"/>
    <col collapsed="false" customWidth="true" hidden="false" outlineLevel="0" max="7" min="7" style="0" width="26.64"/>
    <col collapsed="false" customWidth="true" hidden="false" outlineLevel="0" max="8" min="8" style="0" width="40.06"/>
    <col collapsed="false" customWidth="true" hidden="false" outlineLevel="0" max="9" min="9" style="0" width="35.16"/>
    <col collapsed="false" customWidth="true" hidden="false" outlineLevel="0" max="26" min="10" style="0" width="7.63"/>
  </cols>
  <sheetData>
    <row r="1" customFormat="false" ht="17.3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0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7.35" hidden="false" customHeight="false" outlineLevel="0" collapsed="false">
      <c r="A2" s="3" t="s">
        <v>9</v>
      </c>
      <c r="B2" s="3" t="s">
        <v>10</v>
      </c>
      <c r="C2" s="3" t="str">
        <f aca="false">A2&amp;MID(B2,2,2)&amp;"@gmail.com"</f>
        <v>Johnak@gmail.com</v>
      </c>
      <c r="D2" s="3" t="s">
        <v>11</v>
      </c>
      <c r="E2" s="0" t="str">
        <f aca="false">_xlfn.XLOOKUP(C2,StudentTracker!$C$2:$C$44,StudentTracker!$J$2:$J$44)</f>
        <v>Excellent</v>
      </c>
      <c r="F2" s="2" t="s">
        <v>12</v>
      </c>
      <c r="G2" s="2" t="n">
        <f aca="false">COUNTIF($D$2:$D$444,$F2)</f>
        <v>15</v>
      </c>
      <c r="H2" s="4" t="n">
        <f aca="false">COUNTIFS(D2:D44,F2,E2:E44,"&lt;&gt;Failed")</f>
        <v>13</v>
      </c>
      <c r="I2" s="2" t="n">
        <f aca="false">COUNTIFS(D2:D44,F2,E2:E44,$E$4)</f>
        <v>2</v>
      </c>
    </row>
    <row r="3" customFormat="false" ht="17.35" hidden="false" customHeight="false" outlineLevel="0" collapsed="false">
      <c r="A3" s="3" t="s">
        <v>13</v>
      </c>
      <c r="B3" s="3" t="s">
        <v>14</v>
      </c>
      <c r="C3" s="3" t="str">
        <f aca="false">A3&amp;MID(B3,2,2)&amp;"@gmail.com"</f>
        <v>Elvison@gmail.com</v>
      </c>
      <c r="D3" s="3" t="s">
        <v>12</v>
      </c>
      <c r="E3" s="0" t="str">
        <f aca="false">_xlfn.XLOOKUP(C3,StudentTracker!$C$2:$C$44,StudentTracker!$J$2:$J$44)</f>
        <v>Excellent</v>
      </c>
      <c r="F3" s="2" t="s">
        <v>11</v>
      </c>
      <c r="G3" s="2" t="n">
        <f aca="false">COUNTIF($D$2:$D$444,$F3)</f>
        <v>13</v>
      </c>
      <c r="H3" s="4" t="n">
        <f aca="false">COUNTIFS(D3:D45,F3,E3:E45,"&lt;&gt;Failed")</f>
        <v>10</v>
      </c>
      <c r="I3" s="2" t="n">
        <f aca="false">COUNTIFS(D3:D45,F3,E3:E45,$E$4)</f>
        <v>2</v>
      </c>
    </row>
    <row r="4" customFormat="false" ht="17.35" hidden="false" customHeight="false" outlineLevel="0" collapsed="false">
      <c r="A4" s="3" t="s">
        <v>15</v>
      </c>
      <c r="B4" s="3" t="s">
        <v>16</v>
      </c>
      <c r="C4" s="3" t="str">
        <f aca="false">A4&amp;MID(B4,2,2)&amp;"@gmail.com"</f>
        <v>Maryas@gmail.com</v>
      </c>
      <c r="D4" s="3" t="s">
        <v>12</v>
      </c>
      <c r="E4" s="0" t="str">
        <f aca="false">_xlfn.XLOOKUP(C4,StudentTracker!$C$2:$C$44,StudentTracker!$J$2:$J$44)</f>
        <v>Failed</v>
      </c>
      <c r="F4" s="2" t="s">
        <v>17</v>
      </c>
      <c r="G4" s="2" t="n">
        <f aca="false">COUNTIF($D$2:$D$444,$F4)</f>
        <v>15</v>
      </c>
      <c r="H4" s="4" t="n">
        <f aca="false">COUNTIFS(D4:D46,F4,E4:E46,"&lt;&gt;Failed")</f>
        <v>12</v>
      </c>
      <c r="I4" s="2" t="n">
        <f aca="false">COUNTIFS(D4:D46,F4,E4:E46,$E$4)</f>
        <v>3</v>
      </c>
    </row>
    <row r="5" customFormat="false" ht="15" hidden="false" customHeight="false" outlineLevel="0" collapsed="false">
      <c r="A5" s="3" t="s">
        <v>18</v>
      </c>
      <c r="B5" s="3" t="s">
        <v>19</v>
      </c>
      <c r="C5" s="3" t="str">
        <f aca="false">A5&amp;MID(B5,2,2)&amp;"@gmail.com"</f>
        <v>Oliviaat@gmail.com</v>
      </c>
      <c r="D5" s="3" t="s">
        <v>11</v>
      </c>
      <c r="E5" s="0" t="str">
        <f aca="false">_xlfn.XLOOKUP(C5,StudentTracker!$C$2:$C$44,StudentTracker!$J$2:$J$44)</f>
        <v>Good</v>
      </c>
    </row>
    <row r="6" customFormat="false" ht="15" hidden="false" customHeight="false" outlineLevel="0" collapsed="false">
      <c r="A6" s="3" t="s">
        <v>20</v>
      </c>
      <c r="B6" s="3" t="s">
        <v>21</v>
      </c>
      <c r="C6" s="3" t="str">
        <f aca="false">A6&amp;MID(B6,2,2)&amp;"@gmail.com"</f>
        <v>Robertus@gmail.com</v>
      </c>
      <c r="D6" s="3" t="s">
        <v>12</v>
      </c>
      <c r="E6" s="0" t="str">
        <f aca="false">_xlfn.XLOOKUP(C6,StudentTracker!$C$2:$C$44,StudentTracker!$J$2:$J$44)</f>
        <v>Excellent</v>
      </c>
    </row>
    <row r="7" customFormat="false" ht="15" hidden="false" customHeight="false" outlineLevel="0" collapsed="false">
      <c r="A7" s="3" t="s">
        <v>22</v>
      </c>
      <c r="B7" s="3" t="s">
        <v>23</v>
      </c>
      <c r="C7" s="3" t="str">
        <f aca="false">A7&amp;MID(B7,2,2)&amp;"@gmail.com"</f>
        <v>Omaras@gmail.com</v>
      </c>
      <c r="D7" s="3" t="s">
        <v>12</v>
      </c>
      <c r="E7" s="0" t="str">
        <f aca="false">_xlfn.XLOOKUP(C7,StudentTracker!$C$2:$C$44,StudentTracker!$J$2:$J$44)</f>
        <v>Pass</v>
      </c>
    </row>
    <row r="8" customFormat="false" ht="15" hidden="false" customHeight="false" outlineLevel="0" collapsed="false">
      <c r="A8" s="3" t="s">
        <v>24</v>
      </c>
      <c r="B8" s="3" t="s">
        <v>25</v>
      </c>
      <c r="C8" s="3" t="str">
        <f aca="false">A8&amp;MID(B8,2,2)&amp;"@gmail.com"</f>
        <v>Dianain@gmail.com</v>
      </c>
      <c r="D8" s="3" t="s">
        <v>11</v>
      </c>
      <c r="E8" s="0" t="str">
        <f aca="false">_xlfn.XLOOKUP(C8,StudentTracker!$C$2:$C$44,StudentTracker!$J$2:$J$44)</f>
        <v>Failed</v>
      </c>
    </row>
    <row r="9" customFormat="false" ht="15" hidden="false" customHeight="false" outlineLevel="0" collapsed="false">
      <c r="A9" s="3" t="s">
        <v>26</v>
      </c>
      <c r="B9" s="3" t="s">
        <v>27</v>
      </c>
      <c r="C9" s="3" t="str">
        <f aca="false">A9&amp;MID(B9,2,2)&amp;"@gmail.com"</f>
        <v>Denisod@gmail.com</v>
      </c>
      <c r="D9" s="3" t="s">
        <v>12</v>
      </c>
      <c r="E9" s="0" t="str">
        <f aca="false">_xlfn.XLOOKUP(C9,StudentTracker!$C$2:$C$44,StudentTracker!$J$2:$J$44)</f>
        <v>Good</v>
      </c>
    </row>
    <row r="10" customFormat="false" ht="15" hidden="false" customHeight="false" outlineLevel="0" collapsed="false">
      <c r="A10" s="3" t="s">
        <v>28</v>
      </c>
      <c r="B10" s="3" t="s">
        <v>29</v>
      </c>
      <c r="C10" s="3" t="str">
        <f aca="false">A10&amp;MID(B10,2,2)&amp;"@gmail.com"</f>
        <v>Kateot@gmail.com</v>
      </c>
      <c r="D10" s="3" t="s">
        <v>11</v>
      </c>
      <c r="E10" s="0" t="str">
        <f aca="false">_xlfn.XLOOKUP(C10,StudentTracker!$C$2:$C$44,StudentTracker!$J$2:$J$44)</f>
        <v>Excellent</v>
      </c>
    </row>
    <row r="11" customFormat="false" ht="15" hidden="false" customHeight="false" outlineLevel="0" collapsed="false">
      <c r="A11" s="3" t="s">
        <v>30</v>
      </c>
      <c r="B11" s="3" t="s">
        <v>31</v>
      </c>
      <c r="C11" s="3" t="str">
        <f aca="false">A11&amp;MID(B11,2,2)&amp;"@gmail.com"</f>
        <v>Mannyac@gmail.com</v>
      </c>
      <c r="D11" s="3" t="s">
        <v>11</v>
      </c>
      <c r="E11" s="0" t="str">
        <f aca="false">_xlfn.XLOOKUP(C11,StudentTracker!$C$2:$C$44,StudentTracker!$J$2:$J$44)</f>
        <v>Pass</v>
      </c>
    </row>
    <row r="12" customFormat="false" ht="15" hidden="false" customHeight="false" outlineLevel="0" collapsed="false">
      <c r="A12" s="3" t="s">
        <v>32</v>
      </c>
      <c r="B12" s="3" t="s">
        <v>33</v>
      </c>
      <c r="C12" s="3" t="str">
        <f aca="false">A12&amp;MID(B12,2,2)&amp;"@gmail.com"</f>
        <v>Katyer@gmail.com</v>
      </c>
      <c r="D12" s="3" t="s">
        <v>11</v>
      </c>
      <c r="E12" s="0" t="str">
        <f aca="false">_xlfn.XLOOKUP(C12,StudentTracker!$C$2:$C$44,StudentTracker!$J$2:$J$44)</f>
        <v>Excellent</v>
      </c>
    </row>
    <row r="13" customFormat="false" ht="15" hidden="false" customHeight="false" outlineLevel="0" collapsed="false">
      <c r="A13" s="3" t="s">
        <v>34</v>
      </c>
      <c r="B13" s="3" t="s">
        <v>35</v>
      </c>
      <c r="C13" s="3" t="str">
        <f aca="false">A13&amp;MID(B13,2,2)&amp;"@gmail.com"</f>
        <v>Antonyar@gmail.com</v>
      </c>
      <c r="D13" s="3" t="s">
        <v>11</v>
      </c>
      <c r="E13" s="0" t="str">
        <f aca="false">_xlfn.XLOOKUP(C13,StudentTracker!$C$2:$C$44,StudentTracker!$J$2:$J$44)</f>
        <v>Good</v>
      </c>
    </row>
    <row r="14" customFormat="false" ht="15" hidden="false" customHeight="false" outlineLevel="0" collapsed="false">
      <c r="A14" s="3" t="s">
        <v>36</v>
      </c>
      <c r="B14" s="3" t="s">
        <v>37</v>
      </c>
      <c r="C14" s="3" t="str">
        <f aca="false">A14&amp;MID(B14,2,2)&amp;"@gmail.com"</f>
        <v>Billyan@gmail.com</v>
      </c>
      <c r="D14" s="3" t="s">
        <v>11</v>
      </c>
      <c r="E14" s="0" t="str">
        <f aca="false">_xlfn.XLOOKUP(C14,StudentTracker!$C$2:$C$44,StudentTracker!$J$2:$J$44)</f>
        <v>Pass</v>
      </c>
    </row>
    <row r="15" customFormat="false" ht="15" hidden="false" customHeight="false" outlineLevel="0" collapsed="false">
      <c r="A15" s="3" t="s">
        <v>38</v>
      </c>
      <c r="B15" s="3" t="s">
        <v>39</v>
      </c>
      <c r="C15" s="3" t="str">
        <f aca="false">A15&amp;MID(B15,2,2)&amp;"@gmail.com"</f>
        <v>Ronaldon@gmail.com</v>
      </c>
      <c r="D15" s="3" t="s">
        <v>11</v>
      </c>
      <c r="E15" s="0" t="str">
        <f aca="false">_xlfn.XLOOKUP(C15,StudentTracker!$C$2:$C$44,StudentTracker!$J$2:$J$44)</f>
        <v>Good</v>
      </c>
    </row>
    <row r="16" customFormat="false" ht="15" hidden="false" customHeight="false" outlineLevel="0" collapsed="false">
      <c r="A16" s="3" t="s">
        <v>9</v>
      </c>
      <c r="B16" s="3" t="s">
        <v>40</v>
      </c>
      <c r="C16" s="3" t="str">
        <f aca="false">A16&amp;MID(B16,2,2)&amp;"@gmail.com"</f>
        <v>Johnad@gmail.com</v>
      </c>
      <c r="D16" s="3" t="s">
        <v>12</v>
      </c>
      <c r="E16" s="0" t="str">
        <f aca="false">_xlfn.XLOOKUP(C16,StudentTracker!$C$2:$C$44,StudentTracker!$J$2:$J$44)</f>
        <v>Excellent</v>
      </c>
    </row>
    <row r="17" customFormat="false" ht="15" hidden="false" customHeight="false" outlineLevel="0" collapsed="false">
      <c r="A17" s="3" t="s">
        <v>38</v>
      </c>
      <c r="B17" s="3" t="s">
        <v>39</v>
      </c>
      <c r="C17" s="3" t="str">
        <f aca="false">A17&amp;MID(B17,2,2)&amp;"@gmail.com"</f>
        <v>Ronaldon@gmail.com</v>
      </c>
      <c r="D17" s="3" t="s">
        <v>12</v>
      </c>
      <c r="E17" s="0" t="str">
        <f aca="false">_xlfn.XLOOKUP(C17,StudentTracker!$C$2:$C$44,StudentTracker!$J$2:$J$44)</f>
        <v>Good</v>
      </c>
    </row>
    <row r="18" customFormat="false" ht="15" hidden="false" customHeight="false" outlineLevel="0" collapsed="false">
      <c r="A18" s="3" t="s">
        <v>41</v>
      </c>
      <c r="B18" s="3" t="s">
        <v>42</v>
      </c>
      <c r="C18" s="3" t="str">
        <f aca="false">A18&amp;MID(B18,2,2)&amp;"@gmail.com"</f>
        <v>Dennisen@gmail.com</v>
      </c>
      <c r="D18" s="3" t="s">
        <v>12</v>
      </c>
      <c r="E18" s="0" t="str">
        <f aca="false">_xlfn.XLOOKUP(C18,StudentTracker!$C$2:$C$44,StudentTracker!$J$2:$J$44)</f>
        <v>Excellent</v>
      </c>
    </row>
    <row r="19" customFormat="false" ht="15" hidden="false" customHeight="false" outlineLevel="0" collapsed="false">
      <c r="A19" s="3" t="s">
        <v>38</v>
      </c>
      <c r="B19" s="3" t="s">
        <v>43</v>
      </c>
      <c r="C19" s="3" t="str">
        <f aca="false">A19&amp;MID(B19,2,2)&amp;"@gmail.com"</f>
        <v>Ronaldap@gmail.com</v>
      </c>
      <c r="D19" s="3" t="s">
        <v>12</v>
      </c>
      <c r="E19" s="0" t="str">
        <f aca="false">_xlfn.XLOOKUP(C19,StudentTracker!$C$2:$C$44,StudentTracker!$J$2:$J$44)</f>
        <v>Good</v>
      </c>
    </row>
    <row r="20" customFormat="false" ht="15" hidden="false" customHeight="false" outlineLevel="0" collapsed="false">
      <c r="A20" s="3" t="s">
        <v>44</v>
      </c>
      <c r="B20" s="3" t="s">
        <v>45</v>
      </c>
      <c r="C20" s="3" t="str">
        <f aca="false">A20&amp;MID(B20,2,2)&amp;"@gmail.com"</f>
        <v>Walidat@gmail.com</v>
      </c>
      <c r="D20" s="3" t="s">
        <v>12</v>
      </c>
      <c r="E20" s="0" t="str">
        <f aca="false">_xlfn.XLOOKUP(C20,StudentTracker!$C$2:$C$44,StudentTracker!$J$2:$J$44)</f>
        <v>Excellent</v>
      </c>
    </row>
    <row r="21" customFormat="false" ht="15.75" hidden="false" customHeight="true" outlineLevel="0" collapsed="false">
      <c r="A21" s="3" t="s">
        <v>46</v>
      </c>
      <c r="B21" s="3" t="s">
        <v>47</v>
      </c>
      <c r="C21" s="3" t="str">
        <f aca="false">A21&amp;MID(B21,2,2)&amp;"@gmail.com"</f>
        <v>Donnaor@gmail.com</v>
      </c>
      <c r="D21" s="3" t="s">
        <v>12</v>
      </c>
      <c r="E21" s="0" t="str">
        <f aca="false">_xlfn.XLOOKUP(C21,StudentTracker!$C$2:$C$44,StudentTracker!$J$2:$J$44)</f>
        <v>Excellent</v>
      </c>
    </row>
    <row r="22" customFormat="false" ht="15.75" hidden="false" customHeight="true" outlineLevel="0" collapsed="false">
      <c r="A22" s="3" t="s">
        <v>15</v>
      </c>
      <c r="B22" s="3" t="s">
        <v>39</v>
      </c>
      <c r="C22" s="3" t="str">
        <f aca="false">A22&amp;MID(B22,2,2)&amp;"@gmail.com"</f>
        <v>Maryon@gmail.com</v>
      </c>
      <c r="D22" s="3" t="s">
        <v>12</v>
      </c>
      <c r="E22" s="0" t="str">
        <f aca="false">_xlfn.XLOOKUP(C22,StudentTracker!$C$2:$C$44,StudentTracker!$J$2:$J$44)</f>
        <v>Pass</v>
      </c>
    </row>
    <row r="23" customFormat="false" ht="15.75" hidden="false" customHeight="true" outlineLevel="0" collapsed="false">
      <c r="A23" s="3" t="s">
        <v>48</v>
      </c>
      <c r="B23" s="3" t="s">
        <v>49</v>
      </c>
      <c r="C23" s="3" t="str">
        <f aca="false">A23&amp;MID(B23,2,2)&amp;"@gmail.com"</f>
        <v>Dustinoi@gmail.com</v>
      </c>
      <c r="D23" s="3" t="s">
        <v>12</v>
      </c>
      <c r="E23" s="0" t="str">
        <f aca="false">_xlfn.XLOOKUP(C23,StudentTracker!$C$2:$C$44,StudentTracker!$J$2:$J$44)</f>
        <v>Failed</v>
      </c>
    </row>
    <row r="24" customFormat="false" ht="15.75" hidden="false" customHeight="true" outlineLevel="0" collapsed="false">
      <c r="A24" s="3" t="s">
        <v>50</v>
      </c>
      <c r="B24" s="3" t="s">
        <v>51</v>
      </c>
      <c r="C24" s="3" t="str">
        <f aca="false">A24&amp;MID(B24,2,2)&amp;"@gmail.com"</f>
        <v>Lanand@gmail.com</v>
      </c>
      <c r="D24" s="3" t="s">
        <v>12</v>
      </c>
      <c r="E24" s="0" t="str">
        <f aca="false">_xlfn.XLOOKUP(C24,StudentTracker!$C$2:$C$44,StudentTracker!$J$2:$J$44)</f>
        <v>Excellent</v>
      </c>
    </row>
    <row r="25" customFormat="false" ht="15.75" hidden="false" customHeight="true" outlineLevel="0" collapsed="false">
      <c r="A25" s="3" t="s">
        <v>52</v>
      </c>
      <c r="B25" s="3" t="s">
        <v>53</v>
      </c>
      <c r="C25" s="3" t="str">
        <f aca="false">A25&amp;MID(B25,2,2)&amp;"@gmail.com"</f>
        <v>Annasa@gmail.com</v>
      </c>
      <c r="D25" s="3" t="s">
        <v>11</v>
      </c>
      <c r="E25" s="0" t="str">
        <f aca="false">_xlfn.XLOOKUP(C25,StudentTracker!$C$2:$C$44,StudentTracker!$J$2:$J$44)</f>
        <v>Good</v>
      </c>
    </row>
    <row r="26" customFormat="false" ht="15.75" hidden="false" customHeight="true" outlineLevel="0" collapsed="false">
      <c r="A26" s="3" t="s">
        <v>54</v>
      </c>
      <c r="B26" s="3" t="s">
        <v>55</v>
      </c>
      <c r="C26" s="3" t="str">
        <f aca="false">A26&amp;MID(B26,2,2)&amp;"@gmail.com"</f>
        <v>Netoun@gmail.com</v>
      </c>
      <c r="D26" s="3" t="s">
        <v>11</v>
      </c>
      <c r="E26" s="0" t="str">
        <f aca="false">_xlfn.XLOOKUP(C26,StudentTracker!$C$2:$C$44,StudentTracker!$J$2:$J$44)</f>
        <v>Failed</v>
      </c>
    </row>
    <row r="27" customFormat="false" ht="15.75" hidden="false" customHeight="true" outlineLevel="0" collapsed="false">
      <c r="A27" s="3" t="s">
        <v>56</v>
      </c>
      <c r="B27" s="3" t="s">
        <v>57</v>
      </c>
      <c r="C27" s="3" t="str">
        <f aca="false">A27&amp;MID(B27,2,2)&amp;"@gmail.com"</f>
        <v>Andresni@gmail.com</v>
      </c>
      <c r="D27" s="3" t="s">
        <v>12</v>
      </c>
      <c r="E27" s="0" t="str">
        <f aca="false">_xlfn.XLOOKUP(C27,StudentTracker!$C$2:$C$44,StudentTracker!$J$2:$J$44)</f>
        <v>Good</v>
      </c>
    </row>
    <row r="28" customFormat="false" ht="15.75" hidden="false" customHeight="true" outlineLevel="0" collapsed="false">
      <c r="A28" s="0" t="s">
        <v>58</v>
      </c>
      <c r="B28" s="0" t="s">
        <v>59</v>
      </c>
      <c r="C28" s="3" t="str">
        <f aca="false">A28&amp;MID(B28,2,2)&amp;"@gmail.com"</f>
        <v>Katiear@gmail.com</v>
      </c>
      <c r="D28" s="0" t="s">
        <v>17</v>
      </c>
      <c r="E28" s="0" t="str">
        <f aca="false">_xlfn.XLOOKUP(C28,StudentTracker!$C$2:$C$44,StudentTracker!$J$2:$J$44)</f>
        <v>Excellent</v>
      </c>
    </row>
    <row r="29" customFormat="false" ht="15.75" hidden="false" customHeight="true" outlineLevel="0" collapsed="false">
      <c r="A29" s="0" t="s">
        <v>60</v>
      </c>
      <c r="B29" s="0" t="s">
        <v>61</v>
      </c>
      <c r="C29" s="3" t="str">
        <f aca="false">A29&amp;MID(B29,2,2)&amp;"@gmail.com"</f>
        <v>Ronaldoel@gmail.com</v>
      </c>
      <c r="D29" s="0" t="s">
        <v>17</v>
      </c>
      <c r="E29" s="0" t="str">
        <f aca="false">_xlfn.XLOOKUP(C29,StudentTracker!$C$2:$C$44,StudentTracker!$J$2:$J$44)</f>
        <v>Failed</v>
      </c>
    </row>
    <row r="30" customFormat="false" ht="15.75" hidden="false" customHeight="true" outlineLevel="0" collapsed="false">
      <c r="A30" s="0" t="s">
        <v>62</v>
      </c>
      <c r="B30" s="0" t="s">
        <v>63</v>
      </c>
      <c r="C30" s="3" t="str">
        <f aca="false">A30&amp;MID(B30,2,2)&amp;"@gmail.com"</f>
        <v>Deanol@gmail.com</v>
      </c>
      <c r="D30" s="0" t="s">
        <v>17</v>
      </c>
      <c r="E30" s="0" t="str">
        <f aca="false">_xlfn.XLOOKUP(C30,StudentTracker!$C$2:$C$44,StudentTracker!$J$2:$J$44)</f>
        <v>Excellent</v>
      </c>
    </row>
    <row r="31" customFormat="false" ht="15.75" hidden="false" customHeight="true" outlineLevel="0" collapsed="false">
      <c r="A31" s="0" t="s">
        <v>64</v>
      </c>
      <c r="B31" s="0" t="s">
        <v>65</v>
      </c>
      <c r="C31" s="3" t="str">
        <f aca="false">A31&amp;MID(B31,2,2)&amp;"@gmail.com"</f>
        <v>Paoloas@gmail.com</v>
      </c>
      <c r="D31" s="0" t="s">
        <v>17</v>
      </c>
      <c r="E31" s="0" t="str">
        <f aca="false">_xlfn.XLOOKUP(C31,StudentTracker!$C$2:$C$44,StudentTracker!$J$2:$J$44)</f>
        <v>Good</v>
      </c>
    </row>
    <row r="32" customFormat="false" ht="15.75" hidden="false" customHeight="true" outlineLevel="0" collapsed="false">
      <c r="A32" s="0" t="s">
        <v>66</v>
      </c>
      <c r="B32" s="0" t="s">
        <v>67</v>
      </c>
      <c r="C32" s="3" t="str">
        <f aca="false">A32&amp;MID(B32,2,2)&amp;"@gmail.com"</f>
        <v>Jean am@gmail.com</v>
      </c>
      <c r="D32" s="0" t="s">
        <v>17</v>
      </c>
      <c r="E32" s="0" t="str">
        <f aca="false">_xlfn.XLOOKUP(C32,StudentTracker!$C$2:$C$44,StudentTracker!$J$2:$J$44)</f>
        <v>Good</v>
      </c>
    </row>
    <row r="33" customFormat="false" ht="15.75" hidden="false" customHeight="true" outlineLevel="0" collapsed="false">
      <c r="A33" s="0" t="s">
        <v>68</v>
      </c>
      <c r="B33" s="0" t="s">
        <v>69</v>
      </c>
      <c r="C33" s="3" t="str">
        <f aca="false">A33&amp;MID(B33,2,2)&amp;"@gmail.com"</f>
        <v>Helen ir@gmail.com</v>
      </c>
      <c r="D33" s="0" t="s">
        <v>17</v>
      </c>
      <c r="E33" s="0" t="str">
        <f aca="false">_xlfn.XLOOKUP(C33,StudentTracker!$C$2:$C$44,StudentTracker!$J$2:$J$44)</f>
        <v>Excellent</v>
      </c>
    </row>
    <row r="34" customFormat="false" ht="15.75" hidden="false" customHeight="true" outlineLevel="0" collapsed="false">
      <c r="A34" s="0" t="s">
        <v>18</v>
      </c>
      <c r="B34" s="0" t="s">
        <v>70</v>
      </c>
      <c r="C34" s="3" t="str">
        <f aca="false">A34&amp;MID(B34,2,2)&amp;"@gmail.com"</f>
        <v>Oliviaan@gmail.com</v>
      </c>
      <c r="D34" s="0" t="s">
        <v>17</v>
      </c>
      <c r="E34" s="0" t="str">
        <f aca="false">_xlfn.XLOOKUP(C34,StudentTracker!$C$2:$C$44,StudentTracker!$J$2:$J$44)</f>
        <v>Good</v>
      </c>
    </row>
    <row r="35" customFormat="false" ht="15.75" hidden="false" customHeight="true" outlineLevel="0" collapsed="false">
      <c r="A35" s="0" t="s">
        <v>71</v>
      </c>
      <c r="B35" s="0" t="s">
        <v>72</v>
      </c>
      <c r="C35" s="3" t="str">
        <f aca="false">A35&amp;MID(B35,2,2)&amp;"@gmail.com"</f>
        <v>Evita ar@gmail.com</v>
      </c>
      <c r="D35" s="0" t="s">
        <v>17</v>
      </c>
      <c r="E35" s="0" t="str">
        <f aca="false">_xlfn.XLOOKUP(C35,StudentTracker!$C$2:$C$44,StudentTracker!$J$2:$J$44)</f>
        <v>Excellent</v>
      </c>
    </row>
    <row r="36" customFormat="false" ht="15.75" hidden="false" customHeight="true" outlineLevel="0" collapsed="false">
      <c r="A36" s="0" t="s">
        <v>73</v>
      </c>
      <c r="B36" s="0" t="s">
        <v>74</v>
      </c>
      <c r="C36" s="3" t="str">
        <f aca="false">A36&amp;MID(B36,2,2)&amp;"@gmail.com"</f>
        <v>Muhammed as@gmail.com</v>
      </c>
      <c r="D36" s="0" t="s">
        <v>17</v>
      </c>
      <c r="E36" s="0" t="str">
        <f aca="false">_xlfn.XLOOKUP(C36,StudentTracker!$C$2:$C$44,StudentTracker!$J$2:$J$44)</f>
        <v>Good</v>
      </c>
    </row>
    <row r="37" customFormat="false" ht="15.75" hidden="false" customHeight="true" outlineLevel="0" collapsed="false">
      <c r="A37" s="0" t="s">
        <v>75</v>
      </c>
      <c r="B37" s="0" t="s">
        <v>76</v>
      </c>
      <c r="C37" s="3" t="str">
        <f aca="false">A37&amp;MID(B37,2,2)&amp;"@gmail.com"</f>
        <v>Billil@gmail.com</v>
      </c>
      <c r="D37" s="0" t="s">
        <v>17</v>
      </c>
      <c r="E37" s="0" t="str">
        <f aca="false">_xlfn.XLOOKUP(C37,StudentTracker!$C$2:$C$44,StudentTracker!$J$2:$J$44)</f>
        <v>Excellent</v>
      </c>
    </row>
    <row r="38" customFormat="false" ht="15.75" hidden="false" customHeight="true" outlineLevel="0" collapsed="false">
      <c r="A38" s="0" t="s">
        <v>77</v>
      </c>
      <c r="B38" s="0" t="s">
        <v>78</v>
      </c>
      <c r="C38" s="3" t="str">
        <f aca="false">A38&amp;MID(B38,2,2)&amp;"@gmail.com"</f>
        <v>Barioar@gmail.com</v>
      </c>
      <c r="D38" s="0" t="s">
        <v>17</v>
      </c>
      <c r="E38" s="0" t="str">
        <f aca="false">_xlfn.XLOOKUP(C38,StudentTracker!$C$2:$C$44,StudentTracker!$J$2:$J$44)</f>
        <v>Excellent</v>
      </c>
    </row>
    <row r="39" customFormat="false" ht="15.75" hidden="false" customHeight="true" outlineLevel="0" collapsed="false">
      <c r="A39" s="0" t="s">
        <v>79</v>
      </c>
      <c r="B39" s="0" t="s">
        <v>80</v>
      </c>
      <c r="C39" s="3" t="str">
        <f aca="false">A39&amp;MID(B39,2,2)&amp;"@gmail.com"</f>
        <v>Silvioer@gmail.com</v>
      </c>
      <c r="D39" s="0" t="s">
        <v>17</v>
      </c>
      <c r="E39" s="0" t="str">
        <f aca="false">_xlfn.XLOOKUP(C39,StudentTracker!$C$2:$C$44,StudentTracker!$J$2:$J$44)</f>
        <v>Failed</v>
      </c>
    </row>
    <row r="40" customFormat="false" ht="15.75" hidden="false" customHeight="true" outlineLevel="0" collapsed="false">
      <c r="A40" s="0" t="s">
        <v>81</v>
      </c>
      <c r="B40" s="0" t="s">
        <v>82</v>
      </c>
      <c r="C40" s="3" t="str">
        <f aca="false">A40&amp;MID(B40,2,2)&amp;"@gmail.com"</f>
        <v>Suziear@gmail.com</v>
      </c>
      <c r="D40" s="0" t="s">
        <v>17</v>
      </c>
      <c r="E40" s="0" t="str">
        <f aca="false">_xlfn.XLOOKUP(C40,StudentTracker!$C$2:$C$44,StudentTracker!$J$2:$J$44)</f>
        <v>Failed</v>
      </c>
    </row>
    <row r="41" customFormat="false" ht="15.75" hidden="false" customHeight="true" outlineLevel="0" collapsed="false">
      <c r="A41" s="0" t="s">
        <v>83</v>
      </c>
      <c r="B41" s="0" t="s">
        <v>84</v>
      </c>
      <c r="C41" s="3" t="str">
        <f aca="false">A41&amp;MID(B41,2,2)&amp;"@gmail.com"</f>
        <v>Donaldlb@gmail.com</v>
      </c>
      <c r="D41" s="0" t="s">
        <v>17</v>
      </c>
      <c r="E41" s="0" t="str">
        <f aca="false">_xlfn.XLOOKUP(C41,StudentTracker!$C$2:$C$44,StudentTracker!$J$2:$J$44)</f>
        <v>Excellent</v>
      </c>
    </row>
    <row r="42" customFormat="false" ht="15.75" hidden="false" customHeight="true" outlineLevel="0" collapsed="false">
      <c r="A42" s="0" t="s">
        <v>85</v>
      </c>
      <c r="B42" s="0" t="s">
        <v>86</v>
      </c>
      <c r="C42" s="3" t="str">
        <f aca="false">A42&amp;MID(B42,2,2)&amp;"@gmail.com"</f>
        <v>Inahr@gmail.com</v>
      </c>
      <c r="D42" s="0" t="s">
        <v>17</v>
      </c>
      <c r="E42" s="0" t="str">
        <f aca="false">_xlfn.XLOOKUP(C42,StudentTracker!$C$2:$C$44,StudentTracker!$J$2:$J$44)</f>
        <v>Good</v>
      </c>
    </row>
    <row r="43" customFormat="false" ht="15.75" hidden="false" customHeight="true" outlineLevel="0" collapsed="false">
      <c r="A43" s="0" t="s">
        <v>87</v>
      </c>
      <c r="B43" s="0" t="s">
        <v>88</v>
      </c>
      <c r="C43" s="3" t="str">
        <f aca="false">A43&amp;MID(B43,2,2)&amp;"@gmail.com"</f>
        <v>Weiao@gmail.com</v>
      </c>
      <c r="D43" s="0" t="s">
        <v>11</v>
      </c>
      <c r="E43" s="0" t="str">
        <f aca="false">_xlfn.XLOOKUP(C43,StudentTracker!$C$2:$C$44,StudentTracker!$J$2:$J$44)</f>
        <v>Good</v>
      </c>
    </row>
    <row r="44" customFormat="false" ht="15.75" hidden="false" customHeight="true" outlineLevel="0" collapsed="false">
      <c r="A44" s="0" t="s">
        <v>89</v>
      </c>
      <c r="B44" s="0" t="s">
        <v>90</v>
      </c>
      <c r="C44" s="3" t="str">
        <f aca="false">A44&amp;MID(B44,2,2)&amp;"@gmail.com"</f>
        <v>Kostasou@gmail.com</v>
      </c>
      <c r="D44" s="0" t="s">
        <v>11</v>
      </c>
      <c r="E44" s="0" t="str">
        <f aca="false">_xlfn.XLOOKUP(C44,StudentTracker!$C$2:$C$44,StudentTracker!$J$2:$J$44)</f>
        <v>Excellent</v>
      </c>
    </row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1000"/>
  <sheetViews>
    <sheetView showFormulas="false" showGridLines="true" showRowColHeaders="true" showZeros="true" rightToLeft="false" tabSelected="true" showOutlineSymbols="true" defaultGridColor="true" view="normal" topLeftCell="A1" colorId="64" zoomScale="77" zoomScaleNormal="77" zoomScalePageLayoutView="100" workbookViewId="0">
      <selection pane="topLeft" activeCell="I2" activeCellId="0" sqref="I2"/>
    </sheetView>
  </sheetViews>
  <sheetFormatPr defaultColWidth="12.63671875" defaultRowHeight="15" zeroHeight="false" outlineLevelRow="0" outlineLevelCol="0"/>
  <cols>
    <col collapsed="false" customWidth="true" hidden="false" outlineLevel="0" max="1" min="1" style="0" width="11.63"/>
    <col collapsed="false" customWidth="true" hidden="false" outlineLevel="0" max="3" min="3" style="0" width="23.75"/>
    <col collapsed="false" customWidth="true" hidden="false" outlineLevel="0" max="4" min="4" style="0" width="11.75"/>
    <col collapsed="false" customWidth="true" hidden="false" outlineLevel="0" max="5" min="5" style="0" width="10.5"/>
    <col collapsed="false" customWidth="true" hidden="false" outlineLevel="0" max="6" min="6" style="0" width="36.85"/>
    <col collapsed="false" customWidth="true" hidden="false" outlineLevel="0" max="7" min="7" style="0" width="12.38"/>
    <col collapsed="false" customWidth="true" hidden="false" outlineLevel="0" max="8" min="8" style="0" width="26.46"/>
    <col collapsed="false" customWidth="true" hidden="false" outlineLevel="0" max="9" min="9" style="0" width="33.45"/>
    <col collapsed="false" customWidth="true" hidden="false" outlineLevel="0" max="10" min="10" style="0" width="20.22"/>
    <col collapsed="false" customWidth="true" hidden="false" outlineLevel="0" max="11" min="11" style="0" width="7.63"/>
    <col collapsed="false" customWidth="true" hidden="false" outlineLevel="0" max="12" min="12" style="0" width="9.12"/>
    <col collapsed="false" customWidth="true" hidden="false" outlineLevel="0" max="13" min="13" style="0" width="16.75"/>
    <col collapsed="false" customWidth="true" hidden="false" outlineLevel="0" max="14" min="14" style="0" width="24"/>
    <col collapsed="false" customWidth="true" hidden="false" outlineLevel="0" max="15" min="15" style="0" width="16.75"/>
    <col collapsed="false" customWidth="true" hidden="false" outlineLevel="0" max="16" min="16" style="0" width="15.89"/>
    <col collapsed="false" customWidth="true" hidden="false" outlineLevel="0" max="49" min="17" style="0" width="7.63"/>
  </cols>
  <sheetData>
    <row r="1" customFormat="false" ht="25.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91</v>
      </c>
      <c r="F1" s="5" t="s">
        <v>92</v>
      </c>
      <c r="G1" s="5" t="s">
        <v>93</v>
      </c>
      <c r="H1" s="6" t="s">
        <v>94</v>
      </c>
      <c r="I1" s="6" t="s">
        <v>95</v>
      </c>
      <c r="J1" s="5" t="s">
        <v>96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</row>
    <row r="2" customFormat="false" ht="17.35" hidden="false" customHeight="false" outlineLevel="0" collapsed="false">
      <c r="A2" s="8" t="str">
        <f aca="false">StudendEnroll!A2</f>
        <v>John</v>
      </c>
      <c r="B2" s="8" t="str">
        <f aca="false">StudendEnroll!B2</f>
        <v>Makaron</v>
      </c>
      <c r="C2" s="8" t="str">
        <f aca="false">StudendEnroll!C2</f>
        <v>Johnak@gmail.com</v>
      </c>
      <c r="D2" s="8" t="str">
        <f aca="false">StudendEnroll!D2</f>
        <v>Physics1</v>
      </c>
      <c r="E2" s="9" t="n">
        <f aca="false">IF(D2=$N$3,(_xlfn.XLOOKUP(C2,'Physics1.DailyAttendance'!$D$2:$D$14,'Physics1.DailyAttendance'!$R$2:$R$14)),_xlfn.XLOOKUP(C2,'Maths1.DailyAttendance'!$D$2:$D$16,'Maths1.DailyAttendance'!$R$2:$R$16,_xlfn.XLOOKUP(C2,'English Language'!$D$2:$D$16,'English Language'!$R$2:$R$16)))</f>
        <v>0.8</v>
      </c>
      <c r="F2" s="10" t="n">
        <f aca="false">IF(D2=$N$3,(_xlfn.XLOOKUP(C2,'Physics1.DailyAttendance'!$D$2:$D$16,'Physics1.DailyAttendance'!$S$2:$S$16)),_xlfn.XLOOKUP(C2,'Maths1.DailyAttendance'!$D$2:$D$16,'Maths1.DailyAttendance'!$S$2:$S$16,_xlfn.XLOOKUP(C2,'English Language'!D$2:$D$16,'English Language'!$S$2:$S$16)))</f>
        <v>85</v>
      </c>
      <c r="G2" s="10" t="n">
        <f aca="false">IF(D2=$N$3,(_xlfn.XLOOKUP(C2,'Physics1.DailyAttendance'!$D$2:$D$16,'Physics1.DailyAttendance'!$T$2:$T$16)),_xlfn.XLOOKUP(C2,'Maths1.DailyAttendance'!$D$2:$D$16,'Maths1.DailyAttendance'!$T$2:$T$16,_xlfn.XLOOKUP(C2,'English Language'!$D$2:$D$16,'English Language'!$T$2:$T$16)))</f>
        <v>87</v>
      </c>
      <c r="H2" s="10" t="str">
        <f aca="false">IF(D2=$N$3,(_xlfn.XLOOKUP(C2,'Physics1.DailyAttendance'!$D$2:$D$16,'Physics1.DailyAttendance'!$U$2:$U$16)),_xlfn.XLOOKUP(C2,'Maths1.DailyAttendance'!$D$2:$D$16,'Maths1.DailyAttendance'!$U$2:$U$16,_xlfn.XLOOKUP(C2,'English Language'!$D$2:F$16,'English Language'!$U$2:$U$16)))</f>
        <v>Yes</v>
      </c>
      <c r="I2" s="11" t="n">
        <f aca="false">(E2*40)+F2*0.15+G2*0.2+(IF(H2="Yes",25,0))</f>
        <v>87.15</v>
      </c>
      <c r="J2" s="12" t="str">
        <f aca="false">IF(I2&gt;87,"Excellent",IF(I2&lt;70,"Failed",IF(I2&gt;77,"Good","Pass")))</f>
        <v>Excellent</v>
      </c>
      <c r="K2" s="8"/>
      <c r="L2" s="8"/>
      <c r="M2" s="8"/>
      <c r="N2" s="13" t="s">
        <v>97</v>
      </c>
      <c r="P2" s="14" t="s">
        <v>98</v>
      </c>
      <c r="Q2" s="14"/>
      <c r="R2" s="14"/>
      <c r="S2" s="14"/>
      <c r="T2" s="14"/>
      <c r="U2" s="14"/>
      <c r="V2" s="14"/>
      <c r="W2" s="14"/>
      <c r="X2" s="14"/>
      <c r="Y2" s="14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</row>
    <row r="3" customFormat="false" ht="17.35" hidden="false" customHeight="false" outlineLevel="0" collapsed="false">
      <c r="A3" s="8" t="str">
        <f aca="false">StudendEnroll!A3</f>
        <v>Elvis</v>
      </c>
      <c r="B3" s="8" t="str">
        <f aca="false">StudendEnroll!B3</f>
        <v>Bond</v>
      </c>
      <c r="C3" s="8" t="str">
        <f aca="false">StudendEnroll!C3</f>
        <v>Elvison@gmail.com</v>
      </c>
      <c r="D3" s="8" t="str">
        <f aca="false">StudendEnroll!D3</f>
        <v>Maths1</v>
      </c>
      <c r="E3" s="9" t="n">
        <f aca="false">IF(D3=$N$3,(_xlfn.XLOOKUP(C3,'Physics1.DailyAttendance'!$D$2:$D$14,'Physics1.DailyAttendance'!$R$2:$R$14)),_xlfn.XLOOKUP(C3,'Maths1.DailyAttendance'!$D$2:$D$16,'Maths1.DailyAttendance'!$R$2:$R$16,_xlfn.XLOOKUP(C3,'English Language'!$D$2:$D$16,'English Language'!$R$2:$R$16)))</f>
        <v>0.9</v>
      </c>
      <c r="F3" s="10" t="n">
        <f aca="false">IF(D3=$N$3,(_xlfn.XLOOKUP(C3,'Physics1.DailyAttendance'!$D$2:$D$16,'Physics1.DailyAttendance'!$S$2:$S$16)),_xlfn.XLOOKUP(C3,'Maths1.DailyAttendance'!$D$2:$D$16,'Maths1.DailyAttendance'!$S$2:$S$16,_xlfn.XLOOKUP(C3,'English Language'!D$2:$D$16,'English Language'!$S$2:$S$16)))</f>
        <v>96</v>
      </c>
      <c r="G3" s="10" t="n">
        <f aca="false">IF(D3=$N$3,(_xlfn.XLOOKUP(C3,'Physics1.DailyAttendance'!$D$2:$D$16,'Physics1.DailyAttendance'!$T$2:$T$16)),_xlfn.XLOOKUP(C3,'Maths1.DailyAttendance'!$D$2:$D$16,'Maths1.DailyAttendance'!$T$2:$T$16,_xlfn.XLOOKUP(C3,'English Language'!$D$2:$D$16,'English Language'!$T$2:$T$16)))</f>
        <v>88</v>
      </c>
      <c r="H3" s="10" t="str">
        <f aca="false">IF(D3=$N$3,(_xlfn.XLOOKUP(C3,'Physics1.DailyAttendance'!$D$2:$D$16,'Physics1.DailyAttendance'!$U$2:$U$16)),_xlfn.XLOOKUP(C3,'Maths1.DailyAttendance'!$D$2:$D$16,'Maths1.DailyAttendance'!$U$2:$U$16,_xlfn.XLOOKUP(C3,'English Language'!$D$2:F$16,'English Language'!$U$2:$U$16)))</f>
        <v>Yes</v>
      </c>
      <c r="I3" s="11" t="n">
        <f aca="false">(E3*40)+F3*0.15+G3*0.2+(IF(H3="Yes",25,0))</f>
        <v>93</v>
      </c>
      <c r="J3" s="8" t="str">
        <f aca="false">IF(I3&gt;87,"Excellent",IF(I3&lt;70,"Failed",IF(I3&gt;77,"Good","Pass")))</f>
        <v>Excellent</v>
      </c>
      <c r="K3" s="8"/>
      <c r="L3" s="8"/>
      <c r="M3" s="8"/>
      <c r="N3" s="15" t="s">
        <v>11</v>
      </c>
      <c r="P3" s="16"/>
      <c r="Q3" s="16"/>
      <c r="R3" s="16"/>
      <c r="S3" s="16"/>
      <c r="T3" s="16"/>
      <c r="U3" s="16"/>
      <c r="V3" s="16"/>
      <c r="W3" s="16"/>
      <c r="X3" s="16" t="s">
        <v>99</v>
      </c>
      <c r="Y3" s="16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</row>
    <row r="4" customFormat="false" ht="17.35" hidden="false" customHeight="false" outlineLevel="0" collapsed="false">
      <c r="A4" s="8" t="str">
        <f aca="false">StudendEnroll!A4</f>
        <v>Mary</v>
      </c>
      <c r="B4" s="8" t="str">
        <f aca="false">StudendEnroll!B4</f>
        <v>Gas</v>
      </c>
      <c r="C4" s="8" t="str">
        <f aca="false">StudendEnroll!C4</f>
        <v>Maryas@gmail.com</v>
      </c>
      <c r="D4" s="8" t="str">
        <f aca="false">StudendEnroll!D4</f>
        <v>Maths1</v>
      </c>
      <c r="E4" s="9" t="n">
        <f aca="false">IF(D4=$N$3,(_xlfn.XLOOKUP(C4,'Physics1.DailyAttendance'!$D$2:$D$14,'Physics1.DailyAttendance'!$R$2:$R$14)),_xlfn.XLOOKUP(C4,'Maths1.DailyAttendance'!$D$2:$D$16,'Maths1.DailyAttendance'!$R$2:$R$16,_xlfn.XLOOKUP(C4,'English Language'!$D$2:$D$16,'English Language'!$R$2:$R$16)))</f>
        <v>0.9</v>
      </c>
      <c r="F4" s="10" t="n">
        <f aca="false">IF(D4=$N$3,(_xlfn.XLOOKUP(C4,'Physics1.DailyAttendance'!$D$2:$D$16,'Physics1.DailyAttendance'!$S$2:$S$16)),_xlfn.XLOOKUP(C4,'Maths1.DailyAttendance'!$D$2:$D$16,'Maths1.DailyAttendance'!$S$2:$S$16,_xlfn.XLOOKUP(C4,'English Language'!D$2:$D$16,'English Language'!$S$2:$S$16)))</f>
        <v>55</v>
      </c>
      <c r="G4" s="10" t="n">
        <f aca="false">IF(D4=$N$3,(_xlfn.XLOOKUP(C4,'Physics1.DailyAttendance'!$D$2:$D$16,'Physics1.DailyAttendance'!$T$2:$T$16)),_xlfn.XLOOKUP(C4,'Maths1.DailyAttendance'!$D$2:$D$16,'Maths1.DailyAttendance'!$T$2:$T$16,_xlfn.XLOOKUP(C4,'English Language'!$D$2:$D$16,'English Language'!$T$2:$T$16)))</f>
        <v>66</v>
      </c>
      <c r="H4" s="10" t="str">
        <f aca="false">IF(D4=$N$3,(_xlfn.XLOOKUP(C4,'Physics1.DailyAttendance'!$D$2:$D$16,'Physics1.DailyAttendance'!$U$2:$U$16)),_xlfn.XLOOKUP(C4,'Maths1.DailyAttendance'!$D$2:$D$16,'Maths1.DailyAttendance'!$U$2:$U$16,_xlfn.XLOOKUP(C4,'English Language'!$D$2:F$16,'English Language'!$U$2:$U$16)))</f>
        <v>No</v>
      </c>
      <c r="I4" s="11" t="n">
        <f aca="false">(E4*40)+F4*0.15+G4*0.2+(IF(H4="Yes",25,0))</f>
        <v>57.45</v>
      </c>
      <c r="J4" s="8" t="str">
        <f aca="false">IF(I4&gt;87,"Excellent",IF(I4&lt;70,"Failed",IF(I4&gt;77,"Good","Pass")))</f>
        <v>Failed</v>
      </c>
      <c r="K4" s="8"/>
      <c r="L4" s="8"/>
      <c r="M4" s="8"/>
      <c r="N4" s="15" t="s">
        <v>12</v>
      </c>
      <c r="P4" s="16"/>
      <c r="Q4" s="17" t="s">
        <v>100</v>
      </c>
      <c r="R4" s="18"/>
      <c r="S4" s="18"/>
      <c r="T4" s="18"/>
      <c r="U4" s="18"/>
      <c r="V4" s="18"/>
      <c r="W4" s="18"/>
      <c r="X4" s="19" t="n">
        <v>40</v>
      </c>
      <c r="Y4" s="16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</row>
    <row r="5" customFormat="false" ht="17.35" hidden="false" customHeight="false" outlineLevel="0" collapsed="false">
      <c r="A5" s="8" t="str">
        <f aca="false">StudendEnroll!A5</f>
        <v>Olivia</v>
      </c>
      <c r="B5" s="8" t="str">
        <f aca="false">StudendEnroll!B5</f>
        <v>Matt</v>
      </c>
      <c r="C5" s="8" t="str">
        <f aca="false">StudendEnroll!C5</f>
        <v>Oliviaat@gmail.com</v>
      </c>
      <c r="D5" s="8" t="str">
        <f aca="false">StudendEnroll!D5</f>
        <v>Physics1</v>
      </c>
      <c r="E5" s="9" t="n">
        <f aca="false">IF(D5=$N$3,(_xlfn.XLOOKUP(C5,'Physics1.DailyAttendance'!$D$2:$D$14,'Physics1.DailyAttendance'!$R$2:$R$14)),_xlfn.XLOOKUP(C5,'Maths1.DailyAttendance'!$D$2:$D$16,'Maths1.DailyAttendance'!$R$2:$R$16,_xlfn.XLOOKUP(C5,'English Language'!$D$2:$D$16,'English Language'!$R$2:$R$16)))</f>
        <v>0.8</v>
      </c>
      <c r="F5" s="10" t="n">
        <f aca="false">IF(D5=$N$3,(_xlfn.XLOOKUP(C5,'Physics1.DailyAttendance'!$D$2:$D$16,'Physics1.DailyAttendance'!$S$2:$S$16)),_xlfn.XLOOKUP(C5,'Maths1.DailyAttendance'!$D$2:$D$16,'Maths1.DailyAttendance'!$S$2:$S$16,_xlfn.XLOOKUP(C5,'English Language'!D$2:$D$16,'English Language'!$S$2:$S$16)))</f>
        <v>88</v>
      </c>
      <c r="G5" s="10" t="n">
        <f aca="false">IF(D5=$N$3,(_xlfn.XLOOKUP(C5,'Physics1.DailyAttendance'!$D$2:$D$16,'Physics1.DailyAttendance'!$T$2:$T$16)),_xlfn.XLOOKUP(C5,'Maths1.DailyAttendance'!$D$2:$D$16,'Maths1.DailyAttendance'!$T$2:$T$16,_xlfn.XLOOKUP(C5,'English Language'!$D$2:$D$16,'English Language'!$T$2:$T$16)))</f>
        <v>75</v>
      </c>
      <c r="H5" s="10" t="str">
        <f aca="false">IF(D5=$N$3,(_xlfn.XLOOKUP(C5,'Physics1.DailyAttendance'!$D$2:$D$16,'Physics1.DailyAttendance'!$U$2:$U$16)),_xlfn.XLOOKUP(C5,'Maths1.DailyAttendance'!$D$2:$D$16,'Maths1.DailyAttendance'!$U$2:$U$16,_xlfn.XLOOKUP(C5,'English Language'!$D$2:F$16,'English Language'!$U$2:$U$16)))</f>
        <v>Yes</v>
      </c>
      <c r="I5" s="11" t="n">
        <f aca="false">(E5*40)+F5*0.15+G5*0.2+(IF(H5="Yes",25,0))</f>
        <v>85.2</v>
      </c>
      <c r="J5" s="8" t="str">
        <f aca="false">IF(I5&gt;87,"Excellent",IF(I5&lt;70,"Failed",IF(I5&gt;77,"Good","Pass")))</f>
        <v>Good</v>
      </c>
      <c r="K5" s="8"/>
      <c r="L5" s="8"/>
      <c r="M5" s="8"/>
      <c r="N5" s="15" t="s">
        <v>17</v>
      </c>
      <c r="O5" s="8"/>
      <c r="P5" s="16"/>
      <c r="Q5" s="20" t="s">
        <v>101</v>
      </c>
      <c r="R5" s="21"/>
      <c r="S5" s="21"/>
      <c r="T5" s="21"/>
      <c r="U5" s="21"/>
      <c r="V5" s="21"/>
      <c r="W5" s="21"/>
      <c r="X5" s="22" t="n">
        <v>15</v>
      </c>
      <c r="Y5" s="16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8"/>
      <c r="AW5" s="8"/>
    </row>
    <row r="6" customFormat="false" ht="17.35" hidden="false" customHeight="false" outlineLevel="0" collapsed="false">
      <c r="A6" s="8" t="str">
        <f aca="false">StudendEnroll!A6</f>
        <v>Robert</v>
      </c>
      <c r="B6" s="8" t="str">
        <f aca="false">StudendEnroll!B6</f>
        <v>Hus</v>
      </c>
      <c r="C6" s="8" t="str">
        <f aca="false">StudendEnroll!C6</f>
        <v>Robertus@gmail.com</v>
      </c>
      <c r="D6" s="8" t="str">
        <f aca="false">StudendEnroll!D6</f>
        <v>Maths1</v>
      </c>
      <c r="E6" s="9" t="n">
        <f aca="false">IF(D6=$N$3,(_xlfn.XLOOKUP(C6,'Physics1.DailyAttendance'!$D$2:$D$14,'Physics1.DailyAttendance'!$R$2:$R$14)),_xlfn.XLOOKUP(C6,'Maths1.DailyAttendance'!$D$2:$D$16,'Maths1.DailyAttendance'!$R$2:$R$16,_xlfn.XLOOKUP(C6,'English Language'!$D$2:$D$16,'English Language'!$R$2:$R$16)))</f>
        <v>1</v>
      </c>
      <c r="F6" s="10" t="n">
        <f aca="false">IF(D6=$N$3,(_xlfn.XLOOKUP(C6,'Physics1.DailyAttendance'!$D$2:$D$16,'Physics1.DailyAttendance'!$S$2:$S$16)),_xlfn.XLOOKUP(C6,'Maths1.DailyAttendance'!$D$2:$D$16,'Maths1.DailyAttendance'!$S$2:$S$16,_xlfn.XLOOKUP(C6,'English Language'!D$2:$D$16,'English Language'!$S$2:$S$16)))</f>
        <v>81</v>
      </c>
      <c r="G6" s="10" t="n">
        <f aca="false">IF(D6=$N$3,(_xlfn.XLOOKUP(C6,'Physics1.DailyAttendance'!$D$2:$D$16,'Physics1.DailyAttendance'!$T$2:$T$16)),_xlfn.XLOOKUP(C6,'Maths1.DailyAttendance'!$D$2:$D$16,'Maths1.DailyAttendance'!$T$2:$T$16,_xlfn.XLOOKUP(C6,'English Language'!$D$2:$D$16,'English Language'!$T$2:$T$16)))</f>
        <v>99</v>
      </c>
      <c r="H6" s="10" t="str">
        <f aca="false">IF(D6=$N$3,(_xlfn.XLOOKUP(C6,'Physics1.DailyAttendance'!$D$2:$D$16,'Physics1.DailyAttendance'!$U$2:$U$16)),_xlfn.XLOOKUP(C6,'Maths1.DailyAttendance'!$D$2:$D$16,'Maths1.DailyAttendance'!$U$2:$U$16,_xlfn.XLOOKUP(C6,'English Language'!$D$2:F$16,'English Language'!$U$2:$U$16)))</f>
        <v>Yes</v>
      </c>
      <c r="I6" s="11" t="n">
        <f aca="false">(E6*40)+F6*0.15+G6*0.2+(IF(H6="Yes",25,0))</f>
        <v>96.95</v>
      </c>
      <c r="J6" s="8" t="str">
        <f aca="false">IF(I6&gt;87,"Excellent",IF(I6&lt;70,"Failed",IF(I6&gt;77,"Good","Pass")))</f>
        <v>Excellent</v>
      </c>
      <c r="K6" s="8"/>
      <c r="L6" s="8"/>
      <c r="M6" s="8"/>
      <c r="N6" s="8"/>
      <c r="O6" s="8"/>
      <c r="P6" s="16"/>
      <c r="Q6" s="20" t="s">
        <v>102</v>
      </c>
      <c r="R6" s="21"/>
      <c r="S6" s="21"/>
      <c r="T6" s="21"/>
      <c r="U6" s="21"/>
      <c r="V6" s="21"/>
      <c r="W6" s="21"/>
      <c r="X6" s="22" t="n">
        <v>20</v>
      </c>
      <c r="Y6" s="16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</row>
    <row r="7" customFormat="false" ht="17.35" hidden="false" customHeight="false" outlineLevel="0" collapsed="false">
      <c r="A7" s="8" t="str">
        <f aca="false">StudendEnroll!A7</f>
        <v>Omar</v>
      </c>
      <c r="B7" s="8" t="str">
        <f aca="false">StudendEnroll!B7</f>
        <v>Kasim</v>
      </c>
      <c r="C7" s="8" t="str">
        <f aca="false">StudendEnroll!C7</f>
        <v>Omaras@gmail.com</v>
      </c>
      <c r="D7" s="8" t="str">
        <f aca="false">StudendEnroll!D7</f>
        <v>Maths1</v>
      </c>
      <c r="E7" s="9" t="n">
        <f aca="false">IF(D7=$N$3,(_xlfn.XLOOKUP(C7,'Physics1.DailyAttendance'!$D$2:$D$14,'Physics1.DailyAttendance'!$R$2:$R$14)),_xlfn.XLOOKUP(C7,'Maths1.DailyAttendance'!$D$2:$D$16,'Maths1.DailyAttendance'!$R$2:$R$16,_xlfn.XLOOKUP(C7,'English Language'!$D$2:$D$16,'English Language'!$R$2:$R$16)))</f>
        <v>0.6</v>
      </c>
      <c r="F7" s="10" t="n">
        <f aca="false">IF(D7=$N$3,(_xlfn.XLOOKUP(C7,'Physics1.DailyAttendance'!$D$2:$D$16,'Physics1.DailyAttendance'!$S$2:$S$16)),_xlfn.XLOOKUP(C7,'Maths1.DailyAttendance'!$D$2:$D$16,'Maths1.DailyAttendance'!$S$2:$S$16,_xlfn.XLOOKUP(C7,'English Language'!D$2:$D$16,'English Language'!$S$2:$S$16)))</f>
        <v>77</v>
      </c>
      <c r="G7" s="10" t="n">
        <f aca="false">IF(D7=$N$3,(_xlfn.XLOOKUP(C7,'Physics1.DailyAttendance'!$D$2:$D$16,'Physics1.DailyAttendance'!$T$2:$T$16)),_xlfn.XLOOKUP(C7,'Maths1.DailyAttendance'!$D$2:$D$16,'Maths1.DailyAttendance'!$T$2:$T$16,_xlfn.XLOOKUP(C7,'English Language'!$D$2:$D$16,'English Language'!$T$2:$T$16)))</f>
        <v>67</v>
      </c>
      <c r="H7" s="10" t="str">
        <f aca="false">IF(D7=$N$3,(_xlfn.XLOOKUP(C7,'Physics1.DailyAttendance'!$D$2:$D$16,'Physics1.DailyAttendance'!$U$2:$U$16)),_xlfn.XLOOKUP(C7,'Maths1.DailyAttendance'!$D$2:$D$16,'Maths1.DailyAttendance'!$U$2:$U$16,_xlfn.XLOOKUP(C7,'English Language'!$D$2:F$16,'English Language'!$U$2:$U$16)))</f>
        <v>Yes</v>
      </c>
      <c r="I7" s="11" t="n">
        <f aca="false">(E7*40)+F7*0.15+G7*0.2+(IF(H7="Yes",25,0))</f>
        <v>73.95</v>
      </c>
      <c r="J7" s="8" t="str">
        <f aca="false">IF(I7&gt;87,"Excellent",IF(I7&lt;70,"Failed",IF(I7&gt;77,"Good","Pass")))</f>
        <v>Pass</v>
      </c>
      <c r="K7" s="8"/>
      <c r="L7" s="8"/>
      <c r="M7" s="8"/>
      <c r="N7" s="8"/>
      <c r="O7" s="8"/>
      <c r="P7" s="16"/>
      <c r="Q7" s="23" t="s">
        <v>103</v>
      </c>
      <c r="R7" s="24"/>
      <c r="S7" s="24"/>
      <c r="T7" s="24"/>
      <c r="U7" s="24"/>
      <c r="V7" s="24"/>
      <c r="W7" s="24"/>
      <c r="X7" s="25" t="n">
        <v>25</v>
      </c>
      <c r="Y7" s="16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</row>
    <row r="8" customFormat="false" ht="17.35" hidden="false" customHeight="false" outlineLevel="0" collapsed="false">
      <c r="A8" s="8" t="str">
        <f aca="false">StudendEnroll!A8</f>
        <v>Diana</v>
      </c>
      <c r="B8" s="8" t="str">
        <f aca="false">StudendEnroll!B8</f>
        <v>Pinto</v>
      </c>
      <c r="C8" s="8" t="str">
        <f aca="false">StudendEnroll!C8</f>
        <v>Dianain@gmail.com</v>
      </c>
      <c r="D8" s="8" t="str">
        <f aca="false">StudendEnroll!D8</f>
        <v>Physics1</v>
      </c>
      <c r="E8" s="9" t="n">
        <f aca="false">IF(D8=$N$3,(_xlfn.XLOOKUP(C8,'Physics1.DailyAttendance'!$D$2:$D$14,'Physics1.DailyAttendance'!$R$2:$R$14)),_xlfn.XLOOKUP(C8,'Maths1.DailyAttendance'!$D$2:$D$16,'Maths1.DailyAttendance'!$R$2:$R$16,_xlfn.XLOOKUP(C8,'English Language'!$D$2:$D$16,'English Language'!$R$2:$R$16)))</f>
        <v>0.4</v>
      </c>
      <c r="F8" s="10" t="n">
        <f aca="false">IF(D8=$N$3,(_xlfn.XLOOKUP(C8,'Physics1.DailyAttendance'!$D$2:$D$16,'Physics1.DailyAttendance'!$S$2:$S$16)),_xlfn.XLOOKUP(C8,'Maths1.DailyAttendance'!$D$2:$D$16,'Maths1.DailyAttendance'!$S$2:$S$16,_xlfn.XLOOKUP(C8,'English Language'!D$2:$D$16,'English Language'!$S$2:$S$16)))</f>
        <v>69</v>
      </c>
      <c r="G8" s="10" t="n">
        <f aca="false">IF(D8=$N$3,(_xlfn.XLOOKUP(C8,'Physics1.DailyAttendance'!$D$2:$D$16,'Physics1.DailyAttendance'!$T$2:$T$16)),_xlfn.XLOOKUP(C8,'Maths1.DailyAttendance'!$D$2:$D$16,'Maths1.DailyAttendance'!$T$2:$T$16,_xlfn.XLOOKUP(C8,'English Language'!$D$2:$D$16,'English Language'!$T$2:$T$16)))</f>
        <v>33</v>
      </c>
      <c r="H8" s="10" t="str">
        <f aca="false">IF(D8=$N$3,(_xlfn.XLOOKUP(C8,'Physics1.DailyAttendance'!$D$2:$D$16,'Physics1.DailyAttendance'!$U$2:$U$16)),_xlfn.XLOOKUP(C8,'Maths1.DailyAttendance'!$D$2:$D$16,'Maths1.DailyAttendance'!$U$2:$U$16,_xlfn.XLOOKUP(C8,'English Language'!$D$2:F$16,'English Language'!$U$2:$U$16)))</f>
        <v>Yes</v>
      </c>
      <c r="I8" s="11" t="n">
        <f aca="false">(E8*40)+F8*0.15+G8*0.2+(IF(H8="Yes",25,0))</f>
        <v>57.95</v>
      </c>
      <c r="J8" s="8" t="str">
        <f aca="false">IF(I8&gt;87,"Excellent",IF(I8&lt;70,"Failed",IF(I8&gt;77,"Good","Pass")))</f>
        <v>Failed</v>
      </c>
      <c r="K8" s="8"/>
      <c r="L8" s="8"/>
      <c r="M8" s="8"/>
      <c r="N8" s="8"/>
      <c r="O8" s="8"/>
      <c r="P8" s="16"/>
      <c r="Q8" s="26" t="s">
        <v>104</v>
      </c>
      <c r="R8" s="27"/>
      <c r="S8" s="27"/>
      <c r="T8" s="27"/>
      <c r="U8" s="27"/>
      <c r="V8" s="27"/>
      <c r="W8" s="27"/>
      <c r="X8" s="28" t="n">
        <v>100</v>
      </c>
      <c r="Y8" s="16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</row>
    <row r="9" customFormat="false" ht="17.35" hidden="false" customHeight="false" outlineLevel="0" collapsed="false">
      <c r="A9" s="8" t="str">
        <f aca="false">StudendEnroll!A9</f>
        <v>Denis</v>
      </c>
      <c r="B9" s="8" t="str">
        <f aca="false">StudendEnroll!B9</f>
        <v>Rodman</v>
      </c>
      <c r="C9" s="8" t="str">
        <f aca="false">StudendEnroll!C9</f>
        <v>Denisod@gmail.com</v>
      </c>
      <c r="D9" s="8" t="str">
        <f aca="false">StudendEnroll!D9</f>
        <v>Maths1</v>
      </c>
      <c r="E9" s="9" t="n">
        <f aca="false">IF(D9=$N$3,(_xlfn.XLOOKUP(C9,'Physics1.DailyAttendance'!$D$2:$D$14,'Physics1.DailyAttendance'!$R$2:$R$14)),_xlfn.XLOOKUP(C9,'Maths1.DailyAttendance'!$D$2:$D$16,'Maths1.DailyAttendance'!$R$2:$R$16,_xlfn.XLOOKUP(C9,'English Language'!$D$2:$D$16,'English Language'!$R$2:$R$16)))</f>
        <v>0.7</v>
      </c>
      <c r="F9" s="10" t="n">
        <f aca="false">IF(D9=$N$3,(_xlfn.XLOOKUP(C9,'Physics1.DailyAttendance'!$D$2:$D$16,'Physics1.DailyAttendance'!$S$2:$S$16)),_xlfn.XLOOKUP(C9,'Maths1.DailyAttendance'!$D$2:$D$16,'Maths1.DailyAttendance'!$S$2:$S$16,_xlfn.XLOOKUP(C9,'English Language'!D$2:$D$16,'English Language'!$S$2:$S$16)))</f>
        <v>80</v>
      </c>
      <c r="G9" s="10" t="n">
        <f aca="false">IF(D9=$N$3,(_xlfn.XLOOKUP(C9,'Physics1.DailyAttendance'!$D$2:$D$16,'Physics1.DailyAttendance'!$T$2:$T$16)),_xlfn.XLOOKUP(C9,'Maths1.DailyAttendance'!$D$2:$D$16,'Maths1.DailyAttendance'!$T$2:$T$16,_xlfn.XLOOKUP(C9,'English Language'!$D$2:$D$16,'English Language'!$T$2:$T$16)))</f>
        <v>78</v>
      </c>
      <c r="H9" s="10" t="str">
        <f aca="false">IF(D9=$N$3,(_xlfn.XLOOKUP(C9,'Physics1.DailyAttendance'!$D$2:$D$16,'Physics1.DailyAttendance'!$U$2:$U$16)),_xlfn.XLOOKUP(C9,'Maths1.DailyAttendance'!$D$2:$D$16,'Maths1.DailyAttendance'!$U$2:$U$16,_xlfn.XLOOKUP(C9,'English Language'!$D$2:F$16,'English Language'!$U$2:$U$16)))</f>
        <v>Yes</v>
      </c>
      <c r="I9" s="11" t="n">
        <f aca="false">(E9*40)+F9*0.15+G9*0.2+(IF(H9="Yes",25,0))</f>
        <v>80.6</v>
      </c>
      <c r="J9" s="8" t="str">
        <f aca="false">IF(I9&gt;87,"Excellent",IF(I9&lt;70,"Failed",IF(I9&gt;77,"Good","Pass")))</f>
        <v>Good</v>
      </c>
      <c r="K9" s="8"/>
      <c r="L9" s="29"/>
      <c r="M9" s="8"/>
      <c r="N9" s="8"/>
      <c r="O9" s="8"/>
      <c r="P9" s="16"/>
      <c r="Q9" s="30" t="s">
        <v>105</v>
      </c>
      <c r="R9" s="30"/>
      <c r="S9" s="30"/>
      <c r="T9" s="30"/>
      <c r="U9" s="30"/>
      <c r="V9" s="30"/>
      <c r="W9" s="30"/>
      <c r="X9" s="31" t="s">
        <v>106</v>
      </c>
      <c r="Y9" s="16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</row>
    <row r="10" customFormat="false" ht="17.35" hidden="false" customHeight="false" outlineLevel="0" collapsed="false">
      <c r="A10" s="8" t="str">
        <f aca="false">StudendEnroll!A10</f>
        <v>Kate</v>
      </c>
      <c r="B10" s="8" t="str">
        <f aca="false">StudendEnroll!B10</f>
        <v>Potter</v>
      </c>
      <c r="C10" s="8" t="str">
        <f aca="false">StudendEnroll!C10</f>
        <v>Kateot@gmail.com</v>
      </c>
      <c r="D10" s="8" t="str">
        <f aca="false">StudendEnroll!D10</f>
        <v>Physics1</v>
      </c>
      <c r="E10" s="9" t="n">
        <f aca="false">IF(D10=$N$3,(_xlfn.XLOOKUP(C10,'Physics1.DailyAttendance'!$D$2:$D$14,'Physics1.DailyAttendance'!$R$2:$R$14)),_xlfn.XLOOKUP(C10,'Maths1.DailyAttendance'!$D$2:$D$16,'Maths1.DailyAttendance'!$R$2:$R$16,_xlfn.XLOOKUP(C10,'English Language'!$D$2:$D$16,'English Language'!$R$2:$R$16)))</f>
        <v>1</v>
      </c>
      <c r="F10" s="10" t="n">
        <f aca="false">IF(D10=$N$3,(_xlfn.XLOOKUP(C10,'Physics1.DailyAttendance'!$D$2:$D$16,'Physics1.DailyAttendance'!$S$2:$S$16)),_xlfn.XLOOKUP(C10,'Maths1.DailyAttendance'!$D$2:$D$16,'Maths1.DailyAttendance'!$S$2:$S$16,_xlfn.XLOOKUP(C10,'English Language'!D$2:$D$16,'English Language'!$S$2:$S$16)))</f>
        <v>100</v>
      </c>
      <c r="G10" s="10" t="n">
        <f aca="false">IF(D10=$N$3,(_xlfn.XLOOKUP(C10,'Physics1.DailyAttendance'!$D$2:$D$16,'Physics1.DailyAttendance'!$T$2:$T$16)),_xlfn.XLOOKUP(C10,'Maths1.DailyAttendance'!$D$2:$D$16,'Maths1.DailyAttendance'!$T$2:$T$16,_xlfn.XLOOKUP(C10,'English Language'!$D$2:$D$16,'English Language'!$T$2:$T$16)))</f>
        <v>84</v>
      </c>
      <c r="H10" s="10" t="str">
        <f aca="false">IF(D10=$N$3,(_xlfn.XLOOKUP(C10,'Physics1.DailyAttendance'!$D$2:$D$16,'Physics1.DailyAttendance'!$U$2:$U$16)),_xlfn.XLOOKUP(C10,'Maths1.DailyAttendance'!$D$2:$D$16,'Maths1.DailyAttendance'!$U$2:$U$16,_xlfn.XLOOKUP(C10,'English Language'!$D$2:F$16,'English Language'!$U$2:$U$16)))</f>
        <v>Yes</v>
      </c>
      <c r="I10" s="11" t="n">
        <f aca="false">(E10*40)+F10*0.15+G10*0.2+(IF(H10="Yes",25,0))</f>
        <v>96.8</v>
      </c>
      <c r="J10" s="8" t="str">
        <f aca="false">IF(I10&gt;87,"Excellent",IF(I10&lt;70,"Failed",IF(I10&gt;77,"Good","Pass")))</f>
        <v>Excellent</v>
      </c>
      <c r="K10" s="8"/>
      <c r="L10" s="29"/>
      <c r="M10" s="8"/>
      <c r="N10" s="8"/>
      <c r="O10" s="8"/>
      <c r="P10" s="16"/>
      <c r="Q10" s="32" t="s">
        <v>107</v>
      </c>
      <c r="R10" s="32"/>
      <c r="S10" s="32"/>
      <c r="T10" s="32"/>
      <c r="U10" s="32"/>
      <c r="V10" s="32"/>
      <c r="W10" s="32"/>
      <c r="X10" s="33" t="s">
        <v>108</v>
      </c>
      <c r="Y10" s="16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</row>
    <row r="11" customFormat="false" ht="17.35" hidden="false" customHeight="false" outlineLevel="0" collapsed="false">
      <c r="A11" s="8" t="str">
        <f aca="false">StudendEnroll!A11</f>
        <v>Manny</v>
      </c>
      <c r="B11" s="8" t="str">
        <f aca="false">StudendEnroll!B11</f>
        <v>Pac</v>
      </c>
      <c r="C11" s="8" t="str">
        <f aca="false">StudendEnroll!C11</f>
        <v>Mannyac@gmail.com</v>
      </c>
      <c r="D11" s="8" t="str">
        <f aca="false">StudendEnroll!D11</f>
        <v>Physics1</v>
      </c>
      <c r="E11" s="9" t="n">
        <f aca="false">IF(D11=$N$3,(_xlfn.XLOOKUP(C11,'Physics1.DailyAttendance'!$D$2:$D$14,'Physics1.DailyAttendance'!$R$2:$R$14)),_xlfn.XLOOKUP(C11,'Maths1.DailyAttendance'!$D$2:$D$16,'Maths1.DailyAttendance'!$R$2:$R$16,_xlfn.XLOOKUP(C11,'English Language'!$D$2:$D$16,'English Language'!$R$2:$R$16)))</f>
        <v>0.6</v>
      </c>
      <c r="F11" s="10" t="n">
        <f aca="false">IF(D11=$N$3,(_xlfn.XLOOKUP(C11,'Physics1.DailyAttendance'!$D$2:$D$16,'Physics1.DailyAttendance'!$S$2:$S$16)),_xlfn.XLOOKUP(C11,'Maths1.DailyAttendance'!$D$2:$D$16,'Maths1.DailyAttendance'!$S$2:$S$16,_xlfn.XLOOKUP(C11,'English Language'!D$2:$D$16,'English Language'!$S$2:$S$16)))</f>
        <v>70</v>
      </c>
      <c r="G11" s="10" t="n">
        <f aca="false">IF(D11=$N$3,(_xlfn.XLOOKUP(C11,'Physics1.DailyAttendance'!$D$2:$D$16,'Physics1.DailyAttendance'!$T$2:$T$16)),_xlfn.XLOOKUP(C11,'Maths1.DailyAttendance'!$D$2:$D$16,'Maths1.DailyAttendance'!$T$2:$T$16,_xlfn.XLOOKUP(C11,'English Language'!$D$2:$D$16,'English Language'!$T$2:$T$16)))</f>
        <v>79</v>
      </c>
      <c r="H11" s="10" t="str">
        <f aca="false">IF(D11=$N$3,(_xlfn.XLOOKUP(C11,'Physics1.DailyAttendance'!$D$2:$D$16,'Physics1.DailyAttendance'!$U$2:$U$16)),_xlfn.XLOOKUP(C11,'Maths1.DailyAttendance'!$D$2:$D$16,'Maths1.DailyAttendance'!$U$2:$U$16,_xlfn.XLOOKUP(C11,'English Language'!$D$2:F$16,'English Language'!$U$2:$U$16)))</f>
        <v>Yes</v>
      </c>
      <c r="I11" s="11" t="n">
        <f aca="false">(E11*40)+F11*0.15+G11*0.2+(IF(H11="Yes",25,0))</f>
        <v>75.3</v>
      </c>
      <c r="J11" s="8" t="str">
        <f aca="false">IF(I11&gt;87,"Excellent",IF(I11&lt;70,"Failed",IF(I11&gt;77,"Good","Pass")))</f>
        <v>Pass</v>
      </c>
      <c r="K11" s="8"/>
      <c r="L11" s="29"/>
      <c r="M11" s="8"/>
      <c r="N11" s="8"/>
      <c r="O11" s="8"/>
      <c r="P11" s="16"/>
      <c r="Q11" s="34" t="s">
        <v>109</v>
      </c>
      <c r="R11" s="34"/>
      <c r="S11" s="34"/>
      <c r="T11" s="34"/>
      <c r="U11" s="34"/>
      <c r="V11" s="34"/>
      <c r="W11" s="34"/>
      <c r="X11" s="35" t="s">
        <v>110</v>
      </c>
      <c r="Y11" s="16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</row>
    <row r="12" customFormat="false" ht="15" hidden="false" customHeight="false" outlineLevel="0" collapsed="false">
      <c r="A12" s="8" t="str">
        <f aca="false">StudendEnroll!A12</f>
        <v>Katy</v>
      </c>
      <c r="B12" s="8" t="str">
        <f aca="false">StudendEnroll!B12</f>
        <v>Perri</v>
      </c>
      <c r="C12" s="8" t="str">
        <f aca="false">StudendEnroll!C12</f>
        <v>Katyer@gmail.com</v>
      </c>
      <c r="D12" s="8" t="str">
        <f aca="false">StudendEnroll!D12</f>
        <v>Physics1</v>
      </c>
      <c r="E12" s="9" t="n">
        <f aca="false">IF(D12=$N$3,(_xlfn.XLOOKUP(C12,'Physics1.DailyAttendance'!$D$2:$D$14,'Physics1.DailyAttendance'!$R$2:$R$14)),_xlfn.XLOOKUP(C12,'Maths1.DailyAttendance'!$D$2:$D$16,'Maths1.DailyAttendance'!$R$2:$R$16,_xlfn.XLOOKUP(C12,'English Language'!$D$2:$D$16,'English Language'!$R$2:$R$16)))</f>
        <v>1</v>
      </c>
      <c r="F12" s="10" t="n">
        <f aca="false">IF(D12=$N$3,(_xlfn.XLOOKUP(C12,'Physics1.DailyAttendance'!$D$2:$D$16,'Physics1.DailyAttendance'!$S$2:$S$16)),_xlfn.XLOOKUP(C12,'Maths1.DailyAttendance'!$D$2:$D$16,'Maths1.DailyAttendance'!$S$2:$S$16,_xlfn.XLOOKUP(C12,'English Language'!D$2:$D$16,'English Language'!$S$2:$S$16)))</f>
        <v>43</v>
      </c>
      <c r="G12" s="10" t="n">
        <f aca="false">IF(D12=$N$3,(_xlfn.XLOOKUP(C12,'Physics1.DailyAttendance'!$D$2:$D$16,'Physics1.DailyAttendance'!$T$2:$T$16)),_xlfn.XLOOKUP(C12,'Maths1.DailyAttendance'!$D$2:$D$16,'Maths1.DailyAttendance'!$T$2:$T$16,_xlfn.XLOOKUP(C12,'English Language'!$D$2:$D$16,'English Language'!$T$2:$T$16)))</f>
        <v>100</v>
      </c>
      <c r="H12" s="10" t="str">
        <f aca="false">IF(D12=$N$3,(_xlfn.XLOOKUP(C12,'Physics1.DailyAttendance'!$D$2:$D$16,'Physics1.DailyAttendance'!$U$2:$U$16)),_xlfn.XLOOKUP(C12,'Maths1.DailyAttendance'!$D$2:$D$16,'Maths1.DailyAttendance'!$U$2:$U$16,_xlfn.XLOOKUP(C12,'English Language'!$D$2:F$16,'English Language'!$U$2:$U$16)))</f>
        <v>Yes</v>
      </c>
      <c r="I12" s="11" t="n">
        <f aca="false">(E12*40)+F12*0.15+G12*0.2+(IF(H12="Yes",25,0))</f>
        <v>91.45</v>
      </c>
      <c r="J12" s="8" t="str">
        <f aca="false">IF(I12&gt;87,"Excellent",IF(I12&lt;70,"Failed",IF(I12&gt;77,"Good","Pass")))</f>
        <v>Excellent</v>
      </c>
      <c r="K12" s="8"/>
      <c r="L12" s="29"/>
      <c r="M12" s="8"/>
      <c r="N12" s="8"/>
      <c r="O12" s="8"/>
      <c r="P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</row>
    <row r="13" customFormat="false" ht="15" hidden="false" customHeight="false" outlineLevel="0" collapsed="false">
      <c r="A13" s="8" t="str">
        <f aca="false">StudendEnroll!A13</f>
        <v>Antony</v>
      </c>
      <c r="B13" s="8" t="str">
        <f aca="false">StudendEnroll!B13</f>
        <v>Ward</v>
      </c>
      <c r="C13" s="8" t="str">
        <f aca="false">StudendEnroll!C13</f>
        <v>Antonyar@gmail.com</v>
      </c>
      <c r="D13" s="8" t="str">
        <f aca="false">StudendEnroll!D13</f>
        <v>Physics1</v>
      </c>
      <c r="E13" s="9" t="n">
        <f aca="false">IF(D13=$N$3,(_xlfn.XLOOKUP(C13,'Physics1.DailyAttendance'!$D$2:$D$14,'Physics1.DailyAttendance'!$R$2:$R$14)),_xlfn.XLOOKUP(C13,'Maths1.DailyAttendance'!$D$2:$D$16,'Maths1.DailyAttendance'!$R$2:$R$16,_xlfn.XLOOKUP(C13,'English Language'!$D$2:$D$16,'English Language'!$R$2:$R$16)))</f>
        <v>0.8</v>
      </c>
      <c r="F13" s="10" t="n">
        <f aca="false">IF(D13=$N$3,(_xlfn.XLOOKUP(C13,'Physics1.DailyAttendance'!$D$2:$D$16,'Physics1.DailyAttendance'!$S$2:$S$16)),_xlfn.XLOOKUP(C13,'Maths1.DailyAttendance'!$D$2:$D$16,'Maths1.DailyAttendance'!$S$2:$S$16,_xlfn.XLOOKUP(C13,'English Language'!D$2:$D$16,'English Language'!$S$2:$S$16)))</f>
        <v>82</v>
      </c>
      <c r="G13" s="10" t="n">
        <f aca="false">IF(D13=$N$3,(_xlfn.XLOOKUP(C13,'Physics1.DailyAttendance'!$D$2:$D$16,'Physics1.DailyAttendance'!$T$2:$T$16)),_xlfn.XLOOKUP(C13,'Maths1.DailyAttendance'!$D$2:$D$16,'Maths1.DailyAttendance'!$T$2:$T$16,_xlfn.XLOOKUP(C13,'English Language'!$D$2:$D$16,'English Language'!$T$2:$T$16)))</f>
        <v>88</v>
      </c>
      <c r="H13" s="10" t="str">
        <f aca="false">IF(D13=$N$3,(_xlfn.XLOOKUP(C13,'Physics1.DailyAttendance'!$D$2:$D$16,'Physics1.DailyAttendance'!$U$2:$U$16)),_xlfn.XLOOKUP(C13,'Maths1.DailyAttendance'!$D$2:$D$16,'Maths1.DailyAttendance'!$U$2:$U$16,_xlfn.XLOOKUP(C13,'English Language'!$D$2:F$16,'English Language'!$U$2:$U$16)))</f>
        <v>Yes</v>
      </c>
      <c r="I13" s="11" t="n">
        <f aca="false">(E13*40)+F13*0.15+G13*0.2+(IF(H13="Yes",25,0))</f>
        <v>86.9</v>
      </c>
      <c r="J13" s="8" t="str">
        <f aca="false">IF(I13&gt;87,"Excellent",IF(I13&lt;70,"Failed",IF(I13&gt;77,"Good","Pass")))</f>
        <v>Good</v>
      </c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</row>
    <row r="14" customFormat="false" ht="15" hidden="false" customHeight="false" outlineLevel="0" collapsed="false">
      <c r="A14" s="8" t="str">
        <f aca="false">StudendEnroll!A14</f>
        <v>Billy</v>
      </c>
      <c r="B14" s="8" t="str">
        <f aca="false">StudendEnroll!B14</f>
        <v>Sane</v>
      </c>
      <c r="C14" s="8" t="str">
        <f aca="false">StudendEnroll!C14</f>
        <v>Billyan@gmail.com</v>
      </c>
      <c r="D14" s="8" t="str">
        <f aca="false">StudendEnroll!D14</f>
        <v>Physics1</v>
      </c>
      <c r="E14" s="9" t="n">
        <f aca="false">IF(D14=$N$3,(_xlfn.XLOOKUP(C14,'Physics1.DailyAttendance'!$D$2:$D$14,'Physics1.DailyAttendance'!$R$2:$R$14)),_xlfn.XLOOKUP(C14,'Maths1.DailyAttendance'!$D$2:$D$16,'Maths1.DailyAttendance'!$R$2:$R$16,_xlfn.XLOOKUP(C14,'English Language'!$D$2:$D$16,'English Language'!$R$2:$R$16)))</f>
        <v>0.6</v>
      </c>
      <c r="F14" s="10" t="n">
        <f aca="false">IF(D14=$N$3,(_xlfn.XLOOKUP(C14,'Physics1.DailyAttendance'!$D$2:$D$16,'Physics1.DailyAttendance'!$S$2:$S$16)),_xlfn.XLOOKUP(C14,'Maths1.DailyAttendance'!$D$2:$D$16,'Maths1.DailyAttendance'!$S$2:$S$16,_xlfn.XLOOKUP(C14,'English Language'!D$2:$D$16,'English Language'!$S$2:$S$16)))</f>
        <v>75</v>
      </c>
      <c r="G14" s="10" t="n">
        <f aca="false">IF(D14=$N$3,(_xlfn.XLOOKUP(C14,'Physics1.DailyAttendance'!$D$2:$D$16,'Physics1.DailyAttendance'!$T$2:$T$16)),_xlfn.XLOOKUP(C14,'Maths1.DailyAttendance'!$D$2:$D$16,'Maths1.DailyAttendance'!$T$2:$T$16,_xlfn.XLOOKUP(C14,'English Language'!$D$2:$D$16,'English Language'!$T$2:$T$16)))</f>
        <v>81</v>
      </c>
      <c r="H14" s="10" t="str">
        <f aca="false">IF(D14=$N$3,(_xlfn.XLOOKUP(C14,'Physics1.DailyAttendance'!$D$2:$D$16,'Physics1.DailyAttendance'!$U$2:$U$16)),_xlfn.XLOOKUP(C14,'Maths1.DailyAttendance'!$D$2:$D$16,'Maths1.DailyAttendance'!$U$2:$U$16,_xlfn.XLOOKUP(C14,'English Language'!$D$2:F$16,'English Language'!$U$2:$U$16)))</f>
        <v>Yes</v>
      </c>
      <c r="I14" s="11" t="n">
        <f aca="false">(E14*40)+F14*0.15+G14*0.2+(IF(H14="Yes",25,0))</f>
        <v>76.45</v>
      </c>
      <c r="J14" s="8" t="str">
        <f aca="false">IF(I14&gt;87,"Excellent",IF(I14&lt;70,"Failed",IF(I14&gt;77,"Good","Pass")))</f>
        <v>Pass</v>
      </c>
      <c r="K14" s="8"/>
      <c r="L14" s="36"/>
      <c r="M14" s="36"/>
      <c r="N14" s="36"/>
      <c r="O14" s="36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</row>
    <row r="15" customFormat="false" ht="15" hidden="false" customHeight="false" outlineLevel="0" collapsed="false">
      <c r="A15" s="8" t="str">
        <f aca="false">StudendEnroll!A15</f>
        <v>Ronald</v>
      </c>
      <c r="B15" s="8" t="str">
        <f aca="false">StudendEnroll!B15</f>
        <v>Connan</v>
      </c>
      <c r="C15" s="8" t="str">
        <f aca="false">StudendEnroll!C15</f>
        <v>Ronaldon@gmail.com</v>
      </c>
      <c r="D15" s="8" t="str">
        <f aca="false">StudendEnroll!D15</f>
        <v>Physics1</v>
      </c>
      <c r="E15" s="9" t="n">
        <f aca="false">IF(D15=$N$3,(_xlfn.XLOOKUP(C15,'Physics1.DailyAttendance'!$D$2:$D$14,'Physics1.DailyAttendance'!$R$2:$R$14)),_xlfn.XLOOKUP(C15,'Maths1.DailyAttendance'!$D$2:$D$16,'Maths1.DailyAttendance'!$R$2:$R$16,_xlfn.XLOOKUP(C15,'English Language'!$D$2:$D$16,'English Language'!$R$2:$R$16)))</f>
        <v>0.7</v>
      </c>
      <c r="F15" s="10" t="n">
        <f aca="false">IF(D15=$N$3,(_xlfn.XLOOKUP(C15,'Physics1.DailyAttendance'!$D$2:$D$16,'Physics1.DailyAttendance'!$S$2:$S$16)),_xlfn.XLOOKUP(C15,'Maths1.DailyAttendance'!$D$2:$D$16,'Maths1.DailyAttendance'!$S$2:$S$16,_xlfn.XLOOKUP(C15,'English Language'!D$2:$D$16,'English Language'!$S$2:$S$16)))</f>
        <v>92</v>
      </c>
      <c r="G15" s="10" t="n">
        <f aca="false">IF(D15=$N$3,(_xlfn.XLOOKUP(C15,'Physics1.DailyAttendance'!$D$2:$D$16,'Physics1.DailyAttendance'!$T$2:$T$16)),_xlfn.XLOOKUP(C15,'Maths1.DailyAttendance'!$D$2:$D$16,'Maths1.DailyAttendance'!$T$2:$T$16,_xlfn.XLOOKUP(C15,'English Language'!$D$2:$D$16,'English Language'!$T$2:$T$16)))</f>
        <v>79</v>
      </c>
      <c r="H15" s="10" t="str">
        <f aca="false">IF(D15=$N$3,(_xlfn.XLOOKUP(C15,'Physics1.DailyAttendance'!$D$2:$D$16,'Physics1.DailyAttendance'!$U$2:$U$16)),_xlfn.XLOOKUP(C15,'Maths1.DailyAttendance'!$D$2:$D$16,'Maths1.DailyAttendance'!$U$2:$U$16,_xlfn.XLOOKUP(C15,'English Language'!$D$2:F$16,'English Language'!$U$2:$U$16)))</f>
        <v>Yes</v>
      </c>
      <c r="I15" s="11" t="n">
        <f aca="false">(E15*40)+F15*0.15+G15*0.2+(IF(H15="Yes",25,0))</f>
        <v>82.6</v>
      </c>
      <c r="J15" s="8" t="str">
        <f aca="false">IF(I15&gt;87,"Excellent",IF(I15&lt;70,"Failed",IF(I15&gt;77,"Good","Pass")))</f>
        <v>Good</v>
      </c>
      <c r="K15" s="8"/>
      <c r="L15" s="36"/>
      <c r="M15" s="37"/>
      <c r="N15" s="37"/>
      <c r="O15" s="3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</row>
    <row r="16" customFormat="false" ht="15" hidden="false" customHeight="false" outlineLevel="0" collapsed="false">
      <c r="A16" s="8" t="str">
        <f aca="false">StudendEnroll!A16</f>
        <v>John</v>
      </c>
      <c r="B16" s="8" t="str">
        <f aca="false">StudendEnroll!B16</f>
        <v>Baderas</v>
      </c>
      <c r="C16" s="8" t="str">
        <f aca="false">StudendEnroll!C16</f>
        <v>Johnad@gmail.com</v>
      </c>
      <c r="D16" s="8" t="str">
        <f aca="false">StudendEnroll!D16</f>
        <v>Maths1</v>
      </c>
      <c r="E16" s="9" t="n">
        <f aca="false">IF(D16=$N$3,(_xlfn.XLOOKUP(C16,'Physics1.DailyAttendance'!$D$2:$D$14,'Physics1.DailyAttendance'!$R$2:$R$14)),_xlfn.XLOOKUP(C16,'Maths1.DailyAttendance'!$D$2:$D$16,'Maths1.DailyAttendance'!$R$2:$R$16,_xlfn.XLOOKUP(C16,'English Language'!$D$2:$D$16,'English Language'!$R$2:$R$16)))</f>
        <v>0.9</v>
      </c>
      <c r="F16" s="10" t="n">
        <f aca="false">IF(D16=$N$3,(_xlfn.XLOOKUP(C16,'Physics1.DailyAttendance'!$D$2:$D$16,'Physics1.DailyAttendance'!$S$2:$S$16)),_xlfn.XLOOKUP(C16,'Maths1.DailyAttendance'!$D$2:$D$16,'Maths1.DailyAttendance'!$S$2:$S$16,_xlfn.XLOOKUP(C16,'English Language'!D$2:$D$16,'English Language'!$S$2:$S$16)))</f>
        <v>60</v>
      </c>
      <c r="G16" s="10" t="n">
        <f aca="false">IF(D16=$N$3,(_xlfn.XLOOKUP(C16,'Physics1.DailyAttendance'!$D$2:$D$16,'Physics1.DailyAttendance'!$T$2:$T$16)),_xlfn.XLOOKUP(C16,'Maths1.DailyAttendance'!$D$2:$D$16,'Maths1.DailyAttendance'!$T$2:$T$16,_xlfn.XLOOKUP(C16,'English Language'!$D$2:$D$16,'English Language'!$T$2:$T$16)))</f>
        <v>94</v>
      </c>
      <c r="H16" s="10" t="str">
        <f aca="false">IF(D16=$N$3,(_xlfn.XLOOKUP(C16,'Physics1.DailyAttendance'!$D$2:$D$16,'Physics1.DailyAttendance'!$U$2:$U$16)),_xlfn.XLOOKUP(C16,'Maths1.DailyAttendance'!$D$2:$D$16,'Maths1.DailyAttendance'!$U$2:$U$16,_xlfn.XLOOKUP(C16,'English Language'!$D$2:F$16,'English Language'!$U$2:$U$16)))</f>
        <v>Yes</v>
      </c>
      <c r="I16" s="11" t="n">
        <f aca="false">(E16*40)+F16*0.15+G16*0.2+(IF(H16="Yes",25,0))</f>
        <v>88.8</v>
      </c>
      <c r="J16" s="8" t="str">
        <f aca="false">IF(I16&gt;87,"Excellent",IF(I16&lt;70,"Failed",IF(I16&gt;77,"Good","Pass")))</f>
        <v>Excellent</v>
      </c>
      <c r="K16" s="8"/>
      <c r="L16" s="36"/>
      <c r="M16" s="39"/>
      <c r="N16" s="39"/>
      <c r="O16" s="40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</row>
    <row r="17" customFormat="false" ht="15" hidden="false" customHeight="false" outlineLevel="0" collapsed="false">
      <c r="A17" s="8" t="str">
        <f aca="false">StudendEnroll!A17</f>
        <v>Ronald</v>
      </c>
      <c r="B17" s="8" t="str">
        <f aca="false">StudendEnroll!B17</f>
        <v>Connan</v>
      </c>
      <c r="C17" s="8" t="str">
        <f aca="false">StudendEnroll!C17</f>
        <v>Ronaldon@gmail.com</v>
      </c>
      <c r="D17" s="8" t="str">
        <f aca="false">StudendEnroll!D17</f>
        <v>Maths1</v>
      </c>
      <c r="E17" s="9" t="n">
        <f aca="false">IF(D17=$N$3,(_xlfn.XLOOKUP(C17,'Physics1.DailyAttendance'!$D$2:$D$14,'Physics1.DailyAttendance'!$R$2:$R$14)),_xlfn.XLOOKUP(C17,'Maths1.DailyAttendance'!$D$2:$D$16,'Maths1.DailyAttendance'!$R$2:$R$16,_xlfn.XLOOKUP(C17,'English Language'!$D$2:$D$16,'English Language'!$R$2:$R$16)))</f>
        <v>0.6</v>
      </c>
      <c r="F17" s="10" t="n">
        <f aca="false">IF(D17=$N$3,(_xlfn.XLOOKUP(C17,'Physics1.DailyAttendance'!$D$2:$D$16,'Physics1.DailyAttendance'!$S$2:$S$16)),_xlfn.XLOOKUP(C17,'Maths1.DailyAttendance'!$D$2:$D$16,'Maths1.DailyAttendance'!$S$2:$S$16,_xlfn.XLOOKUP(C17,'English Language'!D$2:$D$16,'English Language'!$S$2:$S$16)))</f>
        <v>92</v>
      </c>
      <c r="G17" s="10" t="n">
        <f aca="false">IF(D17=$N$3,(_xlfn.XLOOKUP(C17,'Physics1.DailyAttendance'!$D$2:$D$16,'Physics1.DailyAttendance'!$T$2:$T$16)),_xlfn.XLOOKUP(C17,'Maths1.DailyAttendance'!$D$2:$D$16,'Maths1.DailyAttendance'!$T$2:$T$16,_xlfn.XLOOKUP(C17,'English Language'!$D$2:$D$16,'English Language'!$T$2:$T$16)))</f>
        <v>79</v>
      </c>
      <c r="H17" s="10" t="str">
        <f aca="false">IF(D17=$N$3,(_xlfn.XLOOKUP(C17,'Physics1.DailyAttendance'!$D$2:$D$16,'Physics1.DailyAttendance'!$U$2:$U$16)),_xlfn.XLOOKUP(C17,'Maths1.DailyAttendance'!$D$2:$D$16,'Maths1.DailyAttendance'!$U$2:$U$16,_xlfn.XLOOKUP(C17,'English Language'!$D$2:F$16,'English Language'!$U$2:$U$16)))</f>
        <v>Yes</v>
      </c>
      <c r="I17" s="11" t="n">
        <f aca="false">(E17*40)+F17*0.15+G17*0.2+(IF(H17="Yes",25,0))</f>
        <v>78.6</v>
      </c>
      <c r="J17" s="8" t="str">
        <f aca="false">IF(I17&gt;87,"Excellent",IF(I17&lt;70,"Failed",IF(I17&gt;77,"Good","Pass")))</f>
        <v>Good</v>
      </c>
      <c r="K17" s="8"/>
      <c r="L17" s="36"/>
      <c r="M17" s="41"/>
      <c r="N17" s="41"/>
      <c r="O17" s="41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</row>
    <row r="18" customFormat="false" ht="15" hidden="false" customHeight="false" outlineLevel="0" collapsed="false">
      <c r="A18" s="8" t="str">
        <f aca="false">StudendEnroll!A18</f>
        <v>Dennis</v>
      </c>
      <c r="B18" s="8" t="str">
        <f aca="false">StudendEnroll!B18</f>
        <v>Menace</v>
      </c>
      <c r="C18" s="8" t="str">
        <f aca="false">StudendEnroll!C18</f>
        <v>Dennisen@gmail.com</v>
      </c>
      <c r="D18" s="8" t="str">
        <f aca="false">StudendEnroll!D18</f>
        <v>Maths1</v>
      </c>
      <c r="E18" s="9" t="n">
        <f aca="false">IF(D18=$N$3,(_xlfn.XLOOKUP(C18,'Physics1.DailyAttendance'!$D$2:$D$14,'Physics1.DailyAttendance'!$R$2:$R$14)),_xlfn.XLOOKUP(C18,'Maths1.DailyAttendance'!$D$2:$D$16,'Maths1.DailyAttendance'!$R$2:$R$16,_xlfn.XLOOKUP(C18,'English Language'!$D$2:$D$16,'English Language'!$R$2:$R$16)))</f>
        <v>1</v>
      </c>
      <c r="F18" s="10" t="n">
        <f aca="false">IF(D18=$N$3,(_xlfn.XLOOKUP(C18,'Physics1.DailyAttendance'!$D$2:$D$16,'Physics1.DailyAttendance'!$S$2:$S$16)),_xlfn.XLOOKUP(C18,'Maths1.DailyAttendance'!$D$2:$D$16,'Maths1.DailyAttendance'!$S$2:$S$16,_xlfn.XLOOKUP(C18,'English Language'!D$2:$D$16,'English Language'!$S$2:$S$16)))</f>
        <v>73</v>
      </c>
      <c r="G18" s="10" t="n">
        <f aca="false">IF(D18=$N$3,(_xlfn.XLOOKUP(C18,'Physics1.DailyAttendance'!$D$2:$D$16,'Physics1.DailyAttendance'!$T$2:$T$16)),_xlfn.XLOOKUP(C18,'Maths1.DailyAttendance'!$D$2:$D$16,'Maths1.DailyAttendance'!$T$2:$T$16,_xlfn.XLOOKUP(C18,'English Language'!$D$2:$D$16,'English Language'!$T$2:$T$16)))</f>
        <v>99</v>
      </c>
      <c r="H18" s="10" t="str">
        <f aca="false">IF(D18=$N$3,(_xlfn.XLOOKUP(C18,'Physics1.DailyAttendance'!$D$2:$D$16,'Physics1.DailyAttendance'!$U$2:$U$16)),_xlfn.XLOOKUP(C18,'Maths1.DailyAttendance'!$D$2:$D$16,'Maths1.DailyAttendance'!$U$2:$U$16,_xlfn.XLOOKUP(C18,'English Language'!$D$2:F$16,'English Language'!$U$2:$U$16)))</f>
        <v>Yes</v>
      </c>
      <c r="I18" s="11" t="n">
        <f aca="false">(E18*40)+F18*0.15+G18*0.2+(IF(H18="Yes",25,0))</f>
        <v>95.75</v>
      </c>
      <c r="J18" s="8" t="str">
        <f aca="false">IF(I18&gt;87,"Excellent",IF(I18&lt;70,"Failed",IF(I18&gt;77,"Good","Pass")))</f>
        <v>Excellent</v>
      </c>
      <c r="K18" s="8"/>
      <c r="L18" s="36"/>
      <c r="M18" s="41"/>
      <c r="N18" s="41"/>
      <c r="O18" s="41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</row>
    <row r="19" customFormat="false" ht="15" hidden="false" customHeight="false" outlineLevel="0" collapsed="false">
      <c r="A19" s="8" t="str">
        <f aca="false">StudendEnroll!A19</f>
        <v>Ronald</v>
      </c>
      <c r="B19" s="8" t="str">
        <f aca="false">StudendEnroll!B19</f>
        <v>Pape</v>
      </c>
      <c r="C19" s="8" t="str">
        <f aca="false">StudendEnroll!C19</f>
        <v>Ronaldap@gmail.com</v>
      </c>
      <c r="D19" s="8" t="str">
        <f aca="false">StudendEnroll!D19</f>
        <v>Maths1</v>
      </c>
      <c r="E19" s="9" t="n">
        <f aca="false">IF(D19=$N$3,(_xlfn.XLOOKUP(C19,'Physics1.DailyAttendance'!$D$2:$D$14,'Physics1.DailyAttendance'!$R$2:$R$14)),_xlfn.XLOOKUP(C19,'Maths1.DailyAttendance'!$D$2:$D$16,'Maths1.DailyAttendance'!$R$2:$R$16,_xlfn.XLOOKUP(C19,'English Language'!$D$2:$D$16,'English Language'!$R$2:$R$16)))</f>
        <v>0.7</v>
      </c>
      <c r="F19" s="10" t="n">
        <f aca="false">IF(D19=$N$3,(_xlfn.XLOOKUP(C19,'Physics1.DailyAttendance'!$D$2:$D$16,'Physics1.DailyAttendance'!$S$2:$S$16)),_xlfn.XLOOKUP(C19,'Maths1.DailyAttendance'!$D$2:$D$16,'Maths1.DailyAttendance'!$S$2:$S$16,_xlfn.XLOOKUP(C19,'English Language'!D$2:$D$16,'English Language'!$S$2:$S$16)))</f>
        <v>73</v>
      </c>
      <c r="G19" s="10" t="n">
        <f aca="false">IF(D19=$N$3,(_xlfn.XLOOKUP(C19,'Physics1.DailyAttendance'!$D$2:$D$16,'Physics1.DailyAttendance'!$T$2:$T$16)),_xlfn.XLOOKUP(C19,'Maths1.DailyAttendance'!$D$2:$D$16,'Maths1.DailyAttendance'!$T$2:$T$16,_xlfn.XLOOKUP(C19,'English Language'!$D$2:$D$16,'English Language'!$T$2:$T$16)))</f>
        <v>68</v>
      </c>
      <c r="H19" s="10" t="str">
        <f aca="false">IF(D19=$N$3,(_xlfn.XLOOKUP(C19,'Physics1.DailyAttendance'!$D$2:$D$16,'Physics1.DailyAttendance'!$U$2:$U$16)),_xlfn.XLOOKUP(C19,'Maths1.DailyAttendance'!$D$2:$D$16,'Maths1.DailyAttendance'!$U$2:$U$16,_xlfn.XLOOKUP(C19,'English Language'!$D$2:F$16,'English Language'!$U$2:$U$16)))</f>
        <v>Yes</v>
      </c>
      <c r="I19" s="11" t="n">
        <f aca="false">(E19*40)+F19*0.15+G19*0.2+(IF(H19="Yes",25,0))</f>
        <v>77.55</v>
      </c>
      <c r="J19" s="8" t="str">
        <f aca="false">IF(I19&gt;87,"Excellent",IF(I19&lt;70,"Failed",IF(I19&gt;77,"Good","Pass")))</f>
        <v>Good</v>
      </c>
      <c r="K19" s="8"/>
      <c r="L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</row>
    <row r="20" customFormat="false" ht="15" hidden="false" customHeight="false" outlineLevel="0" collapsed="false">
      <c r="A20" s="8" t="str">
        <f aca="false">StudendEnroll!A20</f>
        <v>Walid</v>
      </c>
      <c r="B20" s="8" t="str">
        <f aca="false">StudendEnroll!B20</f>
        <v>Matip</v>
      </c>
      <c r="C20" s="8" t="str">
        <f aca="false">StudendEnroll!C20</f>
        <v>Walidat@gmail.com</v>
      </c>
      <c r="D20" s="8" t="str">
        <f aca="false">StudendEnroll!D20</f>
        <v>Maths1</v>
      </c>
      <c r="E20" s="9" t="n">
        <f aca="false">IF(D20=$N$3,(_xlfn.XLOOKUP(C20,'Physics1.DailyAttendance'!$D$2:$D$14,'Physics1.DailyAttendance'!$R$2:$R$14)),_xlfn.XLOOKUP(C20,'Maths1.DailyAttendance'!$D$2:$D$16,'Maths1.DailyAttendance'!$R$2:$R$16,_xlfn.XLOOKUP(C20,'English Language'!$D$2:$D$16,'English Language'!$R$2:$R$16)))</f>
        <v>0.9</v>
      </c>
      <c r="F20" s="10" t="n">
        <f aca="false">IF(D20=$N$3,(_xlfn.XLOOKUP(C20,'Physics1.DailyAttendance'!$D$2:$D$16,'Physics1.DailyAttendance'!$S$2:$S$16)),_xlfn.XLOOKUP(C20,'Maths1.DailyAttendance'!$D$2:$D$16,'Maths1.DailyAttendance'!$S$2:$S$16,_xlfn.XLOOKUP(C20,'English Language'!D$2:$D$16,'English Language'!$S$2:$S$16)))</f>
        <v>88</v>
      </c>
      <c r="G20" s="10" t="n">
        <f aca="false">IF(D20=$N$3,(_xlfn.XLOOKUP(C20,'Physics1.DailyAttendance'!$D$2:$D$16,'Physics1.DailyAttendance'!$T$2:$T$16)),_xlfn.XLOOKUP(C20,'Maths1.DailyAttendance'!$D$2:$D$16,'Maths1.DailyAttendance'!$T$2:$T$16,_xlfn.XLOOKUP(C20,'English Language'!$D$2:$D$16,'English Language'!$T$2:$T$16)))</f>
        <v>80</v>
      </c>
      <c r="H20" s="10" t="str">
        <f aca="false">IF(D20=$N$3,(_xlfn.XLOOKUP(C20,'Physics1.DailyAttendance'!$D$2:$D$16,'Physics1.DailyAttendance'!$U$2:$U$16)),_xlfn.XLOOKUP(C20,'Maths1.DailyAttendance'!$D$2:$D$16,'Maths1.DailyAttendance'!$U$2:$U$16,_xlfn.XLOOKUP(C20,'English Language'!$D$2:F$16,'English Language'!$U$2:$U$16)))</f>
        <v>Yes</v>
      </c>
      <c r="I20" s="11" t="n">
        <f aca="false">(E20*40)+F20*0.15+G20*0.2+(IF(H20="Yes",25,0))</f>
        <v>90.2</v>
      </c>
      <c r="J20" s="8" t="str">
        <f aca="false">IF(I20&gt;87,"Excellent",IF(I20&lt;70,"Failed",IF(I20&gt;77,"Good","Pass")))</f>
        <v>Excellent</v>
      </c>
      <c r="K20" s="8"/>
      <c r="L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</row>
    <row r="21" customFormat="false" ht="15.75" hidden="false" customHeight="true" outlineLevel="0" collapsed="false">
      <c r="A21" s="8" t="str">
        <f aca="false">StudendEnroll!A21</f>
        <v>Donna</v>
      </c>
      <c r="B21" s="8" t="str">
        <f aca="false">StudendEnroll!B21</f>
        <v>Corleone</v>
      </c>
      <c r="C21" s="8" t="str">
        <f aca="false">StudendEnroll!C21</f>
        <v>Donnaor@gmail.com</v>
      </c>
      <c r="D21" s="8" t="str">
        <f aca="false">StudendEnroll!D21</f>
        <v>Maths1</v>
      </c>
      <c r="E21" s="9" t="n">
        <f aca="false">IF(D21=$N$3,(_xlfn.XLOOKUP(C21,'Physics1.DailyAttendance'!$D$2:$D$14,'Physics1.DailyAttendance'!$R$2:$R$14)),_xlfn.XLOOKUP(C21,'Maths1.DailyAttendance'!$D$2:$D$16,'Maths1.DailyAttendance'!$R$2:$R$16,_xlfn.XLOOKUP(C21,'English Language'!$D$2:$D$16,'English Language'!$R$2:$R$16)))</f>
        <v>0.9</v>
      </c>
      <c r="F21" s="10" t="n">
        <f aca="false">IF(D21=$N$3,(_xlfn.XLOOKUP(C21,'Physics1.DailyAttendance'!$D$2:$D$16,'Physics1.DailyAttendance'!$S$2:$S$16)),_xlfn.XLOOKUP(C21,'Maths1.DailyAttendance'!$D$2:$D$16,'Maths1.DailyAttendance'!$S$2:$S$16,_xlfn.XLOOKUP(C21,'English Language'!D$2:$D$16,'English Language'!$S$2:$S$16)))</f>
        <v>96</v>
      </c>
      <c r="G21" s="10" t="n">
        <f aca="false">IF(D21=$N$3,(_xlfn.XLOOKUP(C21,'Physics1.DailyAttendance'!$D$2:$D$16,'Physics1.DailyAttendance'!$T$2:$T$16)),_xlfn.XLOOKUP(C21,'Maths1.DailyAttendance'!$D$2:$D$16,'Maths1.DailyAttendance'!$T$2:$T$16,_xlfn.XLOOKUP(C21,'English Language'!$D$2:$D$16,'English Language'!$T$2:$T$16)))</f>
        <v>90</v>
      </c>
      <c r="H21" s="10" t="str">
        <f aca="false">IF(D21=$N$3,(_xlfn.XLOOKUP(C21,'Physics1.DailyAttendance'!$D$2:$D$16,'Physics1.DailyAttendance'!$U$2:$U$16)),_xlfn.XLOOKUP(C21,'Maths1.DailyAttendance'!$D$2:$D$16,'Maths1.DailyAttendance'!$U$2:$U$16,_xlfn.XLOOKUP(C21,'English Language'!$D$2:F$16,'English Language'!$U$2:$U$16)))</f>
        <v>Yes</v>
      </c>
      <c r="I21" s="11" t="n">
        <f aca="false">(E21*40)+F21*0.15+G21*0.2+(IF(H21="Yes",25,0))</f>
        <v>93.4</v>
      </c>
      <c r="J21" s="8" t="str">
        <f aca="false">IF(I21&gt;87,"Excellent",IF(I21&lt;70,"Failed",IF(I21&gt;77,"Good","Pass")))</f>
        <v>Excellent</v>
      </c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</row>
    <row r="22" customFormat="false" ht="15.75" hidden="false" customHeight="true" outlineLevel="0" collapsed="false">
      <c r="A22" s="8" t="str">
        <f aca="false">StudendEnroll!A22</f>
        <v>Mary</v>
      </c>
      <c r="B22" s="8" t="str">
        <f aca="false">StudendEnroll!B22</f>
        <v>Connan</v>
      </c>
      <c r="C22" s="8" t="str">
        <f aca="false">StudendEnroll!C22</f>
        <v>Maryon@gmail.com</v>
      </c>
      <c r="D22" s="8" t="str">
        <f aca="false">StudendEnroll!D22</f>
        <v>Maths1</v>
      </c>
      <c r="E22" s="9" t="n">
        <f aca="false">IF(D22=$N$3,(_xlfn.XLOOKUP(C22,'Physics1.DailyAttendance'!$D$2:$D$14,'Physics1.DailyAttendance'!$R$2:$R$14)),_xlfn.XLOOKUP(C22,'Maths1.DailyAttendance'!$D$2:$D$16,'Maths1.DailyAttendance'!$R$2:$R$16,_xlfn.XLOOKUP(C22,'English Language'!$D$2:$D$16,'English Language'!$R$2:$R$16)))</f>
        <v>0.6</v>
      </c>
      <c r="F22" s="10" t="n">
        <f aca="false">IF(D22=$N$3,(_xlfn.XLOOKUP(C22,'Physics1.DailyAttendance'!$D$2:$D$16,'Physics1.DailyAttendance'!$S$2:$S$16)),_xlfn.XLOOKUP(C22,'Maths1.DailyAttendance'!$D$2:$D$16,'Maths1.DailyAttendance'!$S$2:$S$16,_xlfn.XLOOKUP(C22,'English Language'!D$2:$D$16,'English Language'!$S$2:$S$16)))</f>
        <v>60</v>
      </c>
      <c r="G22" s="10" t="n">
        <f aca="false">IF(D22=$N$3,(_xlfn.XLOOKUP(C22,'Physics1.DailyAttendance'!$D$2:$D$16,'Physics1.DailyAttendance'!$T$2:$T$16)),_xlfn.XLOOKUP(C22,'Maths1.DailyAttendance'!$D$2:$D$16,'Maths1.DailyAttendance'!$T$2:$T$16,_xlfn.XLOOKUP(C22,'English Language'!$D$2:$D$16,'English Language'!$T$2:$T$16)))</f>
        <v>91</v>
      </c>
      <c r="H22" s="10" t="str">
        <f aca="false">IF(D22=$N$3,(_xlfn.XLOOKUP(C22,'Physics1.DailyAttendance'!$D$2:$D$16,'Physics1.DailyAttendance'!$U$2:$U$16)),_xlfn.XLOOKUP(C22,'Maths1.DailyAttendance'!$D$2:$D$16,'Maths1.DailyAttendance'!$U$2:$U$16,_xlfn.XLOOKUP(C22,'English Language'!$D$2:F$16,'English Language'!$U$2:$U$16)))</f>
        <v>Yes</v>
      </c>
      <c r="I22" s="11" t="n">
        <f aca="false">(E22*40)+F22*0.15+G22*0.2+(IF(H22="Yes",25,0))</f>
        <v>76.2</v>
      </c>
      <c r="J22" s="8" t="str">
        <f aca="false">IF(I22&gt;87,"Excellent",IF(I22&lt;70,"Failed",IF(I22&gt;77,"Good","Pass")))</f>
        <v>Pass</v>
      </c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</row>
    <row r="23" customFormat="false" ht="15.75" hidden="false" customHeight="true" outlineLevel="0" collapsed="false">
      <c r="A23" s="8" t="str">
        <f aca="false">StudendEnroll!A23</f>
        <v>Dustin</v>
      </c>
      <c r="B23" s="8" t="str">
        <f aca="false">StudendEnroll!B23</f>
        <v>Boier</v>
      </c>
      <c r="C23" s="8" t="str">
        <f aca="false">StudendEnroll!C23</f>
        <v>Dustinoi@gmail.com</v>
      </c>
      <c r="D23" s="8" t="str">
        <f aca="false">StudendEnroll!D23</f>
        <v>Maths1</v>
      </c>
      <c r="E23" s="9" t="n">
        <f aca="false">IF(D23=$N$3,(_xlfn.XLOOKUP(C23,'Physics1.DailyAttendance'!$D$2:$D$14,'Physics1.DailyAttendance'!$R$2:$R$14)),_xlfn.XLOOKUP(C23,'Maths1.DailyAttendance'!$D$2:$D$16,'Maths1.DailyAttendance'!$R$2:$R$16,_xlfn.XLOOKUP(C23,'English Language'!$D$2:$D$16,'English Language'!$R$2:$R$16)))</f>
        <v>0.2</v>
      </c>
      <c r="F23" s="10" t="n">
        <f aca="false">IF(D23=$N$3,(_xlfn.XLOOKUP(C23,'Physics1.DailyAttendance'!$D$2:$D$16,'Physics1.DailyAttendance'!$S$2:$S$16)),_xlfn.XLOOKUP(C23,'Maths1.DailyAttendance'!$D$2:$D$16,'Maths1.DailyAttendance'!$S$2:$S$16,_xlfn.XLOOKUP(C23,'English Language'!D$2:$D$16,'English Language'!$S$2:$S$16)))</f>
        <v>0</v>
      </c>
      <c r="G23" s="10" t="n">
        <f aca="false">IF(D23=$N$3,(_xlfn.XLOOKUP(C23,'Physics1.DailyAttendance'!$D$2:$D$16,'Physics1.DailyAttendance'!$T$2:$T$16)),_xlfn.XLOOKUP(C23,'Maths1.DailyAttendance'!$D$2:$D$16,'Maths1.DailyAttendance'!$T$2:$T$16,_xlfn.XLOOKUP(C23,'English Language'!$D$2:$D$16,'English Language'!$T$2:$T$16)))</f>
        <v>37</v>
      </c>
      <c r="H23" s="10" t="str">
        <f aca="false">IF(D23=$N$3,(_xlfn.XLOOKUP(C23,'Physics1.DailyAttendance'!$D$2:$D$16,'Physics1.DailyAttendance'!$U$2:$U$16)),_xlfn.XLOOKUP(C23,'Maths1.DailyAttendance'!$D$2:$D$16,'Maths1.DailyAttendance'!$U$2:$U$16,_xlfn.XLOOKUP(C23,'English Language'!$D$2:F$16,'English Language'!$U$2:$U$16)))</f>
        <v>No</v>
      </c>
      <c r="I23" s="11" t="n">
        <f aca="false">(E23*40)+F23*0.15+G23*0.2+(IF(H23="Yes",25,0))</f>
        <v>15.4</v>
      </c>
      <c r="J23" s="8" t="str">
        <f aca="false">IF(I23&gt;87,"Excellent",IF(I23&lt;70,"Failed",IF(I23&gt;77,"Good","Pass")))</f>
        <v>Failed</v>
      </c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</row>
    <row r="24" customFormat="false" ht="15.75" hidden="false" customHeight="true" outlineLevel="0" collapsed="false">
      <c r="A24" s="8" t="str">
        <f aca="false">StudendEnroll!A24</f>
        <v>Lana</v>
      </c>
      <c r="B24" s="8" t="str">
        <f aca="false">StudendEnroll!B24</f>
        <v>Andie</v>
      </c>
      <c r="C24" s="8" t="str">
        <f aca="false">StudendEnroll!C24</f>
        <v>Lanand@gmail.com</v>
      </c>
      <c r="D24" s="8" t="str">
        <f aca="false">StudendEnroll!D24</f>
        <v>Maths1</v>
      </c>
      <c r="E24" s="9" t="n">
        <f aca="false">IF(D24=$N$3,(_xlfn.XLOOKUP(C24,'Physics1.DailyAttendance'!$D$2:$D$14,'Physics1.DailyAttendance'!$R$2:$R$14)),_xlfn.XLOOKUP(C24,'Maths1.DailyAttendance'!$D$2:$D$16,'Maths1.DailyAttendance'!$R$2:$R$16,_xlfn.XLOOKUP(C24,'English Language'!$D$2:$D$16,'English Language'!$R$2:$R$16)))</f>
        <v>0.7</v>
      </c>
      <c r="F24" s="10" t="n">
        <f aca="false">IF(D24=$N$3,(_xlfn.XLOOKUP(C24,'Physics1.DailyAttendance'!$D$2:$D$16,'Physics1.DailyAttendance'!$S$2:$S$16)),_xlfn.XLOOKUP(C24,'Maths1.DailyAttendance'!$D$2:$D$16,'Maths1.DailyAttendance'!$S$2:$S$16,_xlfn.XLOOKUP(C24,'English Language'!D$2:$D$16,'English Language'!$S$2:$S$16)))</f>
        <v>97</v>
      </c>
      <c r="G24" s="10" t="n">
        <f aca="false">IF(D24=$N$3,(_xlfn.XLOOKUP(C24,'Physics1.DailyAttendance'!$D$2:$D$16,'Physics1.DailyAttendance'!$T$2:$T$16)),_xlfn.XLOOKUP(C24,'Maths1.DailyAttendance'!$D$2:$D$16,'Maths1.DailyAttendance'!$T$2:$T$16,_xlfn.XLOOKUP(C24,'English Language'!$D$2:$D$16,'English Language'!$T$2:$T$16)))</f>
        <v>100</v>
      </c>
      <c r="H24" s="10" t="str">
        <f aca="false">IF(D24=$N$3,(_xlfn.XLOOKUP(C24,'Physics1.DailyAttendance'!$D$2:$D$16,'Physics1.DailyAttendance'!$U$2:$U$16)),_xlfn.XLOOKUP(C24,'Maths1.DailyAttendance'!$D$2:$D$16,'Maths1.DailyAttendance'!$U$2:$U$16,_xlfn.XLOOKUP(C24,'English Language'!$D$2:F$16,'English Language'!$U$2:$U$16)))</f>
        <v>Yes</v>
      </c>
      <c r="I24" s="11" t="n">
        <f aca="false">(E24*40)+F24*0.15+G24*0.2+(IF(H24="Yes",25,0))</f>
        <v>87.55</v>
      </c>
      <c r="J24" s="8" t="str">
        <f aca="false">IF(I24&gt;87,"Excellent",IF(I24&lt;70,"Failed",IF(I24&gt;77,"Good","Pass")))</f>
        <v>Excellent</v>
      </c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</row>
    <row r="25" customFormat="false" ht="15.75" hidden="false" customHeight="true" outlineLevel="0" collapsed="false">
      <c r="A25" s="8" t="str">
        <f aca="false">StudendEnroll!A25</f>
        <v>Anna</v>
      </c>
      <c r="B25" s="8" t="str">
        <f aca="false">StudendEnroll!B25</f>
        <v>Tsakiris</v>
      </c>
      <c r="C25" s="8" t="str">
        <f aca="false">StudendEnroll!C25</f>
        <v>Annasa@gmail.com</v>
      </c>
      <c r="D25" s="8" t="str">
        <f aca="false">StudendEnroll!D25</f>
        <v>Physics1</v>
      </c>
      <c r="E25" s="9" t="n">
        <f aca="false">IF(D25=$N$3,(_xlfn.XLOOKUP(C25,'Physics1.DailyAttendance'!$D$2:$D$14,'Physics1.DailyAttendance'!$R$2:$R$14)),_xlfn.XLOOKUP(C25,'Maths1.DailyAttendance'!$D$2:$D$16,'Maths1.DailyAttendance'!$R$2:$R$16,_xlfn.XLOOKUP(C25,'English Language'!$D$2:$D$16,'English Language'!$R$2:$R$16)))</f>
        <v>0.8</v>
      </c>
      <c r="F25" s="10" t="n">
        <f aca="false">IF(D25=$N$3,(_xlfn.XLOOKUP(C25,'Physics1.DailyAttendance'!$D$2:$D$16,'Physics1.DailyAttendance'!$S$2:$S$16)),_xlfn.XLOOKUP(C25,'Maths1.DailyAttendance'!$D$2:$D$16,'Maths1.DailyAttendance'!$S$2:$S$16,_xlfn.XLOOKUP(C25,'English Language'!D$2:$D$16,'English Language'!$S$2:$S$16)))</f>
        <v>71</v>
      </c>
      <c r="G25" s="10" t="n">
        <f aca="false">IF(D25=$N$3,(_xlfn.XLOOKUP(C25,'Physics1.DailyAttendance'!$D$2:$D$16,'Physics1.DailyAttendance'!$T$2:$T$16)),_xlfn.XLOOKUP(C25,'Maths1.DailyAttendance'!$D$2:$D$16,'Maths1.DailyAttendance'!$T$2:$T$16,_xlfn.XLOOKUP(C25,'English Language'!$D$2:$D$16,'English Language'!$T$2:$T$16)))</f>
        <v>79</v>
      </c>
      <c r="H25" s="10" t="str">
        <f aca="false">IF(D25=$N$3,(_xlfn.XLOOKUP(C25,'Physics1.DailyAttendance'!$D$2:$D$16,'Physics1.DailyAttendance'!$U$2:$U$16)),_xlfn.XLOOKUP(C25,'Maths1.DailyAttendance'!$D$2:$D$16,'Maths1.DailyAttendance'!$U$2:$U$16,_xlfn.XLOOKUP(C25,'English Language'!$D$2:F$16,'English Language'!$U$2:$U$16)))</f>
        <v>Yes</v>
      </c>
      <c r="I25" s="11" t="n">
        <f aca="false">(E25*40)+F25*0.15+G25*0.2+(IF(H25="Yes",25,0))</f>
        <v>83.45</v>
      </c>
      <c r="J25" s="8" t="str">
        <f aca="false">IF(I25&gt;87,"Excellent",IF(I25&lt;70,"Failed",IF(I25&gt;77,"Good","Pass")))</f>
        <v>Good</v>
      </c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</row>
    <row r="26" customFormat="false" ht="15.75" hidden="false" customHeight="true" outlineLevel="0" collapsed="false">
      <c r="A26" s="8" t="str">
        <f aca="false">StudendEnroll!A26</f>
        <v>Neto</v>
      </c>
      <c r="B26" s="8" t="str">
        <f aca="false">StudendEnroll!B26</f>
        <v>Juninhio</v>
      </c>
      <c r="C26" s="8" t="str">
        <f aca="false">StudendEnroll!C26</f>
        <v>Netoun@gmail.com</v>
      </c>
      <c r="D26" s="8" t="str">
        <f aca="false">StudendEnroll!D26</f>
        <v>Physics1</v>
      </c>
      <c r="E26" s="9" t="n">
        <f aca="false">IF(D26=$N$3,(_xlfn.XLOOKUP(C26,'Physics1.DailyAttendance'!$D$2:$D$14,'Physics1.DailyAttendance'!$R$2:$R$14)),_xlfn.XLOOKUP(C26,'Maths1.DailyAttendance'!$D$2:$D$16,'Maths1.DailyAttendance'!$R$2:$R$16,_xlfn.XLOOKUP(C26,'English Language'!$D$2:$D$16,'English Language'!$R$2:$R$16)))</f>
        <v>0.6</v>
      </c>
      <c r="F26" s="10" t="n">
        <f aca="false">IF(D26=$N$3,(_xlfn.XLOOKUP(C26,'Physics1.DailyAttendance'!$D$2:$D$16,'Physics1.DailyAttendance'!$S$2:$S$16)),_xlfn.XLOOKUP(C26,'Maths1.DailyAttendance'!$D$2:$D$16,'Maths1.DailyAttendance'!$S$2:$S$16,_xlfn.XLOOKUP(C26,'English Language'!D$2:$D$16,'English Language'!$S$2:$S$16)))</f>
        <v>40</v>
      </c>
      <c r="G26" s="10" t="n">
        <f aca="false">IF(D26=$N$3,(_xlfn.XLOOKUP(C26,'Physics1.DailyAttendance'!$D$2:$D$16,'Physics1.DailyAttendance'!$T$2:$T$16)),_xlfn.XLOOKUP(C26,'Maths1.DailyAttendance'!$D$2:$D$16,'Maths1.DailyAttendance'!$T$2:$T$16,_xlfn.XLOOKUP(C26,'English Language'!$D$2:$D$16,'English Language'!$T$2:$T$16)))</f>
        <v>66</v>
      </c>
      <c r="H26" s="10" t="str">
        <f aca="false">IF(D26=$N$3,(_xlfn.XLOOKUP(C26,'Physics1.DailyAttendance'!$D$2:$D$16,'Physics1.DailyAttendance'!$U$2:$U$16)),_xlfn.XLOOKUP(C26,'Maths1.DailyAttendance'!$D$2:$D$16,'Maths1.DailyAttendance'!$U$2:$U$16,_xlfn.XLOOKUP(C26,'English Language'!$D$2:F$16,'English Language'!$U$2:$U$16)))</f>
        <v>No</v>
      </c>
      <c r="I26" s="11" t="n">
        <f aca="false">(E26*40)+F26*0.15+G26*0.2+(IF(H26="Yes",25,0))</f>
        <v>43.2</v>
      </c>
      <c r="J26" s="8" t="str">
        <f aca="false">IF(I26&gt;87,"Excellent",IF(I26&lt;70,"Failed",IF(I26&gt;77,"Good","Pass")))</f>
        <v>Failed</v>
      </c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</row>
    <row r="27" customFormat="false" ht="15.75" hidden="false" customHeight="true" outlineLevel="0" collapsed="false">
      <c r="A27" s="8" t="str">
        <f aca="false">StudendEnroll!A27</f>
        <v>Andres</v>
      </c>
      <c r="B27" s="8" t="str">
        <f aca="false">StudendEnroll!B27</f>
        <v>Iniesti</v>
      </c>
      <c r="C27" s="8" t="str">
        <f aca="false">StudendEnroll!C27</f>
        <v>Andresni@gmail.com</v>
      </c>
      <c r="D27" s="8" t="str">
        <f aca="false">StudendEnroll!D27</f>
        <v>Maths1</v>
      </c>
      <c r="E27" s="9" t="n">
        <f aca="false">IF(D27=$N$3,(_xlfn.XLOOKUP(C27,'Physics1.DailyAttendance'!$D$2:$D$14,'Physics1.DailyAttendance'!$R$2:$R$14)),_xlfn.XLOOKUP(C27,'Maths1.DailyAttendance'!$D$2:$D$16,'Maths1.DailyAttendance'!$R$2:$R$16,_xlfn.XLOOKUP(C27,'English Language'!$D$2:$D$16,'English Language'!$R$2:$R$16)))</f>
        <v>0.7</v>
      </c>
      <c r="F27" s="10" t="n">
        <f aca="false">IF(D27=$N$3,(_xlfn.XLOOKUP(C27,'Physics1.DailyAttendance'!$D$2:$D$16,'Physics1.DailyAttendance'!$S$2:$S$16)),_xlfn.XLOOKUP(C27,'Maths1.DailyAttendance'!$D$2:$D$16,'Maths1.DailyAttendance'!$S$2:$S$16,_xlfn.XLOOKUP(C27,'English Language'!D$2:$D$16,'English Language'!$S$2:$S$16)))</f>
        <v>90</v>
      </c>
      <c r="G27" s="10" t="n">
        <f aca="false">IF(D27=$N$3,(_xlfn.XLOOKUP(C27,'Physics1.DailyAttendance'!$D$2:$D$16,'Physics1.DailyAttendance'!$T$2:$T$16)),_xlfn.XLOOKUP(C27,'Maths1.DailyAttendance'!$D$2:$D$16,'Maths1.DailyAttendance'!$T$2:$T$16,_xlfn.XLOOKUP(C27,'English Language'!$D$2:$D$16,'English Language'!$T$2:$T$16)))</f>
        <v>87</v>
      </c>
      <c r="H27" s="10" t="str">
        <f aca="false">IF(D27=$N$3,(_xlfn.XLOOKUP(C27,'Physics1.DailyAttendance'!$D$2:$D$16,'Physics1.DailyAttendance'!$U$2:$U$16)),_xlfn.XLOOKUP(C27,'Maths1.DailyAttendance'!$D$2:$D$16,'Maths1.DailyAttendance'!$U$2:$U$16,_xlfn.XLOOKUP(C27,'English Language'!$D$2:F$16,'English Language'!$U$2:$U$16)))</f>
        <v>Yes</v>
      </c>
      <c r="I27" s="11" t="n">
        <f aca="false">(E27*40)+F27*0.15+G27*0.2+(IF(H27="Yes",25,0))</f>
        <v>83.9</v>
      </c>
      <c r="J27" s="8" t="str">
        <f aca="false">IF(I27&gt;87,"Excellent",IF(I27&lt;70,"Failed",IF(I27&gt;77,"Good","Pass")))</f>
        <v>Good</v>
      </c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</row>
    <row r="28" customFormat="false" ht="15.75" hidden="false" customHeight="true" outlineLevel="0" collapsed="false">
      <c r="A28" s="8" t="str">
        <f aca="false">StudendEnroll!A28</f>
        <v>Katie</v>
      </c>
      <c r="B28" s="8" t="str">
        <f aca="false">StudendEnroll!B28</f>
        <v>Parn</v>
      </c>
      <c r="C28" s="8" t="str">
        <f aca="false">StudendEnroll!C28</f>
        <v>Katiear@gmail.com</v>
      </c>
      <c r="D28" s="8" t="str">
        <f aca="false">StudendEnroll!D28</f>
        <v>English Language</v>
      </c>
      <c r="E28" s="9" t="n">
        <f aca="false">IF(D28=$N$3,(_xlfn.XLOOKUP(C28,'Physics1.DailyAttendance'!$D$2:$D$14,'Physics1.DailyAttendance'!$R$2:$R$14)),_xlfn.XLOOKUP(C28,'Maths1.DailyAttendance'!$D$2:$D$16,'Maths1.DailyAttendance'!$R$2:$R$16,_xlfn.XLOOKUP(C28,'English Language'!$D$2:$D$16,'English Language'!$R$2:$R$16)))</f>
        <v>0.9</v>
      </c>
      <c r="F28" s="10" t="n">
        <f aca="false">IF(D28=$N$3,(_xlfn.XLOOKUP(C28,'Physics1.DailyAttendance'!$D$2:$D$16,'Physics1.DailyAttendance'!$S$2:$S$16)),_xlfn.XLOOKUP(C28,'Maths1.DailyAttendance'!$D$2:$D$16,'Maths1.DailyAttendance'!$S$2:$S$16,_xlfn.XLOOKUP(C28,'English Language'!D$2:$D$16,'English Language'!$S$2:$S$16)))</f>
        <v>96</v>
      </c>
      <c r="G28" s="10" t="n">
        <f aca="false">IF(D28=$N$3,(_xlfn.XLOOKUP(C28,'Physics1.DailyAttendance'!$D$2:$D$16,'Physics1.DailyAttendance'!$T$2:$T$16)),_xlfn.XLOOKUP(C28,'Maths1.DailyAttendance'!$D$2:$D$16,'Maths1.DailyAttendance'!$T$2:$T$16,_xlfn.XLOOKUP(C28,'English Language'!$D$2:$D$16,'English Language'!$T$2:$T$16)))</f>
        <v>88</v>
      </c>
      <c r="H28" s="10" t="str">
        <f aca="false">IF(D28=$N$3,(_xlfn.XLOOKUP(C28,'Physics1.DailyAttendance'!$D$2:$D$16,'Physics1.DailyAttendance'!$U$2:$U$16)),_xlfn.XLOOKUP(C28,'Maths1.DailyAttendance'!$D$2:$D$16,'Maths1.DailyAttendance'!$U$2:$U$16,_xlfn.XLOOKUP(C28,'English Language'!$D$2:D$16,'English Language'!$U$2:$U$16)))</f>
        <v>Yes</v>
      </c>
      <c r="I28" s="11" t="n">
        <f aca="false">(E28*40)+F28*0.15+G28*0.2+(IF(H28="Yes",25,0))</f>
        <v>93</v>
      </c>
      <c r="J28" s="8" t="str">
        <f aca="false">IF(I28&gt;87,"Excellent",IF(I28&lt;70,"Failed",IF(I28&gt;77,"Good","Pass")))</f>
        <v>Excellent</v>
      </c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</row>
    <row r="29" customFormat="false" ht="15.75" hidden="false" customHeight="true" outlineLevel="0" collapsed="false">
      <c r="A29" s="8" t="str">
        <f aca="false">StudendEnroll!A29</f>
        <v>Ronaldo</v>
      </c>
      <c r="B29" s="8" t="str">
        <f aca="false">StudendEnroll!B29</f>
        <v>Felipe</v>
      </c>
      <c r="C29" s="8" t="str">
        <f aca="false">StudendEnroll!C29</f>
        <v>Ronaldoel@gmail.com</v>
      </c>
      <c r="D29" s="8" t="str">
        <f aca="false">StudendEnroll!D29</f>
        <v>English Language</v>
      </c>
      <c r="E29" s="9" t="n">
        <f aca="false">IF(D29=$N$3,(_xlfn.XLOOKUP(C29,'Physics1.DailyAttendance'!$D$2:$D$14,'Physics1.DailyAttendance'!$R$2:$R$14)),_xlfn.XLOOKUP(C29,'Maths1.DailyAttendance'!$D$2:$D$16,'Maths1.DailyAttendance'!$R$2:$R$16,_xlfn.XLOOKUP(C29,'English Language'!$D$2:$D$16,'English Language'!$R$2:$R$16)))</f>
        <v>0.8</v>
      </c>
      <c r="F29" s="10" t="n">
        <f aca="false">IF(D29=$N$3,(_xlfn.XLOOKUP(C29,'Physics1.DailyAttendance'!$D$2:$D$16,'Physics1.DailyAttendance'!$S$2:$S$16)),_xlfn.XLOOKUP(C29,'Maths1.DailyAttendance'!$D$2:$D$16,'Maths1.DailyAttendance'!$S$2:$S$16,_xlfn.XLOOKUP(C29,'English Language'!D$2:$D$16,'English Language'!$S$2:$S$16)))</f>
        <v>55</v>
      </c>
      <c r="G29" s="10" t="n">
        <f aca="false">IF(D29=$N$3,(_xlfn.XLOOKUP(C29,'Physics1.DailyAttendance'!$D$2:$D$16,'Physics1.DailyAttendance'!$T$2:$T$16)),_xlfn.XLOOKUP(C29,'Maths1.DailyAttendance'!$D$2:$D$16,'Maths1.DailyAttendance'!$T$2:$T$16,_xlfn.XLOOKUP(C29,'English Language'!$D$2:$D$16,'English Language'!$T$2:$T$16)))</f>
        <v>66</v>
      </c>
      <c r="H29" s="10" t="str">
        <f aca="false">IF(D29=$N$3,(_xlfn.XLOOKUP(C29,'Physics1.DailyAttendance'!$D$2:$D$16,'Physics1.DailyAttendance'!$U$2:$U$16)),_xlfn.XLOOKUP(C29,'Maths1.DailyAttendance'!$D$2:$D$16,'Maths1.DailyAttendance'!$U$2:$U$16,_xlfn.XLOOKUP(C29,'English Language'!$D$2:D$16,'English Language'!$U$2:$U$16)))</f>
        <v>No</v>
      </c>
      <c r="I29" s="11" t="n">
        <f aca="false">(E29*40)+F29*0.15+G29*0.2+(IF(H29="Yes",25,0))</f>
        <v>53.45</v>
      </c>
      <c r="J29" s="8" t="str">
        <f aca="false">IF(I29&gt;87,"Excellent",IF(I29&lt;70,"Failed",IF(I29&gt;77,"Good","Pass")))</f>
        <v>Failed</v>
      </c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</row>
    <row r="30" customFormat="false" ht="15.75" hidden="false" customHeight="true" outlineLevel="0" collapsed="false">
      <c r="A30" s="8" t="str">
        <f aca="false">StudendEnroll!A30</f>
        <v>Dean</v>
      </c>
      <c r="B30" s="8" t="str">
        <f aca="false">StudendEnroll!B30</f>
        <v>Jolie</v>
      </c>
      <c r="C30" s="8" t="str">
        <f aca="false">StudendEnroll!C30</f>
        <v>Deanol@gmail.com</v>
      </c>
      <c r="D30" s="8" t="str">
        <f aca="false">StudendEnroll!D30</f>
        <v>English Language</v>
      </c>
      <c r="E30" s="9" t="n">
        <f aca="false">IF(D30=$N$3,(_xlfn.XLOOKUP(C30,'Physics1.DailyAttendance'!$D$2:$D$14,'Physics1.DailyAttendance'!$R$2:$R$14)),_xlfn.XLOOKUP(C30,'Maths1.DailyAttendance'!$D$2:$D$16,'Maths1.DailyAttendance'!$R$2:$R$16,_xlfn.XLOOKUP(C30,'English Language'!$D$2:$D$16,'English Language'!$R$2:$R$16)))</f>
        <v>1</v>
      </c>
      <c r="F30" s="10" t="n">
        <f aca="false">IF(D30=$N$3,(_xlfn.XLOOKUP(C30,'Physics1.DailyAttendance'!$D$2:$D$16,'Physics1.DailyAttendance'!$S$2:$S$16)),_xlfn.XLOOKUP(C30,'Maths1.DailyAttendance'!$D$2:$D$16,'Maths1.DailyAttendance'!$S$2:$S$16,_xlfn.XLOOKUP(C30,'English Language'!D$2:$D$16,'English Language'!$S$2:$S$16)))</f>
        <v>81</v>
      </c>
      <c r="G30" s="10" t="n">
        <f aca="false">IF(D30=$N$3,(_xlfn.XLOOKUP(C30,'Physics1.DailyAttendance'!$D$2:$D$16,'Physics1.DailyAttendance'!$T$2:$T$16)),_xlfn.XLOOKUP(C30,'Maths1.DailyAttendance'!$D$2:$D$16,'Maths1.DailyAttendance'!$T$2:$T$16,_xlfn.XLOOKUP(C30,'English Language'!$D$2:$D$16,'English Language'!$T$2:$T$16)))</f>
        <v>99</v>
      </c>
      <c r="H30" s="10" t="str">
        <f aca="false">IF(D30=$N$3,(_xlfn.XLOOKUP(C30,'Physics1.DailyAttendance'!$D$2:$D$16,'Physics1.DailyAttendance'!$U$2:$U$16)),_xlfn.XLOOKUP(C30,'Maths1.DailyAttendance'!$D$2:$D$16,'Maths1.DailyAttendance'!$U$2:$U$16,_xlfn.XLOOKUP(C30,'English Language'!$D$2:D$16,'English Language'!$U$2:$U$16)))</f>
        <v>Yes</v>
      </c>
      <c r="I30" s="11" t="n">
        <f aca="false">(E30*40)+F30*0.15+G30*0.2+(IF(H30="Yes",25,0))</f>
        <v>96.95</v>
      </c>
      <c r="J30" s="8" t="str">
        <f aca="false">IF(I30&gt;87,"Excellent",IF(I30&lt;70,"Failed",IF(I30&gt;77,"Good","Pass")))</f>
        <v>Excellent</v>
      </c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</row>
    <row r="31" customFormat="false" ht="15.75" hidden="false" customHeight="true" outlineLevel="0" collapsed="false">
      <c r="A31" s="8" t="str">
        <f aca="false">StudendEnroll!A31</f>
        <v>Paolo</v>
      </c>
      <c r="B31" s="8" t="str">
        <f aca="false">StudendEnroll!B31</f>
        <v>Jasmini</v>
      </c>
      <c r="C31" s="8" t="str">
        <f aca="false">StudendEnroll!C31</f>
        <v>Paoloas@gmail.com</v>
      </c>
      <c r="D31" s="8" t="str">
        <f aca="false">StudendEnroll!D31</f>
        <v>English Language</v>
      </c>
      <c r="E31" s="9" t="n">
        <f aca="false">IF(D31=$N$3,(_xlfn.XLOOKUP(C31,'Physics1.DailyAttendance'!$D$2:$D$14,'Physics1.DailyAttendance'!$R$2:$R$14)),_xlfn.XLOOKUP(C31,'Maths1.DailyAttendance'!$D$2:$D$16,'Maths1.DailyAttendance'!$R$2:$R$16,_xlfn.XLOOKUP(C31,'English Language'!$D$2:$D$16,'English Language'!$R$2:$R$16)))</f>
        <v>0.8</v>
      </c>
      <c r="F31" s="10" t="n">
        <f aca="false">IF(D31=$N$3,(_xlfn.XLOOKUP(C31,'Physics1.DailyAttendance'!$D$2:$D$16,'Physics1.DailyAttendance'!$S$2:$S$16)),_xlfn.XLOOKUP(C31,'Maths1.DailyAttendance'!$D$2:$D$16,'Maths1.DailyAttendance'!$S$2:$S$16,_xlfn.XLOOKUP(C31,'English Language'!D$2:$D$16,'English Language'!$S$2:$S$16)))</f>
        <v>77</v>
      </c>
      <c r="G31" s="10" t="n">
        <f aca="false">IF(D31=$N$3,(_xlfn.XLOOKUP(C31,'Physics1.DailyAttendance'!$D$2:$D$16,'Physics1.DailyAttendance'!$T$2:$T$16)),_xlfn.XLOOKUP(C31,'Maths1.DailyAttendance'!$D$2:$D$16,'Maths1.DailyAttendance'!$T$2:$T$16,_xlfn.XLOOKUP(C31,'English Language'!$D$2:$D$16,'English Language'!$T$2:$T$16)))</f>
        <v>87</v>
      </c>
      <c r="H31" s="10" t="str">
        <f aca="false">IF(D31=$N$3,(_xlfn.XLOOKUP(C31,'Physics1.DailyAttendance'!$D$2:$D$16,'Physics1.DailyAttendance'!$U$2:$U$16)),_xlfn.XLOOKUP(C31,'Maths1.DailyAttendance'!$D$2:$D$16,'Maths1.DailyAttendance'!$U$2:$U$16,_xlfn.XLOOKUP(C31,'English Language'!$D$2:D$16,'English Language'!$U$2:$U$16)))</f>
        <v>Yes</v>
      </c>
      <c r="I31" s="11" t="n">
        <f aca="false">(E31*40)+F31*0.15+G31*0.2+(IF(H31="Yes",25,0))</f>
        <v>85.95</v>
      </c>
      <c r="J31" s="8" t="str">
        <f aca="false">IF(I31&gt;87,"Excellent",IF(I31&lt;70,"Failed",IF(I31&gt;77,"Good","Pass")))</f>
        <v>Good</v>
      </c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</row>
    <row r="32" customFormat="false" ht="15.75" hidden="false" customHeight="true" outlineLevel="0" collapsed="false">
      <c r="A32" s="8" t="str">
        <f aca="false">StudendEnroll!A32</f>
        <v>Jean </v>
      </c>
      <c r="B32" s="8" t="str">
        <f aca="false">StudendEnroll!B32</f>
        <v>Damme</v>
      </c>
      <c r="C32" s="8" t="str">
        <f aca="false">StudendEnroll!C32</f>
        <v>Jean am@gmail.com</v>
      </c>
      <c r="D32" s="8" t="str">
        <f aca="false">StudendEnroll!D32</f>
        <v>English Language</v>
      </c>
      <c r="E32" s="9" t="n">
        <f aca="false">IF(D32=$N$3,(_xlfn.XLOOKUP(C32,'Physics1.DailyAttendance'!$D$2:$D$14,'Physics1.DailyAttendance'!$R$2:$R$14)),_xlfn.XLOOKUP(C32,'Maths1.DailyAttendance'!$D$2:$D$16,'Maths1.DailyAttendance'!$R$2:$R$16,_xlfn.XLOOKUP(C32,'English Language'!$D$2:$D$16,'English Language'!$R$2:$R$16)))</f>
        <v>0.7</v>
      </c>
      <c r="F32" s="10" t="n">
        <f aca="false">IF(D32=$N$3,(_xlfn.XLOOKUP(C32,'Physics1.DailyAttendance'!$D$2:$D$16,'Physics1.DailyAttendance'!$S$2:$S$16)),_xlfn.XLOOKUP(C32,'Maths1.DailyAttendance'!$D$2:$D$16,'Maths1.DailyAttendance'!$S$2:$S$16,_xlfn.XLOOKUP(C32,'English Language'!D$2:$D$16,'English Language'!$S$2:$S$16)))</f>
        <v>80</v>
      </c>
      <c r="G32" s="10" t="n">
        <f aca="false">IF(D32=$N$3,(_xlfn.XLOOKUP(C32,'Physics1.DailyAttendance'!$D$2:$D$16,'Physics1.DailyAttendance'!$T$2:$T$16)),_xlfn.XLOOKUP(C32,'Maths1.DailyAttendance'!$D$2:$D$16,'Maths1.DailyAttendance'!$T$2:$T$16,_xlfn.XLOOKUP(C32,'English Language'!$D$2:$D$16,'English Language'!$T$2:$T$16)))</f>
        <v>78</v>
      </c>
      <c r="H32" s="10" t="str">
        <f aca="false">IF(D32=$N$3,(_xlfn.XLOOKUP(C32,'Physics1.DailyAttendance'!$D$2:$D$16,'Physics1.DailyAttendance'!$U$2:$U$16)),_xlfn.XLOOKUP(C32,'Maths1.DailyAttendance'!$D$2:$D$16,'Maths1.DailyAttendance'!$U$2:$U$16,_xlfn.XLOOKUP(C32,'English Language'!$D$2:D$16,'English Language'!$U$2:$U$16)))</f>
        <v>Yes</v>
      </c>
      <c r="I32" s="11" t="n">
        <f aca="false">(E32*40)+F32*0.15+G32*0.2+(IF(H32="Yes",25,0))</f>
        <v>80.6</v>
      </c>
      <c r="J32" s="8" t="str">
        <f aca="false">IF(I32&gt;87,"Excellent",IF(I32&lt;70,"Failed",IF(I32&gt;77,"Good","Pass")))</f>
        <v>Good</v>
      </c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</row>
    <row r="33" customFormat="false" ht="15.75" hidden="false" customHeight="true" outlineLevel="0" collapsed="false">
      <c r="A33" s="8" t="str">
        <f aca="false">StudendEnroll!A33</f>
        <v>Helen </v>
      </c>
      <c r="B33" s="8" t="str">
        <f aca="false">StudendEnroll!B33</f>
        <v>Birren</v>
      </c>
      <c r="C33" s="8" t="str">
        <f aca="false">StudendEnroll!C33</f>
        <v>Helen ir@gmail.com</v>
      </c>
      <c r="D33" s="8" t="str">
        <f aca="false">StudendEnroll!D33</f>
        <v>English Language</v>
      </c>
      <c r="E33" s="9" t="n">
        <f aca="false">IF(D33=$N$3,(_xlfn.XLOOKUP(C33,'Physics1.DailyAttendance'!$D$2:$D$14,'Physics1.DailyAttendance'!$R$2:$R$14)),_xlfn.XLOOKUP(C33,'Maths1.DailyAttendance'!$D$2:$D$16,'Maths1.DailyAttendance'!$R$2:$R$16,_xlfn.XLOOKUP(C33,'English Language'!$D$2:$D$16,'English Language'!$R$2:$R$16)))</f>
        <v>0.9</v>
      </c>
      <c r="F33" s="10" t="n">
        <f aca="false">IF(D33=$N$3,(_xlfn.XLOOKUP(C33,'Physics1.DailyAttendance'!$D$2:$D$16,'Physics1.DailyAttendance'!$S$2:$S$16)),_xlfn.XLOOKUP(C33,'Maths1.DailyAttendance'!$D$2:$D$16,'Maths1.DailyAttendance'!$S$2:$S$16,_xlfn.XLOOKUP(C33,'English Language'!D$2:$D$16,'English Language'!$S$2:$S$16)))</f>
        <v>60</v>
      </c>
      <c r="G33" s="10" t="n">
        <f aca="false">IF(D33=$N$3,(_xlfn.XLOOKUP(C33,'Physics1.DailyAttendance'!$D$2:$D$16,'Physics1.DailyAttendance'!$T$2:$T$16)),_xlfn.XLOOKUP(C33,'Maths1.DailyAttendance'!$D$2:$D$16,'Maths1.DailyAttendance'!$T$2:$T$16,_xlfn.XLOOKUP(C33,'English Language'!$D$2:$D$16,'English Language'!$T$2:$T$16)))</f>
        <v>94</v>
      </c>
      <c r="H33" s="10" t="str">
        <f aca="false">IF(D33=$N$3,(_xlfn.XLOOKUP(C33,'Physics1.DailyAttendance'!$D$2:$D$16,'Physics1.DailyAttendance'!$U$2:$U$16)),_xlfn.XLOOKUP(C33,'Maths1.DailyAttendance'!$D$2:$D$16,'Maths1.DailyAttendance'!$U$2:$U$16,_xlfn.XLOOKUP(C33,'English Language'!$D$2:D$16,'English Language'!$U$2:$U$16)))</f>
        <v>Yes</v>
      </c>
      <c r="I33" s="11" t="n">
        <f aca="false">(E33*40)+F33*0.15+G33*0.2+(IF(H33="Yes",25,0))</f>
        <v>88.8</v>
      </c>
      <c r="J33" s="8" t="str">
        <f aca="false">IF(I33&gt;87,"Excellent",IF(I33&lt;70,"Failed",IF(I33&gt;77,"Good","Pass")))</f>
        <v>Excellent</v>
      </c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</row>
    <row r="34" customFormat="false" ht="15.75" hidden="false" customHeight="true" outlineLevel="0" collapsed="false">
      <c r="A34" s="8" t="str">
        <f aca="false">StudendEnroll!A34</f>
        <v>Olivia</v>
      </c>
      <c r="B34" s="8" t="str">
        <f aca="false">StudendEnroll!B34</f>
        <v>Cander</v>
      </c>
      <c r="C34" s="8" t="str">
        <f aca="false">StudendEnroll!C34</f>
        <v>Oliviaan@gmail.com</v>
      </c>
      <c r="D34" s="8" t="str">
        <f aca="false">StudendEnroll!D34</f>
        <v>English Language</v>
      </c>
      <c r="E34" s="9" t="n">
        <f aca="false">IF(D34=$N$3,(_xlfn.XLOOKUP(C34,'Physics1.DailyAttendance'!$D$2:$D$14,'Physics1.DailyAttendance'!$R$2:$R$14)),_xlfn.XLOOKUP(C34,'Maths1.DailyAttendance'!$D$2:$D$16,'Maths1.DailyAttendance'!$R$2:$R$16,_xlfn.XLOOKUP(C34,'English Language'!$D$2:$D$16,'English Language'!$R$2:$R$16)))</f>
        <v>0.8</v>
      </c>
      <c r="F34" s="10" t="n">
        <f aca="false">IF(D34=$N$3,(_xlfn.XLOOKUP(C34,'Physics1.DailyAttendance'!$D$2:$D$16,'Physics1.DailyAttendance'!$S$2:$S$16)),_xlfn.XLOOKUP(C34,'Maths1.DailyAttendance'!$D$2:$D$16,'Maths1.DailyAttendance'!$S$2:$S$16,_xlfn.XLOOKUP(C34,'English Language'!D$2:$D$16,'English Language'!$S$2:$S$16)))</f>
        <v>92</v>
      </c>
      <c r="G34" s="10" t="n">
        <f aca="false">IF(D34=$N$3,(_xlfn.XLOOKUP(C34,'Physics1.DailyAttendance'!$D$2:$D$16,'Physics1.DailyAttendance'!$T$2:$T$16)),_xlfn.XLOOKUP(C34,'Maths1.DailyAttendance'!$D$2:$D$16,'Maths1.DailyAttendance'!$T$2:$T$16,_xlfn.XLOOKUP(C34,'English Language'!$D$2:$D$16,'English Language'!$T$2:$T$16)))</f>
        <v>79</v>
      </c>
      <c r="H34" s="10" t="str">
        <f aca="false">IF(D34=$N$3,(_xlfn.XLOOKUP(C34,'Physics1.DailyAttendance'!$D$2:$D$16,'Physics1.DailyAttendance'!$U$2:$U$16)),_xlfn.XLOOKUP(C34,'Maths1.DailyAttendance'!$D$2:$D$16,'Maths1.DailyAttendance'!$U$2:$U$16,_xlfn.XLOOKUP(C34,'English Language'!$D$2:D$16,'English Language'!$U$2:$U$16)))</f>
        <v>Yes</v>
      </c>
      <c r="I34" s="11" t="n">
        <f aca="false">(E34*40)+F34*0.15+G34*0.2+(IF(H34="Yes",25,0))</f>
        <v>86.6</v>
      </c>
      <c r="J34" s="8" t="str">
        <f aca="false">IF(I34&gt;87,"Excellent",IF(I34&lt;70,"Failed",IF(I34&gt;77,"Good","Pass")))</f>
        <v>Good</v>
      </c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</row>
    <row r="35" customFormat="false" ht="15.75" hidden="false" customHeight="true" outlineLevel="0" collapsed="false">
      <c r="A35" s="8" t="str">
        <f aca="false">StudendEnroll!A35</f>
        <v>Evita </v>
      </c>
      <c r="B35" s="8" t="str">
        <f aca="false">StudendEnroll!B35</f>
        <v>Saron</v>
      </c>
      <c r="C35" s="8" t="str">
        <f aca="false">StudendEnroll!C35</f>
        <v>Evita ar@gmail.com</v>
      </c>
      <c r="D35" s="8" t="str">
        <f aca="false">StudendEnroll!D35</f>
        <v>English Language</v>
      </c>
      <c r="E35" s="9" t="n">
        <f aca="false">IF(D35=$N$3,(_xlfn.XLOOKUP(C35,'Physics1.DailyAttendance'!$D$2:$D$14,'Physics1.DailyAttendance'!$R$2:$R$14)),_xlfn.XLOOKUP(C35,'Maths1.DailyAttendance'!$D$2:$D$16,'Maths1.DailyAttendance'!$R$2:$R$16,_xlfn.XLOOKUP(C35,'English Language'!$D$2:$D$16,'English Language'!$R$2:$R$16)))</f>
        <v>1</v>
      </c>
      <c r="F35" s="10" t="n">
        <f aca="false">IF(D35=$N$3,(_xlfn.XLOOKUP(C35,'Physics1.DailyAttendance'!$D$2:$D$16,'Physics1.DailyAttendance'!$S$2:$S$16)),_xlfn.XLOOKUP(C35,'Maths1.DailyAttendance'!$D$2:$D$16,'Maths1.DailyAttendance'!$S$2:$S$16,_xlfn.XLOOKUP(C35,'English Language'!D$2:$D$16,'English Language'!$S$2:$S$16)))</f>
        <v>73</v>
      </c>
      <c r="G35" s="10" t="n">
        <f aca="false">IF(D35=$N$3,(_xlfn.XLOOKUP(C35,'Physics1.DailyAttendance'!$D$2:$D$16,'Physics1.DailyAttendance'!$T$2:$T$16)),_xlfn.XLOOKUP(C35,'Maths1.DailyAttendance'!$D$2:$D$16,'Maths1.DailyAttendance'!$T$2:$T$16,_xlfn.XLOOKUP(C35,'English Language'!$D$2:$D$16,'English Language'!$T$2:$T$16)))</f>
        <v>99</v>
      </c>
      <c r="H35" s="10" t="str">
        <f aca="false">IF(D35=$N$3,(_xlfn.XLOOKUP(C35,'Physics1.DailyAttendance'!$D$2:$D$16,'Physics1.DailyAttendance'!$U$2:$U$16)),_xlfn.XLOOKUP(C35,'Maths1.DailyAttendance'!$D$2:$D$16,'Maths1.DailyAttendance'!$U$2:$U$16,_xlfn.XLOOKUP(C35,'English Language'!$D$2:D$16,'English Language'!$U$2:$U$16)))</f>
        <v>Yes</v>
      </c>
      <c r="I35" s="11" t="n">
        <f aca="false">(E35*40)+F35*0.15+G35*0.2+(IF(H35="Yes",25,0))</f>
        <v>95.75</v>
      </c>
      <c r="J35" s="8" t="str">
        <f aca="false">IF(I35&gt;87,"Excellent",IF(I35&lt;70,"Failed",IF(I35&gt;77,"Good","Pass")))</f>
        <v>Excellent</v>
      </c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/>
      <c r="AU35" s="8"/>
      <c r="AV35" s="8"/>
      <c r="AW35" s="8"/>
    </row>
    <row r="36" customFormat="false" ht="15.75" hidden="false" customHeight="true" outlineLevel="0" collapsed="false">
      <c r="A36" s="8" t="str">
        <f aca="false">StudendEnroll!A36</f>
        <v>Muhammed </v>
      </c>
      <c r="B36" s="8" t="str">
        <f aca="false">StudendEnroll!B36</f>
        <v>Hasan</v>
      </c>
      <c r="C36" s="8" t="str">
        <f aca="false">StudendEnroll!C36</f>
        <v>Muhammed as@gmail.com</v>
      </c>
      <c r="D36" s="8" t="str">
        <f aca="false">StudendEnroll!D36</f>
        <v>English Language</v>
      </c>
      <c r="E36" s="9" t="n">
        <f aca="false">IF(D36=$N$3,(_xlfn.XLOOKUP(C36,'Physics1.DailyAttendance'!$D$2:$D$14,'Physics1.DailyAttendance'!$R$2:$R$14)),_xlfn.XLOOKUP(C36,'Maths1.DailyAttendance'!$D$2:$D$16,'Maths1.DailyAttendance'!$R$2:$R$16,_xlfn.XLOOKUP(C36,'English Language'!$D$2:$D$16,'English Language'!$R$2:$R$16)))</f>
        <v>0.8</v>
      </c>
      <c r="F36" s="10" t="n">
        <f aca="false">IF(D36=$N$3,(_xlfn.XLOOKUP(C36,'Physics1.DailyAttendance'!$D$2:$D$16,'Physics1.DailyAttendance'!$S$2:$S$16)),_xlfn.XLOOKUP(C36,'Maths1.DailyAttendance'!$D$2:$D$16,'Maths1.DailyAttendance'!$S$2:$S$16,_xlfn.XLOOKUP(C36,'English Language'!D$2:$D$16,'English Language'!$S$2:$S$16)))</f>
        <v>73</v>
      </c>
      <c r="G36" s="10" t="n">
        <f aca="false">IF(D36=$N$3,(_xlfn.XLOOKUP(C36,'Physics1.DailyAttendance'!$D$2:$D$16,'Physics1.DailyAttendance'!$T$2:$T$16)),_xlfn.XLOOKUP(C36,'Maths1.DailyAttendance'!$D$2:$D$16,'Maths1.DailyAttendance'!$T$2:$T$16,_xlfn.XLOOKUP(C36,'English Language'!$D$2:$D$16,'English Language'!$T$2:$T$16)))</f>
        <v>68</v>
      </c>
      <c r="H36" s="10" t="str">
        <f aca="false">IF(D36=$N$3,(_xlfn.XLOOKUP(C36,'Physics1.DailyAttendance'!$D$2:$D$16,'Physics1.DailyAttendance'!$U$2:$U$16)),_xlfn.XLOOKUP(C36,'Maths1.DailyAttendance'!$D$2:$D$16,'Maths1.DailyAttendance'!$U$2:$U$16,_xlfn.XLOOKUP(C36,'English Language'!$D$2:D$16,'English Language'!$U$2:$U$16)))</f>
        <v>Yes</v>
      </c>
      <c r="I36" s="11" t="n">
        <f aca="false">(E36*40)+F36*0.15+G36*0.2+(IF(H36="Yes",25,0))</f>
        <v>81.55</v>
      </c>
      <c r="J36" s="8" t="str">
        <f aca="false">IF(I36&gt;87,"Excellent",IF(I36&lt;70,"Failed",IF(I36&gt;77,"Good","Pass")))</f>
        <v>Good</v>
      </c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</row>
    <row r="37" customFormat="false" ht="15.75" hidden="false" customHeight="true" outlineLevel="0" collapsed="false">
      <c r="A37" s="8" t="str">
        <f aca="false">StudendEnroll!A37</f>
        <v>Bill</v>
      </c>
      <c r="B37" s="8" t="str">
        <f aca="false">StudendEnroll!B37</f>
        <v>Kill</v>
      </c>
      <c r="C37" s="8" t="str">
        <f aca="false">StudendEnroll!C37</f>
        <v>Billil@gmail.com</v>
      </c>
      <c r="D37" s="8" t="str">
        <f aca="false">StudendEnroll!D37</f>
        <v>English Language</v>
      </c>
      <c r="E37" s="9" t="n">
        <f aca="false">IF(D37=$N$3,(_xlfn.XLOOKUP(C37,'Physics1.DailyAttendance'!$D$2:$D$14,'Physics1.DailyAttendance'!$R$2:$R$14)),_xlfn.XLOOKUP(C37,'Maths1.DailyAttendance'!$D$2:$D$16,'Maths1.DailyAttendance'!$R$2:$R$16,_xlfn.XLOOKUP(C37,'English Language'!$D$2:$D$16,'English Language'!$R$2:$R$16)))</f>
        <v>0.9</v>
      </c>
      <c r="F37" s="10" t="n">
        <f aca="false">IF(D37=$N$3,(_xlfn.XLOOKUP(C37,'Physics1.DailyAttendance'!$D$2:$D$16,'Physics1.DailyAttendance'!$S$2:$S$16)),_xlfn.XLOOKUP(C37,'Maths1.DailyAttendance'!$D$2:$D$16,'Maths1.DailyAttendance'!$S$2:$S$16,_xlfn.XLOOKUP(C37,'English Language'!D$2:$D$16,'English Language'!$S$2:$S$16)))</f>
        <v>88</v>
      </c>
      <c r="G37" s="10" t="n">
        <f aca="false">IF(D37=$N$3,(_xlfn.XLOOKUP(C37,'Physics1.DailyAttendance'!$D$2:$D$16,'Physics1.DailyAttendance'!$T$2:$T$16)),_xlfn.XLOOKUP(C37,'Maths1.DailyAttendance'!$D$2:$D$16,'Maths1.DailyAttendance'!$T$2:$T$16,_xlfn.XLOOKUP(C37,'English Language'!$D$2:$D$16,'English Language'!$T$2:$T$16)))</f>
        <v>80</v>
      </c>
      <c r="H37" s="10" t="str">
        <f aca="false">IF(D37=$N$3,(_xlfn.XLOOKUP(C37,'Physics1.DailyAttendance'!$D$2:$D$16,'Physics1.DailyAttendance'!$U$2:$U$16)),_xlfn.XLOOKUP(C37,'Maths1.DailyAttendance'!$D$2:$D$16,'Maths1.DailyAttendance'!$U$2:$U$16,_xlfn.XLOOKUP(C37,'English Language'!$D$2:D$16,'English Language'!$U$2:$U$16)))</f>
        <v>Yes</v>
      </c>
      <c r="I37" s="11" t="n">
        <f aca="false">(E37*40)+F37*0.15+G37*0.2+(IF(H37="Yes",25,0))</f>
        <v>90.2</v>
      </c>
      <c r="J37" s="8" t="str">
        <f aca="false">IF(I37&gt;87,"Excellent",IF(I37&lt;70,"Failed",IF(I37&gt;77,"Good","Pass")))</f>
        <v>Excellent</v>
      </c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</row>
    <row r="38" customFormat="false" ht="15.75" hidden="false" customHeight="true" outlineLevel="0" collapsed="false">
      <c r="A38" s="8" t="str">
        <f aca="false">StudendEnroll!A38</f>
        <v>Bario</v>
      </c>
      <c r="B38" s="8" t="str">
        <f aca="false">StudendEnroll!B38</f>
        <v>Sarmiento</v>
      </c>
      <c r="C38" s="8" t="str">
        <f aca="false">StudendEnroll!C38</f>
        <v>Barioar@gmail.com</v>
      </c>
      <c r="D38" s="8" t="str">
        <f aca="false">StudendEnroll!D38</f>
        <v>English Language</v>
      </c>
      <c r="E38" s="9" t="n">
        <f aca="false">IF(D38=$N$3,(_xlfn.XLOOKUP(C38,'Physics1.DailyAttendance'!$D$2:$D$14,'Physics1.DailyAttendance'!$R$2:$R$14)),_xlfn.XLOOKUP(C38,'Maths1.DailyAttendance'!$D$2:$D$16,'Maths1.DailyAttendance'!$R$2:$R$16,_xlfn.XLOOKUP(C38,'English Language'!$D$2:$D$16,'English Language'!$R$2:$R$16)))</f>
        <v>0.9</v>
      </c>
      <c r="F38" s="10" t="n">
        <f aca="false">IF(D38=$N$3,(_xlfn.XLOOKUP(C38,'Physics1.DailyAttendance'!$D$2:$D$16,'Physics1.DailyAttendance'!$S$2:$S$16)),_xlfn.XLOOKUP(C38,'Maths1.DailyAttendance'!$D$2:$D$16,'Maths1.DailyAttendance'!$S$2:$S$16,_xlfn.XLOOKUP(C38,'English Language'!D$2:$D$16,'English Language'!$S$2:$S$16)))</f>
        <v>96</v>
      </c>
      <c r="G38" s="10" t="n">
        <f aca="false">IF(D38=$N$3,(_xlfn.XLOOKUP(C38,'Physics1.DailyAttendance'!$D$2:$D$16,'Physics1.DailyAttendance'!$T$2:$T$16)),_xlfn.XLOOKUP(C38,'Maths1.DailyAttendance'!$D$2:$D$16,'Maths1.DailyAttendance'!$T$2:$T$16,_xlfn.XLOOKUP(C38,'English Language'!$D$2:$D$16,'English Language'!$T$2:$T$16)))</f>
        <v>90</v>
      </c>
      <c r="H38" s="10" t="str">
        <f aca="false">IF(D38=$N$3,(_xlfn.XLOOKUP(C38,'Physics1.DailyAttendance'!$D$2:$D$16,'Physics1.DailyAttendance'!$U$2:$U$16)),_xlfn.XLOOKUP(C38,'Maths1.DailyAttendance'!$D$2:$D$16,'Maths1.DailyAttendance'!$U$2:$U$16,_xlfn.XLOOKUP(C38,'English Language'!$D$2:D$16,'English Language'!$U$2:$U$16)))</f>
        <v>Yes</v>
      </c>
      <c r="I38" s="11" t="n">
        <f aca="false">(E38*40)+F38*0.15+G38*0.2+(IF(H38="Yes",25,0))</f>
        <v>93.4</v>
      </c>
      <c r="J38" s="8" t="str">
        <f aca="false">IF(I38&gt;87,"Excellent",IF(I38&lt;70,"Failed",IF(I38&gt;77,"Good","Pass")))</f>
        <v>Excellent</v>
      </c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</row>
    <row r="39" customFormat="false" ht="15.75" hidden="false" customHeight="true" outlineLevel="0" collapsed="false">
      <c r="A39" s="8" t="str">
        <f aca="false">StudendEnroll!A39</f>
        <v>Silvio</v>
      </c>
      <c r="B39" s="8" t="str">
        <f aca="false">StudendEnroll!B39</f>
        <v>Zerosconi</v>
      </c>
      <c r="C39" s="8" t="str">
        <f aca="false">StudendEnroll!C39</f>
        <v>Silvioer@gmail.com</v>
      </c>
      <c r="D39" s="8" t="str">
        <f aca="false">StudendEnroll!D39</f>
        <v>English Language</v>
      </c>
      <c r="E39" s="9" t="n">
        <f aca="false">IF(D39=$N$3,(_xlfn.XLOOKUP(C39,'Physics1.DailyAttendance'!$D$2:$D$14,'Physics1.DailyAttendance'!$R$2:$R$14)),_xlfn.XLOOKUP(C39,'Maths1.DailyAttendance'!$D$2:$D$16,'Maths1.DailyAttendance'!$R$2:$R$16,_xlfn.XLOOKUP(C39,'English Language'!$D$2:$D$16,'English Language'!$R$2:$R$16)))</f>
        <v>0.5</v>
      </c>
      <c r="F39" s="10" t="n">
        <f aca="false">IF(D39=$N$3,(_xlfn.XLOOKUP(C39,'Physics1.DailyAttendance'!$D$2:$D$16,'Physics1.DailyAttendance'!$S$2:$S$16)),_xlfn.XLOOKUP(C39,'Maths1.DailyAttendance'!$D$2:$D$16,'Maths1.DailyAttendance'!$S$2:$S$16,_xlfn.XLOOKUP(C39,'English Language'!D$2:$D$16,'English Language'!$S$2:$S$16)))</f>
        <v>70</v>
      </c>
      <c r="G39" s="10" t="n">
        <f aca="false">IF(D39=$N$3,(_xlfn.XLOOKUP(C39,'Physics1.DailyAttendance'!$D$2:$D$16,'Physics1.DailyAttendance'!$T$2:$T$16)),_xlfn.XLOOKUP(C39,'Maths1.DailyAttendance'!$D$2:$D$16,'Maths1.DailyAttendance'!$T$2:$T$16,_xlfn.XLOOKUP(C39,'English Language'!$D$2:$D$16,'English Language'!$T$2:$T$16)))</f>
        <v>0</v>
      </c>
      <c r="H39" s="10" t="str">
        <f aca="false">IF(D39=$N$3,(_xlfn.XLOOKUP(C39,'Physics1.DailyAttendance'!$D$2:$D$16,'Physics1.DailyAttendance'!$U$2:$U$16)),_xlfn.XLOOKUP(C39,'Maths1.DailyAttendance'!$D$2:$D$16,'Maths1.DailyAttendance'!$U$2:$U$16,_xlfn.XLOOKUP(C39,'English Language'!$D$2:D$16,'English Language'!$U$2:$U$16)))</f>
        <v>No</v>
      </c>
      <c r="I39" s="11" t="n">
        <f aca="false">(E39*40)+F39*0.15+G39*0.2+(IF(H39="Yes",25,0))</f>
        <v>30.5</v>
      </c>
      <c r="J39" s="8" t="str">
        <f aca="false">IF(I39&gt;87,"Excellent",IF(I39&lt;70,"Failed",IF(I39&gt;77,"Good","Pass")))</f>
        <v>Failed</v>
      </c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8"/>
      <c r="AU39" s="8"/>
      <c r="AV39" s="8"/>
      <c r="AW39" s="8"/>
    </row>
    <row r="40" customFormat="false" ht="15.75" hidden="false" customHeight="true" outlineLevel="0" collapsed="false">
      <c r="A40" s="8" t="str">
        <f aca="false">StudendEnroll!A40</f>
        <v>Suzie</v>
      </c>
      <c r="B40" s="8" t="str">
        <f aca="false">StudendEnroll!B40</f>
        <v>Partone</v>
      </c>
      <c r="C40" s="8" t="str">
        <f aca="false">StudendEnroll!C40</f>
        <v>Suziear@gmail.com</v>
      </c>
      <c r="D40" s="8" t="str">
        <f aca="false">StudendEnroll!D40</f>
        <v>English Language</v>
      </c>
      <c r="E40" s="9" t="n">
        <f aca="false">IF(D40=$N$3,(_xlfn.XLOOKUP(C40,'Physics1.DailyAttendance'!$D$2:$D$14,'Physics1.DailyAttendance'!$R$2:$R$14)),_xlfn.XLOOKUP(C40,'Maths1.DailyAttendance'!$D$2:$D$16,'Maths1.DailyAttendance'!$R$2:$R$16,_xlfn.XLOOKUP(C40,'English Language'!$D$2:$D$16,'English Language'!$R$2:$R$16)))</f>
        <v>0.5</v>
      </c>
      <c r="F40" s="10" t="n">
        <f aca="false">IF(D40=$N$3,(_xlfn.XLOOKUP(C40,'Physics1.DailyAttendance'!$D$2:$D$16,'Physics1.DailyAttendance'!$S$2:$S$16)),_xlfn.XLOOKUP(C40,'Maths1.DailyAttendance'!$D$2:$D$16,'Maths1.DailyAttendance'!$S$2:$S$16,_xlfn.XLOOKUP(C40,'English Language'!D$2:$D$16,'English Language'!$S$2:$S$16)))</f>
        <v>0</v>
      </c>
      <c r="G40" s="10" t="n">
        <f aca="false">IF(D40=$N$3,(_xlfn.XLOOKUP(C40,'Physics1.DailyAttendance'!$D$2:$D$16,'Physics1.DailyAttendance'!$T$2:$T$16)),_xlfn.XLOOKUP(C40,'Maths1.DailyAttendance'!$D$2:$D$16,'Maths1.DailyAttendance'!$T$2:$T$16,_xlfn.XLOOKUP(C40,'English Language'!$D$2:$D$16,'English Language'!$T$2:$T$16)))</f>
        <v>37</v>
      </c>
      <c r="H40" s="10" t="str">
        <f aca="false">IF(D40=$N$3,(_xlfn.XLOOKUP(C40,'Physics1.DailyAttendance'!$D$2:$D$16,'Physics1.DailyAttendance'!$U$2:$U$16)),_xlfn.XLOOKUP(C40,'Maths1.DailyAttendance'!$D$2:$D$16,'Maths1.DailyAttendance'!$U$2:$U$16,_xlfn.XLOOKUP(C40,'English Language'!$D$2:D$16,'English Language'!$U$2:$U$16)))</f>
        <v>No</v>
      </c>
      <c r="I40" s="11" t="n">
        <f aca="false">(E40*40)+F40*0.15+G40*0.2+(IF(H40="Yes",25,0))</f>
        <v>27.4</v>
      </c>
      <c r="J40" s="8" t="str">
        <f aca="false">IF(I40&gt;87,"Excellent",IF(I40&lt;70,"Failed",IF(I40&gt;77,"Good","Pass")))</f>
        <v>Failed</v>
      </c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8"/>
      <c r="AU40" s="8"/>
      <c r="AV40" s="8"/>
      <c r="AW40" s="8"/>
    </row>
    <row r="41" customFormat="false" ht="15.75" hidden="false" customHeight="true" outlineLevel="0" collapsed="false">
      <c r="A41" s="8" t="str">
        <f aca="false">StudendEnroll!A41</f>
        <v>Donald</v>
      </c>
      <c r="B41" s="8" t="str">
        <f aca="false">StudendEnroll!B41</f>
        <v>Alberto</v>
      </c>
      <c r="C41" s="8" t="str">
        <f aca="false">StudendEnroll!C41</f>
        <v>Donaldlb@gmail.com</v>
      </c>
      <c r="D41" s="8" t="str">
        <f aca="false">StudendEnroll!D41</f>
        <v>English Language</v>
      </c>
      <c r="E41" s="9" t="n">
        <f aca="false">IF(D41=$N$3,(_xlfn.XLOOKUP(C41,'Physics1.DailyAttendance'!$D$2:$D$14,'Physics1.DailyAttendance'!$R$2:$R$14)),_xlfn.XLOOKUP(C41,'Maths1.DailyAttendance'!$D$2:$D$16,'Maths1.DailyAttendance'!$R$2:$R$16,_xlfn.XLOOKUP(C41,'English Language'!$D$2:$D$16,'English Language'!$R$2:$R$16)))</f>
        <v>0.8</v>
      </c>
      <c r="F41" s="10" t="n">
        <f aca="false">IF(D41=$N$3,(_xlfn.XLOOKUP(C41,'Physics1.DailyAttendance'!$D$2:$D$16,'Physics1.DailyAttendance'!$S$2:$S$16)),_xlfn.XLOOKUP(C41,'Maths1.DailyAttendance'!$D$2:$D$16,'Maths1.DailyAttendance'!$S$2:$S$16,_xlfn.XLOOKUP(C41,'English Language'!D$2:$D$16,'English Language'!$S$2:$S$16)))</f>
        <v>97</v>
      </c>
      <c r="G41" s="10" t="n">
        <f aca="false">IF(D41=$N$3,(_xlfn.XLOOKUP(C41,'Physics1.DailyAttendance'!$D$2:$D$16,'Physics1.DailyAttendance'!$T$2:$T$16)),_xlfn.XLOOKUP(C41,'Maths1.DailyAttendance'!$D$2:$D$16,'Maths1.DailyAttendance'!$T$2:$T$16,_xlfn.XLOOKUP(C41,'English Language'!$D$2:$D$16,'English Language'!$T$2:$T$16)))</f>
        <v>100</v>
      </c>
      <c r="H41" s="10" t="str">
        <f aca="false">IF(D41=$N$3,(_xlfn.XLOOKUP(C41,'Physics1.DailyAttendance'!$D$2:$D$16,'Physics1.DailyAttendance'!$U$2:$U$16)),_xlfn.XLOOKUP(C41,'Maths1.DailyAttendance'!$D$2:$D$16,'Maths1.DailyAttendance'!$U$2:$U$16,_xlfn.XLOOKUP(C41,'English Language'!$D$2:D$16,'English Language'!$U$2:$U$16)))</f>
        <v>Yes</v>
      </c>
      <c r="I41" s="11" t="n">
        <f aca="false">(E41*40)+F41*0.15+G41*0.2+(IF(H41="Yes",25,0))</f>
        <v>91.55</v>
      </c>
      <c r="J41" s="8" t="str">
        <f aca="false">IF(I41&gt;87,"Excellent",IF(I41&lt;70,"Failed",IF(I41&gt;77,"Good","Pass")))</f>
        <v>Excellent</v>
      </c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8"/>
      <c r="AU41" s="8"/>
      <c r="AV41" s="8"/>
      <c r="AW41" s="8"/>
    </row>
    <row r="42" customFormat="false" ht="15.75" hidden="false" customHeight="true" outlineLevel="0" collapsed="false">
      <c r="A42" s="8" t="str">
        <f aca="false">StudendEnroll!A42</f>
        <v>Ina</v>
      </c>
      <c r="B42" s="8" t="str">
        <f aca="false">StudendEnroll!B42</f>
        <v>Christal</v>
      </c>
      <c r="C42" s="8" t="str">
        <f aca="false">StudendEnroll!C42</f>
        <v>Inahr@gmail.com</v>
      </c>
      <c r="D42" s="8" t="str">
        <f aca="false">StudendEnroll!D42</f>
        <v>English Language</v>
      </c>
      <c r="E42" s="9" t="n">
        <f aca="false">IF(D42=$N$3,(_xlfn.XLOOKUP(C42,'Physics1.DailyAttendance'!$D$2:$D$14,'Physics1.DailyAttendance'!$R$2:$R$14)),_xlfn.XLOOKUP(C42,'Maths1.DailyAttendance'!$D$2:$D$16,'Maths1.DailyAttendance'!$R$2:$R$16,_xlfn.XLOOKUP(C42,'English Language'!$D$2:$D$16,'English Language'!$R$2:$R$16)))</f>
        <v>0.7</v>
      </c>
      <c r="F42" s="10" t="n">
        <f aca="false">IF(D42=$N$3,(_xlfn.XLOOKUP(C42,'Physics1.DailyAttendance'!$D$2:$D$16,'Physics1.DailyAttendance'!$S$2:$S$16)),_xlfn.XLOOKUP(C42,'Maths1.DailyAttendance'!$D$2:$D$16,'Maths1.DailyAttendance'!$S$2:$S$16,_xlfn.XLOOKUP(C42,'English Language'!D$2:$D$16,'English Language'!$S$2:$S$16)))</f>
        <v>90</v>
      </c>
      <c r="G42" s="10" t="n">
        <f aca="false">IF(D42=$N$3,(_xlfn.XLOOKUP(C42,'Physics1.DailyAttendance'!$D$2:$D$16,'Physics1.DailyAttendance'!$T$2:$T$16)),_xlfn.XLOOKUP(C42,'Maths1.DailyAttendance'!$D$2:$D$16,'Maths1.DailyAttendance'!$T$2:$T$16,_xlfn.XLOOKUP(C42,'English Language'!$D$2:$D$16,'English Language'!$T$2:$T$16)))</f>
        <v>87</v>
      </c>
      <c r="H42" s="10" t="str">
        <f aca="false">IF(D42=$N$3,(_xlfn.XLOOKUP(C42,'Physics1.DailyAttendance'!$D$2:$D$16,'Physics1.DailyAttendance'!$U$2:$U$16)),_xlfn.XLOOKUP(C42,'Maths1.DailyAttendance'!$D$2:$D$16,'Maths1.DailyAttendance'!$U$2:$U$16,_xlfn.XLOOKUP(C42,'English Language'!$D$2:D$16,'English Language'!$U$2:$U$16)))</f>
        <v>Yes</v>
      </c>
      <c r="I42" s="11" t="n">
        <f aca="false">(E42*40)+F42*0.15+G42*0.2+(IF(H42="Yes",25,0))</f>
        <v>83.9</v>
      </c>
      <c r="J42" s="8" t="str">
        <f aca="false">IF(I42&gt;87,"Excellent",IF(I42&lt;70,"Failed",IF(I42&gt;77,"Good","Pass")))</f>
        <v>Good</v>
      </c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</row>
    <row r="43" customFormat="false" ht="15.75" hidden="false" customHeight="true" outlineLevel="0" collapsed="false">
      <c r="A43" s="8" t="str">
        <f aca="false">StudendEnroll!A43</f>
        <v>Wei</v>
      </c>
      <c r="B43" s="8" t="str">
        <f aca="false">StudendEnroll!B43</f>
        <v>Bao</v>
      </c>
      <c r="C43" s="8" t="str">
        <f aca="false">StudendEnroll!C43</f>
        <v>Weiao@gmail.com</v>
      </c>
      <c r="D43" s="8" t="str">
        <f aca="false">StudendEnroll!D43</f>
        <v>Physics1</v>
      </c>
      <c r="E43" s="9" t="n">
        <f aca="false">IF(D43=$N$3,(_xlfn.XLOOKUP(C43,'Physics1.DailyAttendance'!$D$2:$D$14,'Physics1.DailyAttendance'!$R$2:$R$14)),_xlfn.XLOOKUP(C43,'Maths1.DailyAttendance'!$D$2:$D$16,'Maths1.DailyAttendance'!$R$2:$R$16,_xlfn.XLOOKUP(C43,'English Language'!$D$2:$D$16,'English Language'!$R$2:$R$16)))</f>
        <v>0.7</v>
      </c>
      <c r="F43" s="10" t="n">
        <f aca="false">IF(D43=$N$3,(_xlfn.XLOOKUP(C43,'Physics1.DailyAttendance'!$D$2:$D$16,'Physics1.DailyAttendance'!$S$2:$S$16)),_xlfn.XLOOKUP(C43,'Maths1.DailyAttendance'!$D$2:$D$16,'Maths1.DailyAttendance'!$S$2:$S$16,_xlfn.XLOOKUP(C43,'English Language'!D$2:$D$16,'English Language'!$S$2:$S$16)))</f>
        <v>71</v>
      </c>
      <c r="G43" s="10" t="n">
        <f aca="false">IF(D43=$N$3,(_xlfn.XLOOKUP(C43,'Physics1.DailyAttendance'!$D$2:$D$16,'Physics1.DailyAttendance'!$T$2:$T$16)),_xlfn.XLOOKUP(C43,'Maths1.DailyAttendance'!$D$2:$D$16,'Maths1.DailyAttendance'!$T$2:$T$16,_xlfn.XLOOKUP(C43,'English Language'!$D$2:$D$16,'English Language'!$T$2:$T$16)))</f>
        <v>79</v>
      </c>
      <c r="H43" s="10" t="str">
        <f aca="false">IF(D43=$N$3,(_xlfn.XLOOKUP(C43,'Physics1.DailyAttendance'!$D$2:$D$16,'Physics1.DailyAttendance'!$U$2:$U$16)),_xlfn.XLOOKUP(C43,'Maths1.DailyAttendance'!$D$2:$D$16,'Maths1.DailyAttendance'!$U$2:$U$16,_xlfn.XLOOKUP(C43,'English Language'!$D$2:F$16,'English Language'!$U$2:$U$16)))</f>
        <v>Yes</v>
      </c>
      <c r="I43" s="11" t="n">
        <f aca="false">(E43*40)+F43*0.15+G43*0.2+(IF(H43="Yes",25,0))</f>
        <v>79.45</v>
      </c>
      <c r="J43" s="8" t="str">
        <f aca="false">IF(I43&gt;87,"Excellent",IF(I43&lt;70,"Failed",IF(I43&gt;77,"Good","Pass")))</f>
        <v>Good</v>
      </c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8"/>
    </row>
    <row r="44" customFormat="false" ht="15.75" hidden="false" customHeight="true" outlineLevel="0" collapsed="false">
      <c r="A44" s="8" t="str">
        <f aca="false">StudendEnroll!A44</f>
        <v>Kostas</v>
      </c>
      <c r="B44" s="8" t="str">
        <f aca="false">StudendEnroll!B44</f>
        <v>Loukas</v>
      </c>
      <c r="C44" s="8" t="str">
        <f aca="false">StudendEnroll!C44</f>
        <v>Kostasou@gmail.com</v>
      </c>
      <c r="D44" s="8" t="str">
        <f aca="false">StudendEnroll!D44</f>
        <v>Physics1</v>
      </c>
      <c r="E44" s="9" t="n">
        <f aca="false">IF(D44=$N$3,(_xlfn.XLOOKUP(C44,'Physics1.DailyAttendance'!$D$2:$D$14,'Physics1.DailyAttendance'!$R$2:$R$14)),_xlfn.XLOOKUP(C44,'Maths1.DailyAttendance'!$D$2:$D$16,'Maths1.DailyAttendance'!$R$2:$R$16,_xlfn.XLOOKUP(C44,'English Language'!$D$2:$D$16,'English Language'!$R$2:$R$16)))</f>
        <v>0.9</v>
      </c>
      <c r="F44" s="10" t="n">
        <f aca="false">IF(D44=$N$3,(_xlfn.XLOOKUP(C44,'Physics1.DailyAttendance'!$D$2:$D$16,'Physics1.DailyAttendance'!$S$2:$S$16)),_xlfn.XLOOKUP(C44,'Maths1.DailyAttendance'!$D$2:$D$16,'Maths1.DailyAttendance'!$S$2:$S$16,_xlfn.XLOOKUP(C44,'English Language'!D$2:$D$16,'English Language'!$S$2:$S$16)))</f>
        <v>77</v>
      </c>
      <c r="G44" s="10" t="n">
        <f aca="false">IF(D44=$N$3,(_xlfn.XLOOKUP(C44,'Physics1.DailyAttendance'!$D$2:$D$16,'Physics1.DailyAttendance'!$T$2:$T$16)),_xlfn.XLOOKUP(C44,'Maths1.DailyAttendance'!$D$2:$D$16,'Maths1.DailyAttendance'!$T$2:$T$16,_xlfn.XLOOKUP(C44,'English Language'!$D$2:$E$16,'English Language'!$T$2:$T$16)))</f>
        <v>100</v>
      </c>
      <c r="H44" s="10" t="str">
        <f aca="false">IF(D44=$N$3,(_xlfn.XLOOKUP(C44,'Physics1.DailyAttendance'!$D$2:$D$16,'Physics1.DailyAttendance'!$U$2:$U$16)),_xlfn.XLOOKUP(C44,'Maths1.DailyAttendance'!$D$2:$D$16,'Maths1.DailyAttendance'!$U$2:$U$16,_xlfn.XLOOKUP(C44,'English Language'!$D$2:F$16,'English Language'!$U$2:$U$16)))</f>
        <v>Yes</v>
      </c>
      <c r="I44" s="11" t="n">
        <f aca="false">(E44*40)+F44*0.15+G44*0.2+(IF(H44="Yes",25,0))</f>
        <v>92.55</v>
      </c>
      <c r="J44" s="8" t="str">
        <f aca="false">IF(I44&gt;87,"Excellent",IF(I44&lt;70,"Failed",IF(I44&gt;77,"Good","Pass")))</f>
        <v>Excellent</v>
      </c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8"/>
      <c r="AU44" s="8"/>
      <c r="AV44" s="8"/>
      <c r="AW44" s="8"/>
    </row>
    <row r="45" customFormat="false" ht="15.75" hidden="false" customHeight="true" outlineLevel="0" collapsed="false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</row>
    <row r="46" customFormat="false" ht="15.75" hidden="false" customHeight="true" outlineLevel="0" collapsed="false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</row>
    <row r="47" customFormat="false" ht="15.75" hidden="false" customHeight="true" outlineLevel="0" collapsed="false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</row>
    <row r="48" customFormat="false" ht="15.75" hidden="false" customHeight="true" outlineLevel="0" collapsed="false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  <c r="AU48" s="8"/>
      <c r="AV48" s="8"/>
      <c r="AW48" s="8"/>
    </row>
    <row r="49" customFormat="false" ht="15.75" hidden="false" customHeight="true" outlineLevel="0" collapsed="false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8"/>
      <c r="AU49" s="8"/>
      <c r="AV49" s="8"/>
      <c r="AW49" s="8"/>
    </row>
    <row r="50" customFormat="false" ht="15.75" hidden="false" customHeight="true" outlineLevel="0" collapsed="false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</row>
    <row r="51" customFormat="false" ht="15.75" hidden="false" customHeight="true" outlineLevel="0" collapsed="false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8"/>
      <c r="AU51" s="8"/>
      <c r="AV51" s="8"/>
      <c r="AW51" s="8"/>
    </row>
    <row r="52" customFormat="false" ht="15.75" hidden="false" customHeight="true" outlineLevel="0" collapsed="false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8"/>
      <c r="AU52" s="8"/>
      <c r="AV52" s="8"/>
      <c r="AW52" s="8"/>
    </row>
    <row r="53" customFormat="false" ht="15.75" hidden="false" customHeight="true" outlineLevel="0" collapsed="false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8"/>
      <c r="AT53" s="8"/>
      <c r="AU53" s="8"/>
      <c r="AV53" s="8"/>
      <c r="AW53" s="8"/>
    </row>
    <row r="54" customFormat="false" ht="15.75" hidden="false" customHeight="true" outlineLevel="0" collapsed="false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8"/>
      <c r="AU54" s="8"/>
      <c r="AV54" s="8"/>
      <c r="AW54" s="8"/>
    </row>
    <row r="55" customFormat="false" ht="15.75" hidden="false" customHeight="true" outlineLevel="0" collapsed="false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8"/>
      <c r="AU55" s="8"/>
      <c r="AV55" s="8"/>
      <c r="AW55" s="8"/>
    </row>
    <row r="56" customFormat="false" ht="15.75" hidden="false" customHeight="true" outlineLevel="0" collapsed="false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8"/>
      <c r="AU56" s="8"/>
      <c r="AV56" s="8"/>
      <c r="AW56" s="8"/>
    </row>
    <row r="57" customFormat="false" ht="15.75" hidden="false" customHeight="true" outlineLevel="0" collapsed="false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8"/>
      <c r="AU57" s="8"/>
      <c r="AV57" s="8"/>
      <c r="AW57" s="8"/>
    </row>
    <row r="58" customFormat="false" ht="15.75" hidden="false" customHeight="true" outlineLevel="0" collapsed="false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8"/>
      <c r="AU58" s="8"/>
      <c r="AV58" s="8"/>
      <c r="AW58" s="8"/>
    </row>
    <row r="59" customFormat="false" ht="15.75" hidden="false" customHeight="true" outlineLevel="0" collapsed="false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8"/>
      <c r="AU59" s="8"/>
      <c r="AV59" s="8"/>
      <c r="AW59" s="8"/>
    </row>
    <row r="60" customFormat="false" ht="15.75" hidden="false" customHeight="true" outlineLevel="0" collapsed="false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8"/>
      <c r="AU60" s="8"/>
      <c r="AV60" s="8"/>
      <c r="AW60" s="8"/>
    </row>
    <row r="61" customFormat="false" ht="15.75" hidden="false" customHeight="true" outlineLevel="0" collapsed="false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8"/>
      <c r="AU61" s="8"/>
      <c r="AV61" s="8"/>
      <c r="AW61" s="8"/>
    </row>
    <row r="62" customFormat="false" ht="15.75" hidden="false" customHeight="true" outlineLevel="0" collapsed="false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8"/>
      <c r="AU62" s="8"/>
      <c r="AV62" s="8"/>
      <c r="AW62" s="8"/>
    </row>
    <row r="63" customFormat="false" ht="15.75" hidden="false" customHeight="true" outlineLevel="0" collapsed="false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8"/>
      <c r="AU63" s="8"/>
      <c r="AV63" s="8"/>
      <c r="AW63" s="8"/>
    </row>
    <row r="64" customFormat="false" ht="15.75" hidden="false" customHeight="true" outlineLevel="0" collapsed="false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</row>
    <row r="65" customFormat="false" ht="15.75" hidden="false" customHeight="true" outlineLevel="0" collapsed="false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</row>
    <row r="66" customFormat="false" ht="15.75" hidden="false" customHeight="true" outlineLevel="0" collapsed="false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</row>
    <row r="67" customFormat="false" ht="15.75" hidden="false" customHeight="true" outlineLevel="0" collapsed="false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</row>
    <row r="68" customFormat="false" ht="15.75" hidden="false" customHeight="true" outlineLevel="0" collapsed="false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8"/>
      <c r="AU68" s="8"/>
      <c r="AV68" s="8"/>
      <c r="AW68" s="8"/>
    </row>
    <row r="69" customFormat="false" ht="15.75" hidden="false" customHeight="true" outlineLevel="0" collapsed="false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8"/>
      <c r="AU69" s="8"/>
      <c r="AV69" s="8"/>
      <c r="AW69" s="8"/>
    </row>
    <row r="70" customFormat="false" ht="15.75" hidden="false" customHeight="true" outlineLevel="0" collapsed="false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</row>
    <row r="71" customFormat="false" ht="15.75" hidden="false" customHeight="true" outlineLevel="0" collapsed="false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8"/>
      <c r="AU71" s="8"/>
      <c r="AV71" s="8"/>
      <c r="AW71" s="8"/>
    </row>
    <row r="72" customFormat="false" ht="15.75" hidden="false" customHeight="true" outlineLevel="0" collapsed="false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  <c r="AV72" s="8"/>
      <c r="AW72" s="8"/>
    </row>
    <row r="73" customFormat="false" ht="15.75" hidden="false" customHeight="true" outlineLevel="0" collapsed="false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  <c r="AU73" s="8"/>
      <c r="AV73" s="8"/>
      <c r="AW73" s="8"/>
    </row>
    <row r="74" customFormat="false" ht="15.75" hidden="false" customHeight="true" outlineLevel="0" collapsed="false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8"/>
      <c r="AU74" s="8"/>
      <c r="AV74" s="8"/>
      <c r="AW74" s="8"/>
    </row>
    <row r="75" customFormat="false" ht="15.75" hidden="false" customHeight="true" outlineLevel="0" collapsed="false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  <c r="AU75" s="8"/>
      <c r="AV75" s="8"/>
      <c r="AW75" s="8"/>
    </row>
    <row r="76" customFormat="false" ht="15.75" hidden="false" customHeight="true" outlineLevel="0" collapsed="false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</row>
    <row r="77" customFormat="false" ht="15.75" hidden="false" customHeight="true" outlineLevel="0" collapsed="false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8"/>
      <c r="AU77" s="8"/>
      <c r="AV77" s="8"/>
      <c r="AW77" s="8"/>
    </row>
    <row r="78" customFormat="false" ht="15.75" hidden="false" customHeight="true" outlineLevel="0" collapsed="false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  <c r="AW78" s="8"/>
    </row>
    <row r="79" customFormat="false" ht="15.75" hidden="false" customHeight="true" outlineLevel="0" collapsed="false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  <c r="AU79" s="8"/>
      <c r="AV79" s="8"/>
      <c r="AW79" s="8"/>
    </row>
    <row r="80" customFormat="false" ht="15.75" hidden="false" customHeight="true" outlineLevel="0" collapsed="false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8"/>
      <c r="AW80" s="8"/>
    </row>
    <row r="81" customFormat="false" ht="15.75" hidden="false" customHeight="true" outlineLevel="0" collapsed="false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  <c r="AU81" s="8"/>
      <c r="AV81" s="8"/>
      <c r="AW81" s="8"/>
    </row>
    <row r="82" customFormat="false" ht="15.75" hidden="false" customHeight="true" outlineLevel="0" collapsed="false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  <c r="AU82" s="8"/>
      <c r="AV82" s="8"/>
      <c r="AW82" s="8"/>
    </row>
    <row r="83" customFormat="false" ht="15.75" hidden="false" customHeight="true" outlineLevel="0" collapsed="false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  <c r="AU83" s="8"/>
      <c r="AV83" s="8"/>
      <c r="AW83" s="8"/>
    </row>
    <row r="84" customFormat="false" ht="15.75" hidden="false" customHeight="true" outlineLevel="0" collapsed="false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  <c r="AU84" s="8"/>
      <c r="AV84" s="8"/>
      <c r="AW84" s="8"/>
    </row>
    <row r="85" customFormat="false" ht="15.75" hidden="false" customHeight="true" outlineLevel="0" collapsed="false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  <c r="AU85" s="8"/>
      <c r="AV85" s="8"/>
      <c r="AW85" s="8"/>
    </row>
    <row r="86" customFormat="false" ht="15.75" hidden="false" customHeight="true" outlineLevel="0" collapsed="false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  <c r="AU86" s="8"/>
      <c r="AV86" s="8"/>
      <c r="AW86" s="8"/>
    </row>
    <row r="87" customFormat="false" ht="15.75" hidden="false" customHeight="true" outlineLevel="0" collapsed="false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  <c r="AU87" s="8"/>
      <c r="AV87" s="8"/>
      <c r="AW87" s="8"/>
    </row>
    <row r="88" customFormat="false" ht="15.75" hidden="false" customHeight="true" outlineLevel="0" collapsed="false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  <c r="AU88" s="8"/>
      <c r="AV88" s="8"/>
      <c r="AW88" s="8"/>
    </row>
    <row r="89" customFormat="false" ht="15.75" hidden="false" customHeight="true" outlineLevel="0" collapsed="false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  <c r="AU89" s="8"/>
      <c r="AV89" s="8"/>
      <c r="AW89" s="8"/>
    </row>
    <row r="90" customFormat="false" ht="15.75" hidden="false" customHeight="true" outlineLevel="0" collapsed="false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  <c r="AU90" s="8"/>
      <c r="AV90" s="8"/>
      <c r="AW90" s="8"/>
    </row>
    <row r="91" customFormat="false" ht="15.75" hidden="false" customHeight="true" outlineLevel="0" collapsed="false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</row>
    <row r="92" customFormat="false" ht="15.75" hidden="false" customHeight="true" outlineLevel="0" collapsed="false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  <c r="AU92" s="8"/>
      <c r="AV92" s="8"/>
      <c r="AW92" s="8"/>
    </row>
    <row r="93" customFormat="false" ht="15.75" hidden="false" customHeight="true" outlineLevel="0" collapsed="false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</row>
    <row r="94" customFormat="false" ht="15.75" hidden="false" customHeight="true" outlineLevel="0" collapsed="false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</row>
    <row r="95" customFormat="false" ht="15.75" hidden="false" customHeight="true" outlineLevel="0" collapsed="false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</row>
    <row r="96" customFormat="false" ht="15.75" hidden="false" customHeight="true" outlineLevel="0" collapsed="false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</row>
    <row r="97" customFormat="false" ht="15.75" hidden="false" customHeight="true" outlineLevel="0" collapsed="false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  <c r="AW97" s="8"/>
    </row>
    <row r="98" customFormat="false" ht="15.75" hidden="false" customHeight="true" outlineLevel="0" collapsed="false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  <c r="AU98" s="8"/>
      <c r="AV98" s="8"/>
      <c r="AW98" s="8"/>
    </row>
    <row r="99" customFormat="false" ht="15.75" hidden="false" customHeight="true" outlineLevel="0" collapsed="false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  <c r="AU99" s="8"/>
      <c r="AV99" s="8"/>
      <c r="AW99" s="8"/>
    </row>
    <row r="100" customFormat="false" ht="15.75" hidden="false" customHeight="true" outlineLevel="0" collapsed="false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  <c r="AW100" s="8"/>
    </row>
    <row r="101" customFormat="false" ht="15.75" hidden="false" customHeight="true" outlineLevel="0" collapsed="false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  <c r="AW101" s="8"/>
    </row>
    <row r="102" customFormat="false" ht="15.75" hidden="false" customHeight="true" outlineLevel="0" collapsed="false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  <c r="AU102" s="8"/>
      <c r="AV102" s="8"/>
      <c r="AW102" s="8"/>
    </row>
    <row r="103" customFormat="false" ht="15.75" hidden="false" customHeight="true" outlineLevel="0" collapsed="false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  <c r="AU103" s="8"/>
      <c r="AV103" s="8"/>
      <c r="AW103" s="8"/>
    </row>
    <row r="104" customFormat="false" ht="15.75" hidden="false" customHeight="true" outlineLevel="0" collapsed="false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  <c r="AU104" s="8"/>
      <c r="AV104" s="8"/>
      <c r="AW104" s="8"/>
    </row>
    <row r="105" customFormat="false" ht="15.75" hidden="false" customHeight="true" outlineLevel="0" collapsed="false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</row>
    <row r="106" customFormat="false" ht="15.75" hidden="false" customHeight="true" outlineLevel="0" collapsed="false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  <c r="AU106" s="8"/>
      <c r="AV106" s="8"/>
      <c r="AW106" s="8"/>
    </row>
    <row r="107" customFormat="false" ht="15.75" hidden="false" customHeight="true" outlineLevel="0" collapsed="false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  <c r="AU107" s="8"/>
      <c r="AV107" s="8"/>
      <c r="AW107" s="8"/>
    </row>
    <row r="108" customFormat="false" ht="15.75" hidden="false" customHeight="true" outlineLevel="0" collapsed="false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  <c r="AU108" s="8"/>
      <c r="AV108" s="8"/>
      <c r="AW108" s="8"/>
    </row>
    <row r="109" customFormat="false" ht="15.75" hidden="false" customHeight="true" outlineLevel="0" collapsed="false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  <c r="AU109" s="8"/>
      <c r="AV109" s="8"/>
      <c r="AW109" s="8"/>
    </row>
    <row r="110" customFormat="false" ht="15.75" hidden="false" customHeight="true" outlineLevel="0" collapsed="false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  <c r="AU110" s="8"/>
      <c r="AV110" s="8"/>
      <c r="AW110" s="8"/>
    </row>
    <row r="111" customFormat="false" ht="15.75" hidden="false" customHeight="true" outlineLevel="0" collapsed="false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  <c r="AU111" s="8"/>
      <c r="AV111" s="8"/>
      <c r="AW111" s="8"/>
    </row>
    <row r="112" customFormat="false" ht="15.75" hidden="false" customHeight="true" outlineLevel="0" collapsed="false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  <c r="AU112" s="8"/>
      <c r="AV112" s="8"/>
      <c r="AW112" s="8"/>
    </row>
    <row r="113" customFormat="false" ht="15.75" hidden="false" customHeight="true" outlineLevel="0" collapsed="false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8"/>
      <c r="AV113" s="8"/>
      <c r="AW113" s="8"/>
    </row>
    <row r="114" customFormat="false" ht="15.75" hidden="false" customHeight="true" outlineLevel="0" collapsed="false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  <c r="AU114" s="8"/>
      <c r="AV114" s="8"/>
      <c r="AW114" s="8"/>
    </row>
    <row r="115" customFormat="false" ht="15.75" hidden="false" customHeight="true" outlineLevel="0" collapsed="false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  <c r="AU115" s="8"/>
      <c r="AV115" s="8"/>
      <c r="AW115" s="8"/>
    </row>
    <row r="116" customFormat="false" ht="15.75" hidden="false" customHeight="true" outlineLevel="0" collapsed="false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  <c r="AU116" s="8"/>
      <c r="AV116" s="8"/>
      <c r="AW116" s="8"/>
    </row>
    <row r="117" customFormat="false" ht="15.75" hidden="false" customHeight="true" outlineLevel="0" collapsed="false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8"/>
      <c r="AV117" s="8"/>
      <c r="AW117" s="8"/>
    </row>
    <row r="118" customFormat="false" ht="15.75" hidden="false" customHeight="true" outlineLevel="0" collapsed="false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8"/>
      <c r="AV118" s="8"/>
      <c r="AW118" s="8"/>
    </row>
    <row r="119" customFormat="false" ht="15.75" hidden="false" customHeight="true" outlineLevel="0" collapsed="false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  <c r="AU119" s="8"/>
      <c r="AV119" s="8"/>
      <c r="AW119" s="8"/>
    </row>
    <row r="120" customFormat="false" ht="15.75" hidden="false" customHeight="true" outlineLevel="0" collapsed="false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  <c r="AU120" s="8"/>
      <c r="AV120" s="8"/>
      <c r="AW120" s="8"/>
    </row>
    <row r="121" customFormat="false" ht="15.75" hidden="false" customHeight="true" outlineLevel="0" collapsed="false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  <c r="AU121" s="8"/>
      <c r="AV121" s="8"/>
      <c r="AW121" s="8"/>
    </row>
    <row r="122" customFormat="false" ht="15.75" hidden="false" customHeight="true" outlineLevel="0" collapsed="false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  <c r="AU122" s="8"/>
      <c r="AV122" s="8"/>
      <c r="AW122" s="8"/>
    </row>
    <row r="123" customFormat="false" ht="15.75" hidden="false" customHeight="true" outlineLevel="0" collapsed="false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  <c r="AU123" s="8"/>
      <c r="AV123" s="8"/>
      <c r="AW123" s="8"/>
    </row>
    <row r="124" customFormat="false" ht="15.75" hidden="false" customHeight="true" outlineLevel="0" collapsed="false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8"/>
      <c r="AW124" s="8"/>
    </row>
    <row r="125" customFormat="false" ht="15.75" hidden="false" customHeight="true" outlineLevel="0" collapsed="false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8"/>
      <c r="AW125" s="8"/>
    </row>
    <row r="126" customFormat="false" ht="15.75" hidden="false" customHeight="true" outlineLevel="0" collapsed="false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  <c r="AU126" s="8"/>
      <c r="AV126" s="8"/>
      <c r="AW126" s="8"/>
    </row>
    <row r="127" customFormat="false" ht="15.75" hidden="false" customHeight="true" outlineLevel="0" collapsed="false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  <c r="AU127" s="8"/>
      <c r="AV127" s="8"/>
      <c r="AW127" s="8"/>
    </row>
    <row r="128" customFormat="false" ht="15.75" hidden="false" customHeight="true" outlineLevel="0" collapsed="false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  <c r="AW128" s="8"/>
    </row>
    <row r="129" customFormat="false" ht="15.75" hidden="false" customHeight="true" outlineLevel="0" collapsed="false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  <c r="AU129" s="8"/>
      <c r="AV129" s="8"/>
      <c r="AW129" s="8"/>
    </row>
    <row r="130" customFormat="false" ht="15.75" hidden="false" customHeight="true" outlineLevel="0" collapsed="false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  <c r="AU130" s="8"/>
      <c r="AV130" s="8"/>
      <c r="AW130" s="8"/>
    </row>
    <row r="131" customFormat="false" ht="15.75" hidden="false" customHeight="true" outlineLevel="0" collapsed="false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  <c r="AU131" s="8"/>
      <c r="AV131" s="8"/>
      <c r="AW131" s="8"/>
    </row>
    <row r="132" customFormat="false" ht="15.75" hidden="false" customHeight="true" outlineLevel="0" collapsed="false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  <c r="AW132" s="8"/>
    </row>
    <row r="133" customFormat="false" ht="15.75" hidden="false" customHeight="true" outlineLevel="0" collapsed="false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</row>
    <row r="134" customFormat="false" ht="15.75" hidden="false" customHeight="true" outlineLevel="0" collapsed="false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  <c r="AW134" s="8"/>
    </row>
    <row r="135" customFormat="false" ht="15.75" hidden="false" customHeight="true" outlineLevel="0" collapsed="false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</row>
    <row r="136" customFormat="false" ht="15.75" hidden="false" customHeight="true" outlineLevel="0" collapsed="false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  <c r="AW136" s="8"/>
    </row>
    <row r="137" customFormat="false" ht="15.75" hidden="false" customHeight="true" outlineLevel="0" collapsed="false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</row>
    <row r="138" customFormat="false" ht="15.75" hidden="false" customHeight="true" outlineLevel="0" collapsed="false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  <c r="AU138" s="8"/>
      <c r="AV138" s="8"/>
      <c r="AW138" s="8"/>
    </row>
    <row r="139" customFormat="false" ht="15.75" hidden="false" customHeight="true" outlineLevel="0" collapsed="false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  <c r="AU139" s="8"/>
      <c r="AV139" s="8"/>
      <c r="AW139" s="8"/>
    </row>
    <row r="140" customFormat="false" ht="15.75" hidden="false" customHeight="true" outlineLevel="0" collapsed="false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</row>
    <row r="141" customFormat="false" ht="15.75" hidden="false" customHeight="true" outlineLevel="0" collapsed="false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</row>
    <row r="142" customFormat="false" ht="15.75" hidden="false" customHeight="true" outlineLevel="0" collapsed="false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  <c r="AU142" s="8"/>
      <c r="AV142" s="8"/>
      <c r="AW142" s="8"/>
    </row>
    <row r="143" customFormat="false" ht="15.75" hidden="false" customHeight="true" outlineLevel="0" collapsed="false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  <c r="AU143" s="8"/>
      <c r="AV143" s="8"/>
      <c r="AW143" s="8"/>
    </row>
    <row r="144" customFormat="false" ht="15.75" hidden="false" customHeight="true" outlineLevel="0" collapsed="false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</row>
    <row r="145" customFormat="false" ht="15.75" hidden="false" customHeight="true" outlineLevel="0" collapsed="false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</row>
    <row r="146" customFormat="false" ht="15.75" hidden="false" customHeight="true" outlineLevel="0" collapsed="false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  <c r="AU146" s="8"/>
      <c r="AV146" s="8"/>
      <c r="AW146" s="8"/>
    </row>
    <row r="147" customFormat="false" ht="15.75" hidden="false" customHeight="true" outlineLevel="0" collapsed="false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</row>
    <row r="148" customFormat="false" ht="15.75" hidden="false" customHeight="true" outlineLevel="0" collapsed="false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  <c r="AU148" s="8"/>
      <c r="AV148" s="8"/>
      <c r="AW148" s="8"/>
    </row>
    <row r="149" customFormat="false" ht="15.75" hidden="false" customHeight="true" outlineLevel="0" collapsed="false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</row>
    <row r="150" customFormat="false" ht="15.75" hidden="false" customHeight="true" outlineLevel="0" collapsed="false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</row>
    <row r="151" customFormat="false" ht="15.75" hidden="false" customHeight="true" outlineLevel="0" collapsed="false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  <c r="AU151" s="8"/>
      <c r="AV151" s="8"/>
      <c r="AW151" s="8"/>
    </row>
    <row r="152" customFormat="false" ht="15.75" hidden="false" customHeight="true" outlineLevel="0" collapsed="false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  <c r="AU152" s="8"/>
      <c r="AV152" s="8"/>
      <c r="AW152" s="8"/>
    </row>
    <row r="153" customFormat="false" ht="15.75" hidden="false" customHeight="true" outlineLevel="0" collapsed="false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  <c r="AV153" s="8"/>
      <c r="AW153" s="8"/>
    </row>
    <row r="154" customFormat="false" ht="15.75" hidden="false" customHeight="true" outlineLevel="0" collapsed="false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  <c r="AU154" s="8"/>
      <c r="AV154" s="8"/>
      <c r="AW154" s="8"/>
    </row>
    <row r="155" customFormat="false" ht="15.75" hidden="false" customHeight="true" outlineLevel="0" collapsed="false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  <c r="AU155" s="8"/>
      <c r="AV155" s="8"/>
      <c r="AW155" s="8"/>
    </row>
    <row r="156" customFormat="false" ht="15.75" hidden="false" customHeight="true" outlineLevel="0" collapsed="false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  <c r="AU156" s="8"/>
      <c r="AV156" s="8"/>
      <c r="AW156" s="8"/>
    </row>
    <row r="157" customFormat="false" ht="15.75" hidden="false" customHeight="true" outlineLevel="0" collapsed="false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</row>
    <row r="158" customFormat="false" ht="15.75" hidden="false" customHeight="true" outlineLevel="0" collapsed="false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</row>
    <row r="159" customFormat="false" ht="15.75" hidden="false" customHeight="true" outlineLevel="0" collapsed="false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  <c r="AU159" s="8"/>
      <c r="AV159" s="8"/>
      <c r="AW159" s="8"/>
    </row>
    <row r="160" customFormat="false" ht="15.75" hidden="false" customHeight="true" outlineLevel="0" collapsed="false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8"/>
      <c r="AU160" s="8"/>
      <c r="AV160" s="8"/>
      <c r="AW160" s="8"/>
    </row>
    <row r="161" customFormat="false" ht="15.75" hidden="false" customHeight="true" outlineLevel="0" collapsed="false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/>
      <c r="AU161" s="8"/>
      <c r="AV161" s="8"/>
      <c r="AW161" s="8"/>
    </row>
    <row r="162" customFormat="false" ht="15.75" hidden="false" customHeight="true" outlineLevel="0" collapsed="false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  <c r="AT162" s="8"/>
      <c r="AU162" s="8"/>
      <c r="AV162" s="8"/>
      <c r="AW162" s="8"/>
    </row>
    <row r="163" customFormat="false" ht="15.75" hidden="false" customHeight="true" outlineLevel="0" collapsed="false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  <c r="AU163" s="8"/>
      <c r="AV163" s="8"/>
      <c r="AW163" s="8"/>
    </row>
    <row r="164" customFormat="false" ht="15.75" hidden="false" customHeight="true" outlineLevel="0" collapsed="false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  <c r="AU164" s="8"/>
      <c r="AV164" s="8"/>
      <c r="AW164" s="8"/>
    </row>
    <row r="165" customFormat="false" ht="15.75" hidden="false" customHeight="true" outlineLevel="0" collapsed="false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8"/>
      <c r="AT165" s="8"/>
      <c r="AU165" s="8"/>
      <c r="AV165" s="8"/>
      <c r="AW165" s="8"/>
    </row>
    <row r="166" customFormat="false" ht="15.75" hidden="false" customHeight="true" outlineLevel="0" collapsed="false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  <c r="AU166" s="8"/>
      <c r="AV166" s="8"/>
      <c r="AW166" s="8"/>
    </row>
    <row r="167" customFormat="false" ht="15.75" hidden="false" customHeight="true" outlineLevel="0" collapsed="false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  <c r="AU167" s="8"/>
      <c r="AV167" s="8"/>
      <c r="AW167" s="8"/>
    </row>
    <row r="168" customFormat="false" ht="15.75" hidden="false" customHeight="true" outlineLevel="0" collapsed="false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8"/>
      <c r="AT168" s="8"/>
      <c r="AU168" s="8"/>
      <c r="AV168" s="8"/>
      <c r="AW168" s="8"/>
    </row>
    <row r="169" customFormat="false" ht="15.75" hidden="false" customHeight="true" outlineLevel="0" collapsed="false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8"/>
      <c r="AT169" s="8"/>
      <c r="AU169" s="8"/>
      <c r="AV169" s="8"/>
      <c r="AW169" s="8"/>
    </row>
    <row r="170" customFormat="false" ht="15.75" hidden="false" customHeight="true" outlineLevel="0" collapsed="false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8"/>
      <c r="AT170" s="8"/>
      <c r="AU170" s="8"/>
      <c r="AV170" s="8"/>
      <c r="AW170" s="8"/>
    </row>
    <row r="171" customFormat="false" ht="15.75" hidden="false" customHeight="true" outlineLevel="0" collapsed="false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8"/>
      <c r="AT171" s="8"/>
      <c r="AU171" s="8"/>
      <c r="AV171" s="8"/>
      <c r="AW171" s="8"/>
    </row>
    <row r="172" customFormat="false" ht="15.75" hidden="false" customHeight="true" outlineLevel="0" collapsed="false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8"/>
      <c r="AT172" s="8"/>
      <c r="AU172" s="8"/>
      <c r="AV172" s="8"/>
      <c r="AW172" s="8"/>
    </row>
    <row r="173" customFormat="false" ht="15.75" hidden="false" customHeight="true" outlineLevel="0" collapsed="false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8"/>
      <c r="AU173" s="8"/>
      <c r="AV173" s="8"/>
      <c r="AW173" s="8"/>
    </row>
    <row r="174" customFormat="false" ht="15.75" hidden="false" customHeight="true" outlineLevel="0" collapsed="false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8"/>
      <c r="AT174" s="8"/>
      <c r="AU174" s="8"/>
      <c r="AV174" s="8"/>
      <c r="AW174" s="8"/>
    </row>
    <row r="175" customFormat="false" ht="15.75" hidden="false" customHeight="true" outlineLevel="0" collapsed="false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8"/>
      <c r="AU175" s="8"/>
      <c r="AV175" s="8"/>
      <c r="AW175" s="8"/>
    </row>
    <row r="176" customFormat="false" ht="15.75" hidden="false" customHeight="true" outlineLevel="0" collapsed="false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8"/>
      <c r="AU176" s="8"/>
      <c r="AV176" s="8"/>
      <c r="AW176" s="8"/>
    </row>
    <row r="177" customFormat="false" ht="15.75" hidden="false" customHeight="true" outlineLevel="0" collapsed="false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8"/>
      <c r="AT177" s="8"/>
      <c r="AU177" s="8"/>
      <c r="AV177" s="8"/>
      <c r="AW177" s="8"/>
    </row>
    <row r="178" customFormat="false" ht="15.75" hidden="false" customHeight="true" outlineLevel="0" collapsed="false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8"/>
      <c r="AT178" s="8"/>
      <c r="AU178" s="8"/>
      <c r="AV178" s="8"/>
      <c r="AW178" s="8"/>
    </row>
    <row r="179" customFormat="false" ht="15.75" hidden="false" customHeight="true" outlineLevel="0" collapsed="false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8"/>
      <c r="AU179" s="8"/>
      <c r="AV179" s="8"/>
      <c r="AW179" s="8"/>
    </row>
    <row r="180" customFormat="false" ht="15.75" hidden="false" customHeight="true" outlineLevel="0" collapsed="false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  <c r="AT180" s="8"/>
      <c r="AU180" s="8"/>
      <c r="AV180" s="8"/>
      <c r="AW180" s="8"/>
    </row>
    <row r="181" customFormat="false" ht="15.75" hidden="false" customHeight="true" outlineLevel="0" collapsed="false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8"/>
      <c r="AU181" s="8"/>
      <c r="AV181" s="8"/>
      <c r="AW181" s="8"/>
    </row>
    <row r="182" customFormat="false" ht="15.75" hidden="false" customHeight="true" outlineLevel="0" collapsed="false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8"/>
      <c r="AU182" s="8"/>
      <c r="AV182" s="8"/>
      <c r="AW182" s="8"/>
    </row>
    <row r="183" customFormat="false" ht="15.75" hidden="false" customHeight="true" outlineLevel="0" collapsed="false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  <c r="AT183" s="8"/>
      <c r="AU183" s="8"/>
      <c r="AV183" s="8"/>
      <c r="AW183" s="8"/>
    </row>
    <row r="184" customFormat="false" ht="15.75" hidden="false" customHeight="true" outlineLevel="0" collapsed="false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8"/>
      <c r="AT184" s="8"/>
      <c r="AU184" s="8"/>
      <c r="AV184" s="8"/>
      <c r="AW184" s="8"/>
    </row>
    <row r="185" customFormat="false" ht="15.75" hidden="false" customHeight="true" outlineLevel="0" collapsed="false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8"/>
      <c r="AU185" s="8"/>
      <c r="AV185" s="8"/>
      <c r="AW185" s="8"/>
    </row>
    <row r="186" customFormat="false" ht="15.75" hidden="false" customHeight="true" outlineLevel="0" collapsed="false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  <c r="AT186" s="8"/>
      <c r="AU186" s="8"/>
      <c r="AV186" s="8"/>
      <c r="AW186" s="8"/>
    </row>
    <row r="187" customFormat="false" ht="15.75" hidden="false" customHeight="true" outlineLevel="0" collapsed="false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8"/>
      <c r="AU187" s="8"/>
      <c r="AV187" s="8"/>
      <c r="AW187" s="8"/>
    </row>
    <row r="188" customFormat="false" ht="15.75" hidden="false" customHeight="true" outlineLevel="0" collapsed="false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  <c r="AU188" s="8"/>
      <c r="AV188" s="8"/>
      <c r="AW188" s="8"/>
    </row>
    <row r="189" customFormat="false" ht="15.75" hidden="false" customHeight="true" outlineLevel="0" collapsed="false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  <c r="AT189" s="8"/>
      <c r="AU189" s="8"/>
      <c r="AV189" s="8"/>
      <c r="AW189" s="8"/>
    </row>
    <row r="190" customFormat="false" ht="15.75" hidden="false" customHeight="true" outlineLevel="0" collapsed="false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8"/>
      <c r="AU190" s="8"/>
      <c r="AV190" s="8"/>
      <c r="AW190" s="8"/>
    </row>
    <row r="191" customFormat="false" ht="15.75" hidden="false" customHeight="true" outlineLevel="0" collapsed="false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8"/>
      <c r="AU191" s="8"/>
      <c r="AV191" s="8"/>
      <c r="AW191" s="8"/>
    </row>
    <row r="192" customFormat="false" ht="15.75" hidden="false" customHeight="true" outlineLevel="0" collapsed="false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  <c r="AT192" s="8"/>
      <c r="AU192" s="8"/>
      <c r="AV192" s="8"/>
      <c r="AW192" s="8"/>
    </row>
    <row r="193" customFormat="false" ht="15.75" hidden="false" customHeight="true" outlineLevel="0" collapsed="false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8"/>
      <c r="AU193" s="8"/>
      <c r="AV193" s="8"/>
      <c r="AW193" s="8"/>
    </row>
    <row r="194" customFormat="false" ht="15.75" hidden="false" customHeight="true" outlineLevel="0" collapsed="false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8"/>
      <c r="AU194" s="8"/>
      <c r="AV194" s="8"/>
      <c r="AW194" s="8"/>
    </row>
    <row r="195" customFormat="false" ht="15.75" hidden="false" customHeight="true" outlineLevel="0" collapsed="false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8"/>
      <c r="AT195" s="8"/>
      <c r="AU195" s="8"/>
      <c r="AV195" s="8"/>
      <c r="AW195" s="8"/>
    </row>
    <row r="196" customFormat="false" ht="15.75" hidden="false" customHeight="true" outlineLevel="0" collapsed="false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8"/>
      <c r="AT196" s="8"/>
      <c r="AU196" s="8"/>
      <c r="AV196" s="8"/>
      <c r="AW196" s="8"/>
    </row>
    <row r="197" customFormat="false" ht="15.75" hidden="false" customHeight="true" outlineLevel="0" collapsed="false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8"/>
      <c r="AU197" s="8"/>
      <c r="AV197" s="8"/>
      <c r="AW197" s="8"/>
    </row>
    <row r="198" customFormat="false" ht="15.75" hidden="false" customHeight="true" outlineLevel="0" collapsed="false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  <c r="AU198" s="8"/>
      <c r="AV198" s="8"/>
      <c r="AW198" s="8"/>
    </row>
    <row r="199" customFormat="false" ht="15.75" hidden="false" customHeight="true" outlineLevel="0" collapsed="false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  <c r="AU199" s="8"/>
      <c r="AV199" s="8"/>
      <c r="AW199" s="8"/>
    </row>
    <row r="200" customFormat="false" ht="15.75" hidden="false" customHeight="true" outlineLevel="0" collapsed="false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  <c r="AU200" s="8"/>
      <c r="AV200" s="8"/>
      <c r="AW200" s="8"/>
    </row>
    <row r="201" customFormat="false" ht="15.75" hidden="false" customHeight="true" outlineLevel="0" collapsed="false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  <c r="AU201" s="8"/>
      <c r="AV201" s="8"/>
      <c r="AW201" s="8"/>
    </row>
    <row r="202" customFormat="false" ht="15.75" hidden="false" customHeight="true" outlineLevel="0" collapsed="false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/>
      <c r="AU202" s="8"/>
      <c r="AV202" s="8"/>
      <c r="AW202" s="8"/>
    </row>
    <row r="203" customFormat="false" ht="15.75" hidden="false" customHeight="true" outlineLevel="0" collapsed="false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  <c r="AU203" s="8"/>
      <c r="AV203" s="8"/>
      <c r="AW203" s="8"/>
    </row>
    <row r="204" customFormat="false" ht="15.75" hidden="false" customHeight="true" outlineLevel="0" collapsed="false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  <c r="AU204" s="8"/>
      <c r="AV204" s="8"/>
      <c r="AW204" s="8"/>
    </row>
    <row r="205" customFormat="false" ht="15.75" hidden="false" customHeight="true" outlineLevel="0" collapsed="false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  <c r="AU205" s="8"/>
      <c r="AV205" s="8"/>
      <c r="AW205" s="8"/>
    </row>
    <row r="206" customFormat="false" ht="15.75" hidden="false" customHeight="true" outlineLevel="0" collapsed="false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  <c r="AU206" s="8"/>
      <c r="AV206" s="8"/>
      <c r="AW206" s="8"/>
    </row>
    <row r="207" customFormat="false" ht="15.75" hidden="false" customHeight="true" outlineLevel="0" collapsed="false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  <c r="AU207" s="8"/>
      <c r="AV207" s="8"/>
      <c r="AW207" s="8"/>
    </row>
    <row r="208" customFormat="false" ht="15.75" hidden="false" customHeight="true" outlineLevel="0" collapsed="false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  <c r="AU208" s="8"/>
      <c r="AV208" s="8"/>
      <c r="AW208" s="8"/>
    </row>
    <row r="209" customFormat="false" ht="15.75" hidden="false" customHeight="true" outlineLevel="0" collapsed="false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  <c r="AU209" s="8"/>
      <c r="AV209" s="8"/>
      <c r="AW209" s="8"/>
    </row>
    <row r="210" customFormat="false" ht="15.75" hidden="false" customHeight="true" outlineLevel="0" collapsed="false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  <c r="AU210" s="8"/>
      <c r="AV210" s="8"/>
      <c r="AW210" s="8"/>
    </row>
    <row r="211" customFormat="false" ht="15.75" hidden="false" customHeight="true" outlineLevel="0" collapsed="false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  <c r="AU211" s="8"/>
      <c r="AV211" s="8"/>
      <c r="AW211" s="8"/>
    </row>
    <row r="212" customFormat="false" ht="15.75" hidden="false" customHeight="true" outlineLevel="0" collapsed="false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  <c r="AU212" s="8"/>
      <c r="AV212" s="8"/>
      <c r="AW212" s="8"/>
    </row>
    <row r="213" customFormat="false" ht="15.75" hidden="false" customHeight="true" outlineLevel="0" collapsed="false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  <c r="AU213" s="8"/>
      <c r="AV213" s="8"/>
      <c r="AW213" s="8"/>
    </row>
    <row r="214" customFormat="false" ht="15.75" hidden="false" customHeight="true" outlineLevel="0" collapsed="false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  <c r="AU214" s="8"/>
      <c r="AV214" s="8"/>
      <c r="AW214" s="8"/>
    </row>
    <row r="215" customFormat="false" ht="15.75" hidden="false" customHeight="true" outlineLevel="0" collapsed="false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  <c r="AU215" s="8"/>
      <c r="AV215" s="8"/>
      <c r="AW215" s="8"/>
    </row>
    <row r="216" customFormat="false" ht="15.75" hidden="false" customHeight="true" outlineLevel="0" collapsed="false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  <c r="AU216" s="8"/>
      <c r="AV216" s="8"/>
      <c r="AW216" s="8"/>
    </row>
    <row r="217" customFormat="false" ht="15.75" hidden="false" customHeight="true" outlineLevel="0" collapsed="false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  <c r="AU217" s="8"/>
      <c r="AV217" s="8"/>
      <c r="AW217" s="8"/>
    </row>
    <row r="218" customFormat="false" ht="15.75" hidden="false" customHeight="true" outlineLevel="0" collapsed="false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  <c r="AU218" s="8"/>
      <c r="AV218" s="8"/>
      <c r="AW218" s="8"/>
    </row>
    <row r="219" customFormat="false" ht="15.75" hidden="false" customHeight="true" outlineLevel="0" collapsed="false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  <c r="AU219" s="8"/>
      <c r="AV219" s="8"/>
      <c r="AW219" s="8"/>
    </row>
    <row r="220" customFormat="false" ht="15.75" hidden="false" customHeight="true" outlineLevel="0" collapsed="false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  <c r="AU220" s="8"/>
      <c r="AV220" s="8"/>
      <c r="AW220" s="8"/>
    </row>
    <row r="221" customFormat="false" ht="15.75" hidden="false" customHeight="true" outlineLevel="0" collapsed="false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  <c r="AU221" s="8"/>
      <c r="AV221" s="8"/>
      <c r="AW221" s="8"/>
    </row>
    <row r="222" customFormat="false" ht="15.75" hidden="false" customHeight="true" outlineLevel="0" collapsed="false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  <c r="AU222" s="8"/>
      <c r="AV222" s="8"/>
      <c r="AW222" s="8"/>
    </row>
    <row r="223" customFormat="false" ht="15.75" hidden="false" customHeight="true" outlineLevel="0" collapsed="false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  <c r="AU223" s="8"/>
      <c r="AV223" s="8"/>
      <c r="AW223" s="8"/>
    </row>
    <row r="224" customFormat="false" ht="15.75" hidden="false" customHeight="true" outlineLevel="0" collapsed="false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  <c r="AU224" s="8"/>
      <c r="AV224" s="8"/>
      <c r="AW224" s="8"/>
    </row>
    <row r="225" customFormat="false" ht="15.75" hidden="false" customHeight="true" outlineLevel="0" collapsed="false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  <c r="AU225" s="8"/>
      <c r="AV225" s="8"/>
      <c r="AW225" s="8"/>
    </row>
    <row r="226" customFormat="false" ht="15.75" hidden="false" customHeight="true" outlineLevel="0" collapsed="false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  <c r="AU226" s="8"/>
      <c r="AV226" s="8"/>
      <c r="AW226" s="8"/>
    </row>
    <row r="227" customFormat="false" ht="15.75" hidden="false" customHeight="true" outlineLevel="0" collapsed="false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  <c r="AU227" s="8"/>
      <c r="AV227" s="8"/>
      <c r="AW227" s="8"/>
    </row>
    <row r="228" customFormat="false" ht="15.75" hidden="false" customHeight="true" outlineLevel="0" collapsed="false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  <c r="AU228" s="8"/>
      <c r="AV228" s="8"/>
      <c r="AW228" s="8"/>
    </row>
    <row r="229" customFormat="false" ht="15.75" hidden="false" customHeight="true" outlineLevel="0" collapsed="false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  <c r="AU229" s="8"/>
      <c r="AV229" s="8"/>
      <c r="AW229" s="8"/>
    </row>
    <row r="230" customFormat="false" ht="15.75" hidden="false" customHeight="true" outlineLevel="0" collapsed="false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  <c r="AU230" s="8"/>
      <c r="AV230" s="8"/>
      <c r="AW230" s="8"/>
    </row>
    <row r="231" customFormat="false" ht="15.75" hidden="false" customHeight="true" outlineLevel="0" collapsed="false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  <c r="AU231" s="8"/>
      <c r="AV231" s="8"/>
      <c r="AW231" s="8"/>
    </row>
    <row r="232" customFormat="false" ht="15.75" hidden="false" customHeight="true" outlineLevel="0" collapsed="false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  <c r="AU232" s="8"/>
      <c r="AV232" s="8"/>
      <c r="AW232" s="8"/>
    </row>
    <row r="233" customFormat="false" ht="15.75" hidden="false" customHeight="true" outlineLevel="0" collapsed="false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  <c r="AU233" s="8"/>
      <c r="AV233" s="8"/>
      <c r="AW233" s="8"/>
    </row>
    <row r="234" customFormat="false" ht="15.75" hidden="false" customHeight="true" outlineLevel="0" collapsed="false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  <c r="AU234" s="8"/>
      <c r="AV234" s="8"/>
      <c r="AW234" s="8"/>
    </row>
    <row r="235" customFormat="false" ht="15.75" hidden="false" customHeight="true" outlineLevel="0" collapsed="false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  <c r="AU235" s="8"/>
      <c r="AV235" s="8"/>
      <c r="AW235" s="8"/>
    </row>
    <row r="236" customFormat="false" ht="15.75" hidden="false" customHeight="true" outlineLevel="0" collapsed="false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  <c r="AU236" s="8"/>
      <c r="AV236" s="8"/>
      <c r="AW236" s="8"/>
    </row>
    <row r="237" customFormat="false" ht="15.75" hidden="false" customHeight="true" outlineLevel="0" collapsed="false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  <c r="AU237" s="8"/>
      <c r="AV237" s="8"/>
      <c r="AW237" s="8"/>
    </row>
    <row r="238" customFormat="false" ht="15.75" hidden="false" customHeight="true" outlineLevel="0" collapsed="false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  <c r="AU238" s="8"/>
      <c r="AV238" s="8"/>
      <c r="AW238" s="8"/>
    </row>
    <row r="239" customFormat="false" ht="15.75" hidden="false" customHeight="true" outlineLevel="0" collapsed="false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  <c r="AU239" s="8"/>
      <c r="AV239" s="8"/>
      <c r="AW239" s="8"/>
    </row>
    <row r="240" customFormat="false" ht="15.75" hidden="false" customHeight="true" outlineLevel="0" collapsed="false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  <c r="AU240" s="8"/>
      <c r="AV240" s="8"/>
      <c r="AW240" s="8"/>
    </row>
    <row r="241" customFormat="false" ht="15.75" hidden="false" customHeight="true" outlineLevel="0" collapsed="false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  <c r="AU241" s="8"/>
      <c r="AV241" s="8"/>
      <c r="AW241" s="8"/>
    </row>
    <row r="242" customFormat="false" ht="15.75" hidden="false" customHeight="true" outlineLevel="0" collapsed="false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  <c r="AU242" s="8"/>
      <c r="AV242" s="8"/>
      <c r="AW242" s="8"/>
    </row>
    <row r="243" customFormat="false" ht="15.75" hidden="false" customHeight="true" outlineLevel="0" collapsed="false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  <c r="AU243" s="8"/>
      <c r="AV243" s="8"/>
      <c r="AW243" s="8"/>
    </row>
    <row r="244" customFormat="false" ht="15.75" hidden="false" customHeight="true" outlineLevel="0" collapsed="false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  <c r="AU244" s="8"/>
      <c r="AV244" s="8"/>
      <c r="AW244" s="8"/>
    </row>
    <row r="245" customFormat="false" ht="15.75" hidden="false" customHeight="true" outlineLevel="0" collapsed="false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  <c r="AU245" s="8"/>
      <c r="AV245" s="8"/>
      <c r="AW245" s="8"/>
    </row>
    <row r="246" customFormat="false" ht="15.75" hidden="false" customHeight="true" outlineLevel="0" collapsed="false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  <c r="AU246" s="8"/>
      <c r="AV246" s="8"/>
      <c r="AW246" s="8"/>
    </row>
    <row r="247" customFormat="false" ht="15.75" hidden="false" customHeight="true" outlineLevel="0" collapsed="false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  <c r="AU247" s="8"/>
      <c r="AV247" s="8"/>
      <c r="AW247" s="8"/>
    </row>
    <row r="248" customFormat="false" ht="15.75" hidden="false" customHeight="true" outlineLevel="0" collapsed="false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  <c r="AU248" s="8"/>
      <c r="AV248" s="8"/>
      <c r="AW248" s="8"/>
    </row>
    <row r="249" customFormat="false" ht="15.75" hidden="false" customHeight="true" outlineLevel="0" collapsed="false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  <c r="AU249" s="8"/>
      <c r="AV249" s="8"/>
      <c r="AW249" s="8"/>
    </row>
    <row r="250" customFormat="false" ht="15.75" hidden="false" customHeight="true" outlineLevel="0" collapsed="false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  <c r="AU250" s="8"/>
      <c r="AV250" s="8"/>
      <c r="AW250" s="8"/>
    </row>
    <row r="251" customFormat="false" ht="15.75" hidden="false" customHeight="true" outlineLevel="0" collapsed="false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  <c r="AU251" s="8"/>
      <c r="AV251" s="8"/>
      <c r="AW251" s="8"/>
    </row>
    <row r="252" customFormat="false" ht="15.75" hidden="false" customHeight="true" outlineLevel="0" collapsed="false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  <c r="AU252" s="8"/>
      <c r="AV252" s="8"/>
      <c r="AW252" s="8"/>
    </row>
    <row r="253" customFormat="false" ht="15.75" hidden="false" customHeight="true" outlineLevel="0" collapsed="false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  <c r="AU253" s="8"/>
      <c r="AV253" s="8"/>
      <c r="AW253" s="8"/>
    </row>
    <row r="254" customFormat="false" ht="15.75" hidden="false" customHeight="true" outlineLevel="0" collapsed="false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  <c r="AU254" s="8"/>
      <c r="AV254" s="8"/>
      <c r="AW254" s="8"/>
    </row>
    <row r="255" customFormat="false" ht="15.75" hidden="false" customHeight="true" outlineLevel="0" collapsed="false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  <c r="AU255" s="8"/>
      <c r="AV255" s="8"/>
      <c r="AW255" s="8"/>
    </row>
    <row r="256" customFormat="false" ht="15.75" hidden="false" customHeight="true" outlineLevel="0" collapsed="false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  <c r="AU256" s="8"/>
      <c r="AV256" s="8"/>
      <c r="AW256" s="8"/>
    </row>
    <row r="257" customFormat="false" ht="15.75" hidden="false" customHeight="true" outlineLevel="0" collapsed="false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  <c r="AU257" s="8"/>
      <c r="AV257" s="8"/>
      <c r="AW257" s="8"/>
    </row>
    <row r="258" customFormat="false" ht="15.75" hidden="false" customHeight="true" outlineLevel="0" collapsed="false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  <c r="AU258" s="8"/>
      <c r="AV258" s="8"/>
      <c r="AW258" s="8"/>
    </row>
    <row r="259" customFormat="false" ht="15.75" hidden="false" customHeight="true" outlineLevel="0" collapsed="false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  <c r="AU259" s="8"/>
      <c r="AV259" s="8"/>
      <c r="AW259" s="8"/>
    </row>
    <row r="260" customFormat="false" ht="15.75" hidden="false" customHeight="true" outlineLevel="0" collapsed="false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  <c r="AU260" s="8"/>
      <c r="AV260" s="8"/>
      <c r="AW260" s="8"/>
    </row>
    <row r="261" customFormat="false" ht="15.75" hidden="false" customHeight="true" outlineLevel="0" collapsed="false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  <c r="AU261" s="8"/>
      <c r="AV261" s="8"/>
      <c r="AW261" s="8"/>
    </row>
    <row r="262" customFormat="false" ht="15.75" hidden="false" customHeight="true" outlineLevel="0" collapsed="false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  <c r="AU262" s="8"/>
      <c r="AV262" s="8"/>
      <c r="AW262" s="8"/>
    </row>
    <row r="263" customFormat="false" ht="15.75" hidden="false" customHeight="true" outlineLevel="0" collapsed="false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  <c r="AU263" s="8"/>
      <c r="AV263" s="8"/>
      <c r="AW263" s="8"/>
    </row>
    <row r="264" customFormat="false" ht="15.75" hidden="false" customHeight="true" outlineLevel="0" collapsed="false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  <c r="AU264" s="8"/>
      <c r="AV264" s="8"/>
      <c r="AW264" s="8"/>
    </row>
    <row r="265" customFormat="false" ht="15.75" hidden="false" customHeight="true" outlineLevel="0" collapsed="false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  <c r="AU265" s="8"/>
      <c r="AV265" s="8"/>
      <c r="AW265" s="8"/>
    </row>
    <row r="266" customFormat="false" ht="15.75" hidden="false" customHeight="true" outlineLevel="0" collapsed="false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  <c r="AU266" s="8"/>
      <c r="AV266" s="8"/>
      <c r="AW266" s="8"/>
    </row>
    <row r="267" customFormat="false" ht="15.75" hidden="false" customHeight="true" outlineLevel="0" collapsed="false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  <c r="AU267" s="8"/>
      <c r="AV267" s="8"/>
      <c r="AW267" s="8"/>
    </row>
    <row r="268" customFormat="false" ht="15.75" hidden="false" customHeight="true" outlineLevel="0" collapsed="false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  <c r="AU268" s="8"/>
      <c r="AV268" s="8"/>
      <c r="AW268" s="8"/>
    </row>
    <row r="269" customFormat="false" ht="15.75" hidden="false" customHeight="true" outlineLevel="0" collapsed="false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  <c r="AU269" s="8"/>
      <c r="AV269" s="8"/>
      <c r="AW269" s="8"/>
    </row>
    <row r="270" customFormat="false" ht="15.75" hidden="false" customHeight="true" outlineLevel="0" collapsed="false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  <c r="AU270" s="8"/>
      <c r="AV270" s="8"/>
      <c r="AW270" s="8"/>
    </row>
    <row r="271" customFormat="false" ht="15.75" hidden="false" customHeight="true" outlineLevel="0" collapsed="false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  <c r="AU271" s="8"/>
      <c r="AV271" s="8"/>
      <c r="AW271" s="8"/>
    </row>
    <row r="272" customFormat="false" ht="15.75" hidden="false" customHeight="true" outlineLevel="0" collapsed="false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  <c r="AU272" s="8"/>
      <c r="AV272" s="8"/>
      <c r="AW272" s="8"/>
    </row>
    <row r="273" customFormat="false" ht="15.75" hidden="false" customHeight="true" outlineLevel="0" collapsed="false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  <c r="AU273" s="8"/>
      <c r="AV273" s="8"/>
      <c r="AW273" s="8"/>
    </row>
    <row r="274" customFormat="false" ht="15.75" hidden="false" customHeight="true" outlineLevel="0" collapsed="false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  <c r="AU274" s="8"/>
      <c r="AV274" s="8"/>
      <c r="AW274" s="8"/>
    </row>
    <row r="275" customFormat="false" ht="15.75" hidden="false" customHeight="true" outlineLevel="0" collapsed="false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  <c r="AU275" s="8"/>
      <c r="AV275" s="8"/>
      <c r="AW275" s="8"/>
    </row>
    <row r="276" customFormat="false" ht="15.75" hidden="false" customHeight="true" outlineLevel="0" collapsed="false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  <c r="AU276" s="8"/>
      <c r="AV276" s="8"/>
      <c r="AW276" s="8"/>
    </row>
    <row r="277" customFormat="false" ht="15.75" hidden="false" customHeight="true" outlineLevel="0" collapsed="false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  <c r="AU277" s="8"/>
      <c r="AV277" s="8"/>
      <c r="AW277" s="8"/>
    </row>
    <row r="278" customFormat="false" ht="15.75" hidden="false" customHeight="true" outlineLevel="0" collapsed="false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  <c r="AU278" s="8"/>
      <c r="AV278" s="8"/>
      <c r="AW278" s="8"/>
    </row>
    <row r="279" customFormat="false" ht="15.75" hidden="false" customHeight="true" outlineLevel="0" collapsed="false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  <c r="AU279" s="8"/>
      <c r="AV279" s="8"/>
      <c r="AW279" s="8"/>
    </row>
    <row r="280" customFormat="false" ht="15.75" hidden="false" customHeight="true" outlineLevel="0" collapsed="false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  <c r="AU280" s="8"/>
      <c r="AV280" s="8"/>
      <c r="AW280" s="8"/>
    </row>
    <row r="281" customFormat="false" ht="15.75" hidden="false" customHeight="true" outlineLevel="0" collapsed="false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  <c r="AU281" s="8"/>
      <c r="AV281" s="8"/>
      <c r="AW281" s="8"/>
    </row>
    <row r="282" customFormat="false" ht="15.75" hidden="false" customHeight="true" outlineLevel="0" collapsed="false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  <c r="AU282" s="8"/>
      <c r="AV282" s="8"/>
      <c r="AW282" s="8"/>
    </row>
    <row r="283" customFormat="false" ht="15.75" hidden="false" customHeight="true" outlineLevel="0" collapsed="false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  <c r="AU283" s="8"/>
      <c r="AV283" s="8"/>
      <c r="AW283" s="8"/>
    </row>
    <row r="284" customFormat="false" ht="15.75" hidden="false" customHeight="true" outlineLevel="0" collapsed="false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  <c r="AU284" s="8"/>
      <c r="AV284" s="8"/>
      <c r="AW284" s="8"/>
    </row>
    <row r="285" customFormat="false" ht="15.75" hidden="false" customHeight="true" outlineLevel="0" collapsed="false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  <c r="AU285" s="8"/>
      <c r="AV285" s="8"/>
      <c r="AW285" s="8"/>
    </row>
    <row r="286" customFormat="false" ht="15.75" hidden="false" customHeight="true" outlineLevel="0" collapsed="false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  <c r="AU286" s="8"/>
      <c r="AV286" s="8"/>
      <c r="AW286" s="8"/>
    </row>
    <row r="287" customFormat="false" ht="15.75" hidden="false" customHeight="true" outlineLevel="0" collapsed="false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  <c r="AU287" s="8"/>
      <c r="AV287" s="8"/>
      <c r="AW287" s="8"/>
    </row>
    <row r="288" customFormat="false" ht="15.75" hidden="false" customHeight="true" outlineLevel="0" collapsed="false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  <c r="AU288" s="8"/>
      <c r="AV288" s="8"/>
      <c r="AW288" s="8"/>
    </row>
    <row r="289" customFormat="false" ht="15.75" hidden="false" customHeight="true" outlineLevel="0" collapsed="false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  <c r="AU289" s="8"/>
      <c r="AV289" s="8"/>
      <c r="AW289" s="8"/>
    </row>
    <row r="290" customFormat="false" ht="15.75" hidden="false" customHeight="true" outlineLevel="0" collapsed="false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  <c r="AU290" s="8"/>
      <c r="AV290" s="8"/>
      <c r="AW290" s="8"/>
    </row>
    <row r="291" customFormat="false" ht="15.75" hidden="false" customHeight="true" outlineLevel="0" collapsed="false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  <c r="AU291" s="8"/>
      <c r="AV291" s="8"/>
      <c r="AW291" s="8"/>
    </row>
    <row r="292" customFormat="false" ht="15.75" hidden="false" customHeight="true" outlineLevel="0" collapsed="false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  <c r="AU292" s="8"/>
      <c r="AV292" s="8"/>
      <c r="AW292" s="8"/>
    </row>
    <row r="293" customFormat="false" ht="15.75" hidden="false" customHeight="true" outlineLevel="0" collapsed="false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  <c r="AU293" s="8"/>
      <c r="AV293" s="8"/>
      <c r="AW293" s="8"/>
    </row>
    <row r="294" customFormat="false" ht="15.75" hidden="false" customHeight="true" outlineLevel="0" collapsed="false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  <c r="AU294" s="8"/>
      <c r="AV294" s="8"/>
      <c r="AW294" s="8"/>
    </row>
    <row r="295" customFormat="false" ht="15.75" hidden="false" customHeight="true" outlineLevel="0" collapsed="false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  <c r="AU295" s="8"/>
      <c r="AV295" s="8"/>
      <c r="AW295" s="8"/>
    </row>
    <row r="296" customFormat="false" ht="15.75" hidden="false" customHeight="true" outlineLevel="0" collapsed="false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  <c r="AU296" s="8"/>
      <c r="AV296" s="8"/>
      <c r="AW296" s="8"/>
    </row>
    <row r="297" customFormat="false" ht="15.75" hidden="false" customHeight="true" outlineLevel="0" collapsed="false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  <c r="AU297" s="8"/>
      <c r="AV297" s="8"/>
      <c r="AW297" s="8"/>
    </row>
    <row r="298" customFormat="false" ht="15.75" hidden="false" customHeight="true" outlineLevel="0" collapsed="false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  <c r="AU298" s="8"/>
      <c r="AV298" s="8"/>
      <c r="AW298" s="8"/>
    </row>
    <row r="299" customFormat="false" ht="15.75" hidden="false" customHeight="true" outlineLevel="0" collapsed="false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  <c r="AU299" s="8"/>
      <c r="AV299" s="8"/>
      <c r="AW299" s="8"/>
    </row>
    <row r="300" customFormat="false" ht="15.75" hidden="false" customHeight="true" outlineLevel="0" collapsed="false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  <c r="AU300" s="8"/>
      <c r="AV300" s="8"/>
      <c r="AW300" s="8"/>
    </row>
    <row r="301" customFormat="false" ht="15.75" hidden="false" customHeight="true" outlineLevel="0" collapsed="false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  <c r="AU301" s="8"/>
      <c r="AV301" s="8"/>
      <c r="AW301" s="8"/>
    </row>
    <row r="302" customFormat="false" ht="15.75" hidden="false" customHeight="true" outlineLevel="0" collapsed="false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  <c r="AU302" s="8"/>
      <c r="AV302" s="8"/>
      <c r="AW302" s="8"/>
    </row>
    <row r="303" customFormat="false" ht="15.75" hidden="false" customHeight="true" outlineLevel="0" collapsed="false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  <c r="AU303" s="8"/>
      <c r="AV303" s="8"/>
      <c r="AW303" s="8"/>
    </row>
    <row r="304" customFormat="false" ht="15.75" hidden="false" customHeight="true" outlineLevel="0" collapsed="false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  <c r="AU304" s="8"/>
      <c r="AV304" s="8"/>
      <c r="AW304" s="8"/>
    </row>
    <row r="305" customFormat="false" ht="15.75" hidden="false" customHeight="true" outlineLevel="0" collapsed="false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  <c r="AU305" s="8"/>
      <c r="AV305" s="8"/>
      <c r="AW305" s="8"/>
    </row>
    <row r="306" customFormat="false" ht="15.75" hidden="false" customHeight="true" outlineLevel="0" collapsed="false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  <c r="AU306" s="8"/>
      <c r="AV306" s="8"/>
      <c r="AW306" s="8"/>
    </row>
    <row r="307" customFormat="false" ht="15.75" hidden="false" customHeight="true" outlineLevel="0" collapsed="false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  <c r="AU307" s="8"/>
      <c r="AV307" s="8"/>
      <c r="AW307" s="8"/>
    </row>
    <row r="308" customFormat="false" ht="15.75" hidden="false" customHeight="true" outlineLevel="0" collapsed="false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  <c r="AU308" s="8"/>
      <c r="AV308" s="8"/>
      <c r="AW308" s="8"/>
    </row>
    <row r="309" customFormat="false" ht="15.75" hidden="false" customHeight="true" outlineLevel="0" collapsed="false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  <c r="AU309" s="8"/>
      <c r="AV309" s="8"/>
      <c r="AW309" s="8"/>
    </row>
    <row r="310" customFormat="false" ht="15.75" hidden="false" customHeight="true" outlineLevel="0" collapsed="false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  <c r="AU310" s="8"/>
      <c r="AV310" s="8"/>
      <c r="AW310" s="8"/>
    </row>
    <row r="311" customFormat="false" ht="15.75" hidden="false" customHeight="true" outlineLevel="0" collapsed="false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  <c r="AU311" s="8"/>
      <c r="AV311" s="8"/>
      <c r="AW311" s="8"/>
    </row>
    <row r="312" customFormat="false" ht="15.75" hidden="false" customHeight="true" outlineLevel="0" collapsed="false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  <c r="AU312" s="8"/>
      <c r="AV312" s="8"/>
      <c r="AW312" s="8"/>
    </row>
    <row r="313" customFormat="false" ht="15.75" hidden="false" customHeight="true" outlineLevel="0" collapsed="false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  <c r="AU313" s="8"/>
      <c r="AV313" s="8"/>
      <c r="AW313" s="8"/>
    </row>
    <row r="314" customFormat="false" ht="15.75" hidden="false" customHeight="true" outlineLevel="0" collapsed="false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  <c r="AU314" s="8"/>
      <c r="AV314" s="8"/>
      <c r="AW314" s="8"/>
    </row>
    <row r="315" customFormat="false" ht="15.75" hidden="false" customHeight="true" outlineLevel="0" collapsed="false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  <c r="AU315" s="8"/>
      <c r="AV315" s="8"/>
      <c r="AW315" s="8"/>
    </row>
    <row r="316" customFormat="false" ht="15.75" hidden="false" customHeight="true" outlineLevel="0" collapsed="false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  <c r="AU316" s="8"/>
      <c r="AV316" s="8"/>
      <c r="AW316" s="8"/>
    </row>
    <row r="317" customFormat="false" ht="15.75" hidden="false" customHeight="true" outlineLevel="0" collapsed="false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  <c r="AU317" s="8"/>
      <c r="AV317" s="8"/>
      <c r="AW317" s="8"/>
    </row>
    <row r="318" customFormat="false" ht="15.75" hidden="false" customHeight="true" outlineLevel="0" collapsed="false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  <c r="AU318" s="8"/>
      <c r="AV318" s="8"/>
      <c r="AW318" s="8"/>
    </row>
    <row r="319" customFormat="false" ht="15.75" hidden="false" customHeight="true" outlineLevel="0" collapsed="false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  <c r="AU319" s="8"/>
      <c r="AV319" s="8"/>
      <c r="AW319" s="8"/>
    </row>
    <row r="320" customFormat="false" ht="15.75" hidden="false" customHeight="true" outlineLevel="0" collapsed="false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  <c r="AU320" s="8"/>
      <c r="AV320" s="8"/>
      <c r="AW320" s="8"/>
    </row>
    <row r="321" customFormat="false" ht="15.75" hidden="false" customHeight="true" outlineLevel="0" collapsed="false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  <c r="AU321" s="8"/>
      <c r="AV321" s="8"/>
      <c r="AW321" s="8"/>
    </row>
    <row r="322" customFormat="false" ht="15.75" hidden="false" customHeight="true" outlineLevel="0" collapsed="false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  <c r="AU322" s="8"/>
      <c r="AV322" s="8"/>
      <c r="AW322" s="8"/>
    </row>
    <row r="323" customFormat="false" ht="15.75" hidden="false" customHeight="true" outlineLevel="0" collapsed="false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  <c r="AU323" s="8"/>
      <c r="AV323" s="8"/>
      <c r="AW323" s="8"/>
    </row>
    <row r="324" customFormat="false" ht="15.75" hidden="false" customHeight="true" outlineLevel="0" collapsed="false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  <c r="AU324" s="8"/>
      <c r="AV324" s="8"/>
      <c r="AW324" s="8"/>
    </row>
    <row r="325" customFormat="false" ht="15.75" hidden="false" customHeight="true" outlineLevel="0" collapsed="false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  <c r="AU325" s="8"/>
      <c r="AV325" s="8"/>
      <c r="AW325" s="8"/>
    </row>
    <row r="326" customFormat="false" ht="15.75" hidden="false" customHeight="true" outlineLevel="0" collapsed="false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  <c r="AU326" s="8"/>
      <c r="AV326" s="8"/>
      <c r="AW326" s="8"/>
    </row>
    <row r="327" customFormat="false" ht="15.75" hidden="false" customHeight="true" outlineLevel="0" collapsed="false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  <c r="AU327" s="8"/>
      <c r="AV327" s="8"/>
      <c r="AW327" s="8"/>
    </row>
    <row r="328" customFormat="false" ht="15.75" hidden="false" customHeight="true" outlineLevel="0" collapsed="false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  <c r="AU328" s="8"/>
      <c r="AV328" s="8"/>
      <c r="AW328" s="8"/>
    </row>
    <row r="329" customFormat="false" ht="15.75" hidden="false" customHeight="true" outlineLevel="0" collapsed="false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  <c r="AU329" s="8"/>
      <c r="AV329" s="8"/>
      <c r="AW329" s="8"/>
    </row>
    <row r="330" customFormat="false" ht="15.75" hidden="false" customHeight="true" outlineLevel="0" collapsed="false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  <c r="AU330" s="8"/>
      <c r="AV330" s="8"/>
      <c r="AW330" s="8"/>
    </row>
    <row r="331" customFormat="false" ht="15.75" hidden="false" customHeight="true" outlineLevel="0" collapsed="false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  <c r="AU331" s="8"/>
      <c r="AV331" s="8"/>
      <c r="AW331" s="8"/>
    </row>
    <row r="332" customFormat="false" ht="15.75" hidden="false" customHeight="true" outlineLevel="0" collapsed="false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  <c r="AU332" s="8"/>
      <c r="AV332" s="8"/>
      <c r="AW332" s="8"/>
    </row>
    <row r="333" customFormat="false" ht="15.75" hidden="false" customHeight="true" outlineLevel="0" collapsed="false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  <c r="AU333" s="8"/>
      <c r="AV333" s="8"/>
      <c r="AW333" s="8"/>
    </row>
    <row r="334" customFormat="false" ht="15.75" hidden="false" customHeight="true" outlineLevel="0" collapsed="false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  <c r="AU334" s="8"/>
      <c r="AV334" s="8"/>
      <c r="AW334" s="8"/>
    </row>
    <row r="335" customFormat="false" ht="15.75" hidden="false" customHeight="true" outlineLevel="0" collapsed="false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  <c r="AU335" s="8"/>
      <c r="AV335" s="8"/>
      <c r="AW335" s="8"/>
    </row>
    <row r="336" customFormat="false" ht="15.75" hidden="false" customHeight="true" outlineLevel="0" collapsed="false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  <c r="AU336" s="8"/>
      <c r="AV336" s="8"/>
      <c r="AW336" s="8"/>
    </row>
    <row r="337" customFormat="false" ht="15.75" hidden="false" customHeight="true" outlineLevel="0" collapsed="false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  <c r="AU337" s="8"/>
      <c r="AV337" s="8"/>
      <c r="AW337" s="8"/>
    </row>
    <row r="338" customFormat="false" ht="15.75" hidden="false" customHeight="true" outlineLevel="0" collapsed="false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  <c r="AU338" s="8"/>
      <c r="AV338" s="8"/>
      <c r="AW338" s="8"/>
    </row>
    <row r="339" customFormat="false" ht="15.75" hidden="false" customHeight="true" outlineLevel="0" collapsed="false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  <c r="AU339" s="8"/>
      <c r="AV339" s="8"/>
      <c r="AW339" s="8"/>
    </row>
    <row r="340" customFormat="false" ht="15.75" hidden="false" customHeight="true" outlineLevel="0" collapsed="false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  <c r="AU340" s="8"/>
      <c r="AV340" s="8"/>
      <c r="AW340" s="8"/>
    </row>
    <row r="341" customFormat="false" ht="15.75" hidden="false" customHeight="true" outlineLevel="0" collapsed="false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  <c r="AU341" s="8"/>
      <c r="AV341" s="8"/>
      <c r="AW341" s="8"/>
    </row>
    <row r="342" customFormat="false" ht="15.75" hidden="false" customHeight="true" outlineLevel="0" collapsed="false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  <c r="AU342" s="8"/>
      <c r="AV342" s="8"/>
      <c r="AW342" s="8"/>
    </row>
    <row r="343" customFormat="false" ht="15.75" hidden="false" customHeight="true" outlineLevel="0" collapsed="false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  <c r="AU343" s="8"/>
      <c r="AV343" s="8"/>
      <c r="AW343" s="8"/>
    </row>
    <row r="344" customFormat="false" ht="15.75" hidden="false" customHeight="true" outlineLevel="0" collapsed="false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  <c r="AU344" s="8"/>
      <c r="AV344" s="8"/>
      <c r="AW344" s="8"/>
    </row>
    <row r="345" customFormat="false" ht="15.75" hidden="false" customHeight="true" outlineLevel="0" collapsed="false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  <c r="AT345" s="8"/>
      <c r="AU345" s="8"/>
      <c r="AV345" s="8"/>
      <c r="AW345" s="8"/>
    </row>
    <row r="346" customFormat="false" ht="15.75" hidden="false" customHeight="true" outlineLevel="0" collapsed="false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8"/>
      <c r="AU346" s="8"/>
      <c r="AV346" s="8"/>
      <c r="AW346" s="8"/>
    </row>
    <row r="347" customFormat="false" ht="15.75" hidden="false" customHeight="true" outlineLevel="0" collapsed="false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8"/>
      <c r="AU347" s="8"/>
      <c r="AV347" s="8"/>
      <c r="AW347" s="8"/>
    </row>
    <row r="348" customFormat="false" ht="15.75" hidden="false" customHeight="true" outlineLevel="0" collapsed="false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  <c r="AT348" s="8"/>
      <c r="AU348" s="8"/>
      <c r="AV348" s="8"/>
      <c r="AW348" s="8"/>
    </row>
    <row r="349" customFormat="false" ht="15.75" hidden="false" customHeight="true" outlineLevel="0" collapsed="false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8"/>
      <c r="AR349" s="8"/>
      <c r="AS349" s="8"/>
      <c r="AT349" s="8"/>
      <c r="AU349" s="8"/>
      <c r="AV349" s="8"/>
      <c r="AW349" s="8"/>
    </row>
    <row r="350" customFormat="false" ht="15.75" hidden="false" customHeight="true" outlineLevel="0" collapsed="false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8"/>
      <c r="AR350" s="8"/>
      <c r="AS350" s="8"/>
      <c r="AT350" s="8"/>
      <c r="AU350" s="8"/>
      <c r="AV350" s="8"/>
      <c r="AW350" s="8"/>
    </row>
    <row r="351" customFormat="false" ht="15.75" hidden="false" customHeight="true" outlineLevel="0" collapsed="false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8"/>
      <c r="AR351" s="8"/>
      <c r="AS351" s="8"/>
      <c r="AT351" s="8"/>
      <c r="AU351" s="8"/>
      <c r="AV351" s="8"/>
      <c r="AW351" s="8"/>
    </row>
    <row r="352" customFormat="false" ht="15.75" hidden="false" customHeight="true" outlineLevel="0" collapsed="false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8"/>
      <c r="AR352" s="8"/>
      <c r="AS352" s="8"/>
      <c r="AT352" s="8"/>
      <c r="AU352" s="8"/>
      <c r="AV352" s="8"/>
      <c r="AW352" s="8"/>
    </row>
    <row r="353" customFormat="false" ht="15.75" hidden="false" customHeight="true" outlineLevel="0" collapsed="false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8"/>
      <c r="AR353" s="8"/>
      <c r="AS353" s="8"/>
      <c r="AT353" s="8"/>
      <c r="AU353" s="8"/>
      <c r="AV353" s="8"/>
      <c r="AW353" s="8"/>
    </row>
    <row r="354" customFormat="false" ht="15.75" hidden="false" customHeight="true" outlineLevel="0" collapsed="false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8"/>
      <c r="AR354" s="8"/>
      <c r="AS354" s="8"/>
      <c r="AT354" s="8"/>
      <c r="AU354" s="8"/>
      <c r="AV354" s="8"/>
      <c r="AW354" s="8"/>
    </row>
    <row r="355" customFormat="false" ht="15.75" hidden="false" customHeight="true" outlineLevel="0" collapsed="false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8"/>
      <c r="AR355" s="8"/>
      <c r="AS355" s="8"/>
      <c r="AT355" s="8"/>
      <c r="AU355" s="8"/>
      <c r="AV355" s="8"/>
      <c r="AW355" s="8"/>
    </row>
    <row r="356" customFormat="false" ht="15.75" hidden="false" customHeight="true" outlineLevel="0" collapsed="false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8"/>
      <c r="AR356" s="8"/>
      <c r="AS356" s="8"/>
      <c r="AT356" s="8"/>
      <c r="AU356" s="8"/>
      <c r="AV356" s="8"/>
      <c r="AW356" s="8"/>
    </row>
    <row r="357" customFormat="false" ht="15.75" hidden="false" customHeight="true" outlineLevel="0" collapsed="false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8"/>
      <c r="AR357" s="8"/>
      <c r="AS357" s="8"/>
      <c r="AT357" s="8"/>
      <c r="AU357" s="8"/>
      <c r="AV357" s="8"/>
      <c r="AW357" s="8"/>
    </row>
    <row r="358" customFormat="false" ht="15.75" hidden="false" customHeight="true" outlineLevel="0" collapsed="false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8"/>
      <c r="AR358" s="8"/>
      <c r="AS358" s="8"/>
      <c r="AT358" s="8"/>
      <c r="AU358" s="8"/>
      <c r="AV358" s="8"/>
      <c r="AW358" s="8"/>
    </row>
    <row r="359" customFormat="false" ht="15.75" hidden="false" customHeight="true" outlineLevel="0" collapsed="false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8"/>
      <c r="AR359" s="8"/>
      <c r="AS359" s="8"/>
      <c r="AT359" s="8"/>
      <c r="AU359" s="8"/>
      <c r="AV359" s="8"/>
      <c r="AW359" s="8"/>
    </row>
    <row r="360" customFormat="false" ht="15.75" hidden="false" customHeight="true" outlineLevel="0" collapsed="false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8"/>
      <c r="AR360" s="8"/>
      <c r="AS360" s="8"/>
      <c r="AT360" s="8"/>
      <c r="AU360" s="8"/>
      <c r="AV360" s="8"/>
      <c r="AW360" s="8"/>
    </row>
    <row r="361" customFormat="false" ht="15.75" hidden="false" customHeight="true" outlineLevel="0" collapsed="false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8"/>
      <c r="AR361" s="8"/>
      <c r="AS361" s="8"/>
      <c r="AT361" s="8"/>
      <c r="AU361" s="8"/>
      <c r="AV361" s="8"/>
      <c r="AW361" s="8"/>
    </row>
    <row r="362" customFormat="false" ht="15.75" hidden="false" customHeight="true" outlineLevel="0" collapsed="false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8"/>
      <c r="AR362" s="8"/>
      <c r="AS362" s="8"/>
      <c r="AT362" s="8"/>
      <c r="AU362" s="8"/>
      <c r="AV362" s="8"/>
      <c r="AW362" s="8"/>
    </row>
    <row r="363" customFormat="false" ht="15.75" hidden="false" customHeight="true" outlineLevel="0" collapsed="false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8"/>
      <c r="AR363" s="8"/>
      <c r="AS363" s="8"/>
      <c r="AT363" s="8"/>
      <c r="AU363" s="8"/>
      <c r="AV363" s="8"/>
      <c r="AW363" s="8"/>
    </row>
    <row r="364" customFormat="false" ht="15.75" hidden="false" customHeight="true" outlineLevel="0" collapsed="false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8"/>
      <c r="AR364" s="8"/>
      <c r="AS364" s="8"/>
      <c r="AT364" s="8"/>
      <c r="AU364" s="8"/>
      <c r="AV364" s="8"/>
      <c r="AW364" s="8"/>
    </row>
    <row r="365" customFormat="false" ht="15.75" hidden="false" customHeight="true" outlineLevel="0" collapsed="false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8"/>
      <c r="AR365" s="8"/>
      <c r="AS365" s="8"/>
      <c r="AT365" s="8"/>
      <c r="AU365" s="8"/>
      <c r="AV365" s="8"/>
      <c r="AW365" s="8"/>
    </row>
    <row r="366" customFormat="false" ht="15.75" hidden="false" customHeight="true" outlineLevel="0" collapsed="false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  <c r="AQ366" s="8"/>
      <c r="AR366" s="8"/>
      <c r="AS366" s="8"/>
      <c r="AT366" s="8"/>
      <c r="AU366" s="8"/>
      <c r="AV366" s="8"/>
      <c r="AW366" s="8"/>
    </row>
    <row r="367" customFormat="false" ht="15.75" hidden="false" customHeight="true" outlineLevel="0" collapsed="false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  <c r="AQ367" s="8"/>
      <c r="AR367" s="8"/>
      <c r="AS367" s="8"/>
      <c r="AT367" s="8"/>
      <c r="AU367" s="8"/>
      <c r="AV367" s="8"/>
      <c r="AW367" s="8"/>
    </row>
    <row r="368" customFormat="false" ht="15.75" hidden="false" customHeight="true" outlineLevel="0" collapsed="false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  <c r="AQ368" s="8"/>
      <c r="AR368" s="8"/>
      <c r="AS368" s="8"/>
      <c r="AT368" s="8"/>
      <c r="AU368" s="8"/>
      <c r="AV368" s="8"/>
      <c r="AW368" s="8"/>
    </row>
    <row r="369" customFormat="false" ht="15.75" hidden="false" customHeight="true" outlineLevel="0" collapsed="false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  <c r="AP369" s="8"/>
      <c r="AQ369" s="8"/>
      <c r="AR369" s="8"/>
      <c r="AS369" s="8"/>
      <c r="AT369" s="8"/>
      <c r="AU369" s="8"/>
      <c r="AV369" s="8"/>
      <c r="AW369" s="8"/>
    </row>
    <row r="370" customFormat="false" ht="15.75" hidden="false" customHeight="true" outlineLevel="0" collapsed="false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  <c r="AP370" s="8"/>
      <c r="AQ370" s="8"/>
      <c r="AR370" s="8"/>
      <c r="AS370" s="8"/>
      <c r="AT370" s="8"/>
      <c r="AU370" s="8"/>
      <c r="AV370" s="8"/>
      <c r="AW370" s="8"/>
    </row>
    <row r="371" customFormat="false" ht="15.75" hidden="false" customHeight="true" outlineLevel="0" collapsed="false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  <c r="AQ371" s="8"/>
      <c r="AR371" s="8"/>
      <c r="AS371" s="8"/>
      <c r="AT371" s="8"/>
      <c r="AU371" s="8"/>
      <c r="AV371" s="8"/>
      <c r="AW371" s="8"/>
    </row>
    <row r="372" customFormat="false" ht="15.75" hidden="false" customHeight="true" outlineLevel="0" collapsed="false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  <c r="AQ372" s="8"/>
      <c r="AR372" s="8"/>
      <c r="AS372" s="8"/>
      <c r="AT372" s="8"/>
      <c r="AU372" s="8"/>
      <c r="AV372" s="8"/>
      <c r="AW372" s="8"/>
    </row>
    <row r="373" customFormat="false" ht="15.75" hidden="false" customHeight="true" outlineLevel="0" collapsed="false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  <c r="AQ373" s="8"/>
      <c r="AR373" s="8"/>
      <c r="AS373" s="8"/>
      <c r="AT373" s="8"/>
      <c r="AU373" s="8"/>
      <c r="AV373" s="8"/>
      <c r="AW373" s="8"/>
    </row>
    <row r="374" customFormat="false" ht="15.75" hidden="false" customHeight="true" outlineLevel="0" collapsed="false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  <c r="AQ374" s="8"/>
      <c r="AR374" s="8"/>
      <c r="AS374" s="8"/>
      <c r="AT374" s="8"/>
      <c r="AU374" s="8"/>
      <c r="AV374" s="8"/>
      <c r="AW374" s="8"/>
    </row>
    <row r="375" customFormat="false" ht="15.75" hidden="false" customHeight="true" outlineLevel="0" collapsed="false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  <c r="AQ375" s="8"/>
      <c r="AR375" s="8"/>
      <c r="AS375" s="8"/>
      <c r="AT375" s="8"/>
      <c r="AU375" s="8"/>
      <c r="AV375" s="8"/>
      <c r="AW375" s="8"/>
    </row>
    <row r="376" customFormat="false" ht="15.75" hidden="false" customHeight="true" outlineLevel="0" collapsed="false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  <c r="AQ376" s="8"/>
      <c r="AR376" s="8"/>
      <c r="AS376" s="8"/>
      <c r="AT376" s="8"/>
      <c r="AU376" s="8"/>
      <c r="AV376" s="8"/>
      <c r="AW376" s="8"/>
    </row>
    <row r="377" customFormat="false" ht="15.75" hidden="false" customHeight="true" outlineLevel="0" collapsed="false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  <c r="AQ377" s="8"/>
      <c r="AR377" s="8"/>
      <c r="AS377" s="8"/>
      <c r="AT377" s="8"/>
      <c r="AU377" s="8"/>
      <c r="AV377" s="8"/>
      <c r="AW377" s="8"/>
    </row>
    <row r="378" customFormat="false" ht="15.75" hidden="false" customHeight="true" outlineLevel="0" collapsed="false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  <c r="AQ378" s="8"/>
      <c r="AR378" s="8"/>
      <c r="AS378" s="8"/>
      <c r="AT378" s="8"/>
      <c r="AU378" s="8"/>
      <c r="AV378" s="8"/>
      <c r="AW378" s="8"/>
    </row>
    <row r="379" customFormat="false" ht="15.75" hidden="false" customHeight="true" outlineLevel="0" collapsed="false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  <c r="AQ379" s="8"/>
      <c r="AR379" s="8"/>
      <c r="AS379" s="8"/>
      <c r="AT379" s="8"/>
      <c r="AU379" s="8"/>
      <c r="AV379" s="8"/>
      <c r="AW379" s="8"/>
    </row>
    <row r="380" customFormat="false" ht="15.75" hidden="false" customHeight="true" outlineLevel="0" collapsed="false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  <c r="AQ380" s="8"/>
      <c r="AR380" s="8"/>
      <c r="AS380" s="8"/>
      <c r="AT380" s="8"/>
      <c r="AU380" s="8"/>
      <c r="AV380" s="8"/>
      <c r="AW380" s="8"/>
    </row>
    <row r="381" customFormat="false" ht="15.75" hidden="false" customHeight="true" outlineLevel="0" collapsed="false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  <c r="AQ381" s="8"/>
      <c r="AR381" s="8"/>
      <c r="AS381" s="8"/>
      <c r="AT381" s="8"/>
      <c r="AU381" s="8"/>
      <c r="AV381" s="8"/>
      <c r="AW381" s="8"/>
    </row>
    <row r="382" customFormat="false" ht="15.75" hidden="false" customHeight="true" outlineLevel="0" collapsed="false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  <c r="AQ382" s="8"/>
      <c r="AR382" s="8"/>
      <c r="AS382" s="8"/>
      <c r="AT382" s="8"/>
      <c r="AU382" s="8"/>
      <c r="AV382" s="8"/>
      <c r="AW382" s="8"/>
    </row>
    <row r="383" customFormat="false" ht="15.75" hidden="false" customHeight="true" outlineLevel="0" collapsed="false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  <c r="AQ383" s="8"/>
      <c r="AR383" s="8"/>
      <c r="AS383" s="8"/>
      <c r="AT383" s="8"/>
      <c r="AU383" s="8"/>
      <c r="AV383" s="8"/>
      <c r="AW383" s="8"/>
    </row>
    <row r="384" customFormat="false" ht="15.75" hidden="false" customHeight="true" outlineLevel="0" collapsed="false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  <c r="AQ384" s="8"/>
      <c r="AR384" s="8"/>
      <c r="AS384" s="8"/>
      <c r="AT384" s="8"/>
      <c r="AU384" s="8"/>
      <c r="AV384" s="8"/>
      <c r="AW384" s="8"/>
    </row>
    <row r="385" customFormat="false" ht="15.75" hidden="false" customHeight="true" outlineLevel="0" collapsed="false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  <c r="AQ385" s="8"/>
      <c r="AR385" s="8"/>
      <c r="AS385" s="8"/>
      <c r="AT385" s="8"/>
      <c r="AU385" s="8"/>
      <c r="AV385" s="8"/>
      <c r="AW385" s="8"/>
    </row>
    <row r="386" customFormat="false" ht="15.75" hidden="false" customHeight="true" outlineLevel="0" collapsed="false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  <c r="AQ386" s="8"/>
      <c r="AR386" s="8"/>
      <c r="AS386" s="8"/>
      <c r="AT386" s="8"/>
      <c r="AU386" s="8"/>
      <c r="AV386" s="8"/>
      <c r="AW386" s="8"/>
    </row>
    <row r="387" customFormat="false" ht="15.75" hidden="false" customHeight="true" outlineLevel="0" collapsed="false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  <c r="AQ387" s="8"/>
      <c r="AR387" s="8"/>
      <c r="AS387" s="8"/>
      <c r="AT387" s="8"/>
      <c r="AU387" s="8"/>
      <c r="AV387" s="8"/>
      <c r="AW387" s="8"/>
    </row>
    <row r="388" customFormat="false" ht="15.75" hidden="false" customHeight="true" outlineLevel="0" collapsed="false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  <c r="AQ388" s="8"/>
      <c r="AR388" s="8"/>
      <c r="AS388" s="8"/>
      <c r="AT388" s="8"/>
      <c r="AU388" s="8"/>
      <c r="AV388" s="8"/>
      <c r="AW388" s="8"/>
    </row>
    <row r="389" customFormat="false" ht="15.75" hidden="false" customHeight="true" outlineLevel="0" collapsed="false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  <c r="AQ389" s="8"/>
      <c r="AR389" s="8"/>
      <c r="AS389" s="8"/>
      <c r="AT389" s="8"/>
      <c r="AU389" s="8"/>
      <c r="AV389" s="8"/>
      <c r="AW389" s="8"/>
    </row>
    <row r="390" customFormat="false" ht="15.75" hidden="false" customHeight="true" outlineLevel="0" collapsed="false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  <c r="AQ390" s="8"/>
      <c r="AR390" s="8"/>
      <c r="AS390" s="8"/>
      <c r="AT390" s="8"/>
      <c r="AU390" s="8"/>
      <c r="AV390" s="8"/>
      <c r="AW390" s="8"/>
    </row>
    <row r="391" customFormat="false" ht="15.75" hidden="false" customHeight="true" outlineLevel="0" collapsed="false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  <c r="AQ391" s="8"/>
      <c r="AR391" s="8"/>
      <c r="AS391" s="8"/>
      <c r="AT391" s="8"/>
      <c r="AU391" s="8"/>
      <c r="AV391" s="8"/>
      <c r="AW391" s="8"/>
    </row>
    <row r="392" customFormat="false" ht="15.75" hidden="false" customHeight="true" outlineLevel="0" collapsed="false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  <c r="AP392" s="8"/>
      <c r="AQ392" s="8"/>
      <c r="AR392" s="8"/>
      <c r="AS392" s="8"/>
      <c r="AT392" s="8"/>
      <c r="AU392" s="8"/>
      <c r="AV392" s="8"/>
      <c r="AW392" s="8"/>
    </row>
    <row r="393" customFormat="false" ht="15.75" hidden="false" customHeight="true" outlineLevel="0" collapsed="false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  <c r="AQ393" s="8"/>
      <c r="AR393" s="8"/>
      <c r="AS393" s="8"/>
      <c r="AT393" s="8"/>
      <c r="AU393" s="8"/>
      <c r="AV393" s="8"/>
      <c r="AW393" s="8"/>
    </row>
    <row r="394" customFormat="false" ht="15.75" hidden="false" customHeight="true" outlineLevel="0" collapsed="false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  <c r="AQ394" s="8"/>
      <c r="AR394" s="8"/>
      <c r="AS394" s="8"/>
      <c r="AT394" s="8"/>
      <c r="AU394" s="8"/>
      <c r="AV394" s="8"/>
      <c r="AW394" s="8"/>
    </row>
    <row r="395" customFormat="false" ht="15.75" hidden="false" customHeight="true" outlineLevel="0" collapsed="false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  <c r="AP395" s="8"/>
      <c r="AQ395" s="8"/>
      <c r="AR395" s="8"/>
      <c r="AS395" s="8"/>
      <c r="AT395" s="8"/>
      <c r="AU395" s="8"/>
      <c r="AV395" s="8"/>
      <c r="AW395" s="8"/>
    </row>
    <row r="396" customFormat="false" ht="15.75" hidden="false" customHeight="true" outlineLevel="0" collapsed="false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  <c r="AQ396" s="8"/>
      <c r="AR396" s="8"/>
      <c r="AS396" s="8"/>
      <c r="AT396" s="8"/>
      <c r="AU396" s="8"/>
      <c r="AV396" s="8"/>
      <c r="AW396" s="8"/>
    </row>
    <row r="397" customFormat="false" ht="15.75" hidden="false" customHeight="true" outlineLevel="0" collapsed="false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  <c r="AQ397" s="8"/>
      <c r="AR397" s="8"/>
      <c r="AS397" s="8"/>
      <c r="AT397" s="8"/>
      <c r="AU397" s="8"/>
      <c r="AV397" s="8"/>
      <c r="AW397" s="8"/>
    </row>
    <row r="398" customFormat="false" ht="15.75" hidden="false" customHeight="true" outlineLevel="0" collapsed="false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  <c r="AQ398" s="8"/>
      <c r="AR398" s="8"/>
      <c r="AS398" s="8"/>
      <c r="AT398" s="8"/>
      <c r="AU398" s="8"/>
      <c r="AV398" s="8"/>
      <c r="AW398" s="8"/>
    </row>
    <row r="399" customFormat="false" ht="15.75" hidden="false" customHeight="true" outlineLevel="0" collapsed="false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  <c r="AQ399" s="8"/>
      <c r="AR399" s="8"/>
      <c r="AS399" s="8"/>
      <c r="AT399" s="8"/>
      <c r="AU399" s="8"/>
      <c r="AV399" s="8"/>
      <c r="AW399" s="8"/>
    </row>
    <row r="400" customFormat="false" ht="15.75" hidden="false" customHeight="true" outlineLevel="0" collapsed="false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  <c r="AQ400" s="8"/>
      <c r="AR400" s="8"/>
      <c r="AS400" s="8"/>
      <c r="AT400" s="8"/>
      <c r="AU400" s="8"/>
      <c r="AV400" s="8"/>
      <c r="AW400" s="8"/>
    </row>
    <row r="401" customFormat="false" ht="15.75" hidden="false" customHeight="true" outlineLevel="0" collapsed="false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  <c r="AQ401" s="8"/>
      <c r="AR401" s="8"/>
      <c r="AS401" s="8"/>
      <c r="AT401" s="8"/>
      <c r="AU401" s="8"/>
      <c r="AV401" s="8"/>
      <c r="AW401" s="8"/>
    </row>
    <row r="402" customFormat="false" ht="15.75" hidden="false" customHeight="true" outlineLevel="0" collapsed="false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  <c r="AQ402" s="8"/>
      <c r="AR402" s="8"/>
      <c r="AS402" s="8"/>
      <c r="AT402" s="8"/>
      <c r="AU402" s="8"/>
      <c r="AV402" s="8"/>
      <c r="AW402" s="8"/>
    </row>
    <row r="403" customFormat="false" ht="15.75" hidden="false" customHeight="true" outlineLevel="0" collapsed="false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  <c r="AQ403" s="8"/>
      <c r="AR403" s="8"/>
      <c r="AS403" s="8"/>
      <c r="AT403" s="8"/>
      <c r="AU403" s="8"/>
      <c r="AV403" s="8"/>
      <c r="AW403" s="8"/>
    </row>
    <row r="404" customFormat="false" ht="15.75" hidden="false" customHeight="true" outlineLevel="0" collapsed="false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  <c r="AQ404" s="8"/>
      <c r="AR404" s="8"/>
      <c r="AS404" s="8"/>
      <c r="AT404" s="8"/>
      <c r="AU404" s="8"/>
      <c r="AV404" s="8"/>
      <c r="AW404" s="8"/>
    </row>
    <row r="405" customFormat="false" ht="15.75" hidden="false" customHeight="true" outlineLevel="0" collapsed="false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  <c r="AQ405" s="8"/>
      <c r="AR405" s="8"/>
      <c r="AS405" s="8"/>
      <c r="AT405" s="8"/>
      <c r="AU405" s="8"/>
      <c r="AV405" s="8"/>
      <c r="AW405" s="8"/>
    </row>
    <row r="406" customFormat="false" ht="15.75" hidden="false" customHeight="true" outlineLevel="0" collapsed="false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  <c r="AQ406" s="8"/>
      <c r="AR406" s="8"/>
      <c r="AS406" s="8"/>
      <c r="AT406" s="8"/>
      <c r="AU406" s="8"/>
      <c r="AV406" s="8"/>
      <c r="AW406" s="8"/>
    </row>
    <row r="407" customFormat="false" ht="15.75" hidden="false" customHeight="true" outlineLevel="0" collapsed="false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  <c r="AP407" s="8"/>
      <c r="AQ407" s="8"/>
      <c r="AR407" s="8"/>
      <c r="AS407" s="8"/>
      <c r="AT407" s="8"/>
      <c r="AU407" s="8"/>
      <c r="AV407" s="8"/>
      <c r="AW407" s="8"/>
    </row>
    <row r="408" customFormat="false" ht="15.75" hidden="false" customHeight="true" outlineLevel="0" collapsed="false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  <c r="AP408" s="8"/>
      <c r="AQ408" s="8"/>
      <c r="AR408" s="8"/>
      <c r="AS408" s="8"/>
      <c r="AT408" s="8"/>
      <c r="AU408" s="8"/>
      <c r="AV408" s="8"/>
      <c r="AW408" s="8"/>
    </row>
    <row r="409" customFormat="false" ht="15.75" hidden="false" customHeight="true" outlineLevel="0" collapsed="false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  <c r="AO409" s="8"/>
      <c r="AP409" s="8"/>
      <c r="AQ409" s="8"/>
      <c r="AR409" s="8"/>
      <c r="AS409" s="8"/>
      <c r="AT409" s="8"/>
      <c r="AU409" s="8"/>
      <c r="AV409" s="8"/>
      <c r="AW409" s="8"/>
    </row>
    <row r="410" customFormat="false" ht="15.75" hidden="false" customHeight="true" outlineLevel="0" collapsed="false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  <c r="AO410" s="8"/>
      <c r="AP410" s="8"/>
      <c r="AQ410" s="8"/>
      <c r="AR410" s="8"/>
      <c r="AS410" s="8"/>
      <c r="AT410" s="8"/>
      <c r="AU410" s="8"/>
      <c r="AV410" s="8"/>
      <c r="AW410" s="8"/>
    </row>
    <row r="411" customFormat="false" ht="15.75" hidden="false" customHeight="true" outlineLevel="0" collapsed="false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  <c r="AP411" s="8"/>
      <c r="AQ411" s="8"/>
      <c r="AR411" s="8"/>
      <c r="AS411" s="8"/>
      <c r="AT411" s="8"/>
      <c r="AU411" s="8"/>
      <c r="AV411" s="8"/>
      <c r="AW411" s="8"/>
    </row>
    <row r="412" customFormat="false" ht="15.75" hidden="false" customHeight="true" outlineLevel="0" collapsed="false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  <c r="AO412" s="8"/>
      <c r="AP412" s="8"/>
      <c r="AQ412" s="8"/>
      <c r="AR412" s="8"/>
      <c r="AS412" s="8"/>
      <c r="AT412" s="8"/>
      <c r="AU412" s="8"/>
      <c r="AV412" s="8"/>
      <c r="AW412" s="8"/>
    </row>
    <row r="413" customFormat="false" ht="15.75" hidden="false" customHeight="true" outlineLevel="0" collapsed="false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8"/>
      <c r="AP413" s="8"/>
      <c r="AQ413" s="8"/>
      <c r="AR413" s="8"/>
      <c r="AS413" s="8"/>
      <c r="AT413" s="8"/>
      <c r="AU413" s="8"/>
      <c r="AV413" s="8"/>
      <c r="AW413" s="8"/>
    </row>
    <row r="414" customFormat="false" ht="15.75" hidden="false" customHeight="true" outlineLevel="0" collapsed="false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  <c r="AP414" s="8"/>
      <c r="AQ414" s="8"/>
      <c r="AR414" s="8"/>
      <c r="AS414" s="8"/>
      <c r="AT414" s="8"/>
      <c r="AU414" s="8"/>
      <c r="AV414" s="8"/>
      <c r="AW414" s="8"/>
    </row>
    <row r="415" customFormat="false" ht="15.75" hidden="false" customHeight="true" outlineLevel="0" collapsed="false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  <c r="AP415" s="8"/>
      <c r="AQ415" s="8"/>
      <c r="AR415" s="8"/>
      <c r="AS415" s="8"/>
      <c r="AT415" s="8"/>
      <c r="AU415" s="8"/>
      <c r="AV415" s="8"/>
      <c r="AW415" s="8"/>
    </row>
    <row r="416" customFormat="false" ht="15.75" hidden="false" customHeight="true" outlineLevel="0" collapsed="false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  <c r="AP416" s="8"/>
      <c r="AQ416" s="8"/>
      <c r="AR416" s="8"/>
      <c r="AS416" s="8"/>
      <c r="AT416" s="8"/>
      <c r="AU416" s="8"/>
      <c r="AV416" s="8"/>
      <c r="AW416" s="8"/>
    </row>
    <row r="417" customFormat="false" ht="15.75" hidden="false" customHeight="true" outlineLevel="0" collapsed="false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  <c r="AP417" s="8"/>
      <c r="AQ417" s="8"/>
      <c r="AR417" s="8"/>
      <c r="AS417" s="8"/>
      <c r="AT417" s="8"/>
      <c r="AU417" s="8"/>
      <c r="AV417" s="8"/>
      <c r="AW417" s="8"/>
    </row>
    <row r="418" customFormat="false" ht="15.75" hidden="false" customHeight="true" outlineLevel="0" collapsed="false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  <c r="AP418" s="8"/>
      <c r="AQ418" s="8"/>
      <c r="AR418" s="8"/>
      <c r="AS418" s="8"/>
      <c r="AT418" s="8"/>
      <c r="AU418" s="8"/>
      <c r="AV418" s="8"/>
      <c r="AW418" s="8"/>
    </row>
    <row r="419" customFormat="false" ht="15.75" hidden="false" customHeight="true" outlineLevel="0" collapsed="false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  <c r="AP419" s="8"/>
      <c r="AQ419" s="8"/>
      <c r="AR419" s="8"/>
      <c r="AS419" s="8"/>
      <c r="AT419" s="8"/>
      <c r="AU419" s="8"/>
      <c r="AV419" s="8"/>
      <c r="AW419" s="8"/>
    </row>
    <row r="420" customFormat="false" ht="15.75" hidden="false" customHeight="true" outlineLevel="0" collapsed="false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  <c r="AP420" s="8"/>
      <c r="AQ420" s="8"/>
      <c r="AR420" s="8"/>
      <c r="AS420" s="8"/>
      <c r="AT420" s="8"/>
      <c r="AU420" s="8"/>
      <c r="AV420" s="8"/>
      <c r="AW420" s="8"/>
    </row>
    <row r="421" customFormat="false" ht="15.75" hidden="false" customHeight="true" outlineLevel="0" collapsed="false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  <c r="AP421" s="8"/>
      <c r="AQ421" s="8"/>
      <c r="AR421" s="8"/>
      <c r="AS421" s="8"/>
      <c r="AT421" s="8"/>
      <c r="AU421" s="8"/>
      <c r="AV421" s="8"/>
      <c r="AW421" s="8"/>
    </row>
    <row r="422" customFormat="false" ht="15.75" hidden="false" customHeight="true" outlineLevel="0" collapsed="false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  <c r="AP422" s="8"/>
      <c r="AQ422" s="8"/>
      <c r="AR422" s="8"/>
      <c r="AS422" s="8"/>
      <c r="AT422" s="8"/>
      <c r="AU422" s="8"/>
      <c r="AV422" s="8"/>
      <c r="AW422" s="8"/>
    </row>
    <row r="423" customFormat="false" ht="15.75" hidden="false" customHeight="true" outlineLevel="0" collapsed="false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  <c r="AP423" s="8"/>
      <c r="AQ423" s="8"/>
      <c r="AR423" s="8"/>
      <c r="AS423" s="8"/>
      <c r="AT423" s="8"/>
      <c r="AU423" s="8"/>
      <c r="AV423" s="8"/>
      <c r="AW423" s="8"/>
    </row>
    <row r="424" customFormat="false" ht="15.75" hidden="false" customHeight="true" outlineLevel="0" collapsed="false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  <c r="AP424" s="8"/>
      <c r="AQ424" s="8"/>
      <c r="AR424" s="8"/>
      <c r="AS424" s="8"/>
      <c r="AT424" s="8"/>
      <c r="AU424" s="8"/>
      <c r="AV424" s="8"/>
      <c r="AW424" s="8"/>
    </row>
    <row r="425" customFormat="false" ht="15.75" hidden="false" customHeight="true" outlineLevel="0" collapsed="false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  <c r="AP425" s="8"/>
      <c r="AQ425" s="8"/>
      <c r="AR425" s="8"/>
      <c r="AS425" s="8"/>
      <c r="AT425" s="8"/>
      <c r="AU425" s="8"/>
      <c r="AV425" s="8"/>
      <c r="AW425" s="8"/>
    </row>
    <row r="426" customFormat="false" ht="15.75" hidden="false" customHeight="true" outlineLevel="0" collapsed="false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  <c r="AP426" s="8"/>
      <c r="AQ426" s="8"/>
      <c r="AR426" s="8"/>
      <c r="AS426" s="8"/>
      <c r="AT426" s="8"/>
      <c r="AU426" s="8"/>
      <c r="AV426" s="8"/>
      <c r="AW426" s="8"/>
    </row>
    <row r="427" customFormat="false" ht="15.75" hidden="false" customHeight="true" outlineLevel="0" collapsed="false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  <c r="AP427" s="8"/>
      <c r="AQ427" s="8"/>
      <c r="AR427" s="8"/>
      <c r="AS427" s="8"/>
      <c r="AT427" s="8"/>
      <c r="AU427" s="8"/>
      <c r="AV427" s="8"/>
      <c r="AW427" s="8"/>
    </row>
    <row r="428" customFormat="false" ht="15.75" hidden="false" customHeight="true" outlineLevel="0" collapsed="false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  <c r="AP428" s="8"/>
      <c r="AQ428" s="8"/>
      <c r="AR428" s="8"/>
      <c r="AS428" s="8"/>
      <c r="AT428" s="8"/>
      <c r="AU428" s="8"/>
      <c r="AV428" s="8"/>
      <c r="AW428" s="8"/>
    </row>
    <row r="429" customFormat="false" ht="15.75" hidden="false" customHeight="true" outlineLevel="0" collapsed="false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  <c r="AP429" s="8"/>
      <c r="AQ429" s="8"/>
      <c r="AR429" s="8"/>
      <c r="AS429" s="8"/>
      <c r="AT429" s="8"/>
      <c r="AU429" s="8"/>
      <c r="AV429" s="8"/>
      <c r="AW429" s="8"/>
    </row>
    <row r="430" customFormat="false" ht="15.75" hidden="false" customHeight="true" outlineLevel="0" collapsed="false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  <c r="AP430" s="8"/>
      <c r="AQ430" s="8"/>
      <c r="AR430" s="8"/>
      <c r="AS430" s="8"/>
      <c r="AT430" s="8"/>
      <c r="AU430" s="8"/>
      <c r="AV430" s="8"/>
      <c r="AW430" s="8"/>
    </row>
    <row r="431" customFormat="false" ht="15.75" hidden="false" customHeight="true" outlineLevel="0" collapsed="false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  <c r="AP431" s="8"/>
      <c r="AQ431" s="8"/>
      <c r="AR431" s="8"/>
      <c r="AS431" s="8"/>
      <c r="AT431" s="8"/>
      <c r="AU431" s="8"/>
      <c r="AV431" s="8"/>
      <c r="AW431" s="8"/>
    </row>
    <row r="432" customFormat="false" ht="15.75" hidden="false" customHeight="true" outlineLevel="0" collapsed="false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  <c r="AP432" s="8"/>
      <c r="AQ432" s="8"/>
      <c r="AR432" s="8"/>
      <c r="AS432" s="8"/>
      <c r="AT432" s="8"/>
      <c r="AU432" s="8"/>
      <c r="AV432" s="8"/>
      <c r="AW432" s="8"/>
    </row>
    <row r="433" customFormat="false" ht="15.75" hidden="false" customHeight="true" outlineLevel="0" collapsed="false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  <c r="AP433" s="8"/>
      <c r="AQ433" s="8"/>
      <c r="AR433" s="8"/>
      <c r="AS433" s="8"/>
      <c r="AT433" s="8"/>
      <c r="AU433" s="8"/>
      <c r="AV433" s="8"/>
      <c r="AW433" s="8"/>
    </row>
    <row r="434" customFormat="false" ht="15.75" hidden="false" customHeight="true" outlineLevel="0" collapsed="false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  <c r="AP434" s="8"/>
      <c r="AQ434" s="8"/>
      <c r="AR434" s="8"/>
      <c r="AS434" s="8"/>
      <c r="AT434" s="8"/>
      <c r="AU434" s="8"/>
      <c r="AV434" s="8"/>
      <c r="AW434" s="8"/>
    </row>
    <row r="435" customFormat="false" ht="15.75" hidden="false" customHeight="true" outlineLevel="0" collapsed="false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  <c r="AP435" s="8"/>
      <c r="AQ435" s="8"/>
      <c r="AR435" s="8"/>
      <c r="AS435" s="8"/>
      <c r="AT435" s="8"/>
      <c r="AU435" s="8"/>
      <c r="AV435" s="8"/>
      <c r="AW435" s="8"/>
    </row>
    <row r="436" customFormat="false" ht="15.75" hidden="false" customHeight="true" outlineLevel="0" collapsed="false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  <c r="AP436" s="8"/>
      <c r="AQ436" s="8"/>
      <c r="AR436" s="8"/>
      <c r="AS436" s="8"/>
      <c r="AT436" s="8"/>
      <c r="AU436" s="8"/>
      <c r="AV436" s="8"/>
      <c r="AW436" s="8"/>
    </row>
    <row r="437" customFormat="false" ht="15.75" hidden="false" customHeight="true" outlineLevel="0" collapsed="false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  <c r="AP437" s="8"/>
      <c r="AQ437" s="8"/>
      <c r="AR437" s="8"/>
      <c r="AS437" s="8"/>
      <c r="AT437" s="8"/>
      <c r="AU437" s="8"/>
      <c r="AV437" s="8"/>
      <c r="AW437" s="8"/>
    </row>
    <row r="438" customFormat="false" ht="15.75" hidden="false" customHeight="true" outlineLevel="0" collapsed="false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  <c r="AP438" s="8"/>
      <c r="AQ438" s="8"/>
      <c r="AR438" s="8"/>
      <c r="AS438" s="8"/>
      <c r="AT438" s="8"/>
      <c r="AU438" s="8"/>
      <c r="AV438" s="8"/>
      <c r="AW438" s="8"/>
    </row>
    <row r="439" customFormat="false" ht="15.75" hidden="false" customHeight="true" outlineLevel="0" collapsed="false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  <c r="AP439" s="8"/>
      <c r="AQ439" s="8"/>
      <c r="AR439" s="8"/>
      <c r="AS439" s="8"/>
      <c r="AT439" s="8"/>
      <c r="AU439" s="8"/>
      <c r="AV439" s="8"/>
      <c r="AW439" s="8"/>
    </row>
    <row r="440" customFormat="false" ht="15.75" hidden="false" customHeight="true" outlineLevel="0" collapsed="false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  <c r="AP440" s="8"/>
      <c r="AQ440" s="8"/>
      <c r="AR440" s="8"/>
      <c r="AS440" s="8"/>
      <c r="AT440" s="8"/>
      <c r="AU440" s="8"/>
      <c r="AV440" s="8"/>
      <c r="AW440" s="8"/>
    </row>
    <row r="441" customFormat="false" ht="15.75" hidden="false" customHeight="true" outlineLevel="0" collapsed="false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  <c r="AP441" s="8"/>
      <c r="AQ441" s="8"/>
      <c r="AR441" s="8"/>
      <c r="AS441" s="8"/>
      <c r="AT441" s="8"/>
      <c r="AU441" s="8"/>
      <c r="AV441" s="8"/>
      <c r="AW441" s="8"/>
    </row>
    <row r="442" customFormat="false" ht="15.75" hidden="false" customHeight="true" outlineLevel="0" collapsed="false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8"/>
      <c r="AP442" s="8"/>
      <c r="AQ442" s="8"/>
      <c r="AR442" s="8"/>
      <c r="AS442" s="8"/>
      <c r="AT442" s="8"/>
      <c r="AU442" s="8"/>
      <c r="AV442" s="8"/>
      <c r="AW442" s="8"/>
    </row>
    <row r="443" customFormat="false" ht="15.75" hidden="false" customHeight="true" outlineLevel="0" collapsed="false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  <c r="AP443" s="8"/>
      <c r="AQ443" s="8"/>
      <c r="AR443" s="8"/>
      <c r="AS443" s="8"/>
      <c r="AT443" s="8"/>
      <c r="AU443" s="8"/>
      <c r="AV443" s="8"/>
      <c r="AW443" s="8"/>
    </row>
    <row r="444" customFormat="false" ht="15.75" hidden="false" customHeight="true" outlineLevel="0" collapsed="false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  <c r="AP444" s="8"/>
      <c r="AQ444" s="8"/>
      <c r="AR444" s="8"/>
      <c r="AS444" s="8"/>
      <c r="AT444" s="8"/>
      <c r="AU444" s="8"/>
      <c r="AV444" s="8"/>
      <c r="AW444" s="8"/>
    </row>
    <row r="445" customFormat="false" ht="15.75" hidden="false" customHeight="true" outlineLevel="0" collapsed="false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  <c r="AP445" s="8"/>
      <c r="AQ445" s="8"/>
      <c r="AR445" s="8"/>
      <c r="AS445" s="8"/>
      <c r="AT445" s="8"/>
      <c r="AU445" s="8"/>
      <c r="AV445" s="8"/>
      <c r="AW445" s="8"/>
    </row>
    <row r="446" customFormat="false" ht="15.75" hidden="false" customHeight="true" outlineLevel="0" collapsed="false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  <c r="AP446" s="8"/>
      <c r="AQ446" s="8"/>
      <c r="AR446" s="8"/>
      <c r="AS446" s="8"/>
      <c r="AT446" s="8"/>
      <c r="AU446" s="8"/>
      <c r="AV446" s="8"/>
      <c r="AW446" s="8"/>
    </row>
    <row r="447" customFormat="false" ht="15.75" hidden="false" customHeight="true" outlineLevel="0" collapsed="false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  <c r="AQ447" s="8"/>
      <c r="AR447" s="8"/>
      <c r="AS447" s="8"/>
      <c r="AT447" s="8"/>
      <c r="AU447" s="8"/>
      <c r="AV447" s="8"/>
      <c r="AW447" s="8"/>
    </row>
    <row r="448" customFormat="false" ht="15.75" hidden="false" customHeight="true" outlineLevel="0" collapsed="false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  <c r="AP448" s="8"/>
      <c r="AQ448" s="8"/>
      <c r="AR448" s="8"/>
      <c r="AS448" s="8"/>
      <c r="AT448" s="8"/>
      <c r="AU448" s="8"/>
      <c r="AV448" s="8"/>
      <c r="AW448" s="8"/>
    </row>
    <row r="449" customFormat="false" ht="15.75" hidden="false" customHeight="true" outlineLevel="0" collapsed="false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  <c r="AP449" s="8"/>
      <c r="AQ449" s="8"/>
      <c r="AR449" s="8"/>
      <c r="AS449" s="8"/>
      <c r="AT449" s="8"/>
      <c r="AU449" s="8"/>
      <c r="AV449" s="8"/>
      <c r="AW449" s="8"/>
    </row>
    <row r="450" customFormat="false" ht="15.75" hidden="false" customHeight="true" outlineLevel="0" collapsed="false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  <c r="AP450" s="8"/>
      <c r="AQ450" s="8"/>
      <c r="AR450" s="8"/>
      <c r="AS450" s="8"/>
      <c r="AT450" s="8"/>
      <c r="AU450" s="8"/>
      <c r="AV450" s="8"/>
      <c r="AW450" s="8"/>
    </row>
    <row r="451" customFormat="false" ht="15.75" hidden="false" customHeight="true" outlineLevel="0" collapsed="false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  <c r="AP451" s="8"/>
      <c r="AQ451" s="8"/>
      <c r="AR451" s="8"/>
      <c r="AS451" s="8"/>
      <c r="AT451" s="8"/>
      <c r="AU451" s="8"/>
      <c r="AV451" s="8"/>
      <c r="AW451" s="8"/>
    </row>
    <row r="452" customFormat="false" ht="15.75" hidden="false" customHeight="true" outlineLevel="0" collapsed="false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  <c r="AP452" s="8"/>
      <c r="AQ452" s="8"/>
      <c r="AR452" s="8"/>
      <c r="AS452" s="8"/>
      <c r="AT452" s="8"/>
      <c r="AU452" s="8"/>
      <c r="AV452" s="8"/>
      <c r="AW452" s="8"/>
    </row>
    <row r="453" customFormat="false" ht="15.75" hidden="false" customHeight="true" outlineLevel="0" collapsed="false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  <c r="AP453" s="8"/>
      <c r="AQ453" s="8"/>
      <c r="AR453" s="8"/>
      <c r="AS453" s="8"/>
      <c r="AT453" s="8"/>
      <c r="AU453" s="8"/>
      <c r="AV453" s="8"/>
      <c r="AW453" s="8"/>
    </row>
    <row r="454" customFormat="false" ht="15.75" hidden="false" customHeight="true" outlineLevel="0" collapsed="false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  <c r="AP454" s="8"/>
      <c r="AQ454" s="8"/>
      <c r="AR454" s="8"/>
      <c r="AS454" s="8"/>
      <c r="AT454" s="8"/>
      <c r="AU454" s="8"/>
      <c r="AV454" s="8"/>
      <c r="AW454" s="8"/>
    </row>
    <row r="455" customFormat="false" ht="15.75" hidden="false" customHeight="true" outlineLevel="0" collapsed="false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  <c r="AP455" s="8"/>
      <c r="AQ455" s="8"/>
      <c r="AR455" s="8"/>
      <c r="AS455" s="8"/>
      <c r="AT455" s="8"/>
      <c r="AU455" s="8"/>
      <c r="AV455" s="8"/>
      <c r="AW455" s="8"/>
    </row>
    <row r="456" customFormat="false" ht="15.75" hidden="false" customHeight="true" outlineLevel="0" collapsed="false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  <c r="AQ456" s="8"/>
      <c r="AR456" s="8"/>
      <c r="AS456" s="8"/>
      <c r="AT456" s="8"/>
      <c r="AU456" s="8"/>
      <c r="AV456" s="8"/>
      <c r="AW456" s="8"/>
    </row>
    <row r="457" customFormat="false" ht="15.75" hidden="false" customHeight="true" outlineLevel="0" collapsed="false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8"/>
      <c r="AP457" s="8"/>
      <c r="AQ457" s="8"/>
      <c r="AR457" s="8"/>
      <c r="AS457" s="8"/>
      <c r="AT457" s="8"/>
      <c r="AU457" s="8"/>
      <c r="AV457" s="8"/>
      <c r="AW457" s="8"/>
    </row>
    <row r="458" customFormat="false" ht="15.75" hidden="false" customHeight="true" outlineLevel="0" collapsed="false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  <c r="AP458" s="8"/>
      <c r="AQ458" s="8"/>
      <c r="AR458" s="8"/>
      <c r="AS458" s="8"/>
      <c r="AT458" s="8"/>
      <c r="AU458" s="8"/>
      <c r="AV458" s="8"/>
      <c r="AW458" s="8"/>
    </row>
    <row r="459" customFormat="false" ht="15.75" hidden="false" customHeight="true" outlineLevel="0" collapsed="false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  <c r="AP459" s="8"/>
      <c r="AQ459" s="8"/>
      <c r="AR459" s="8"/>
      <c r="AS459" s="8"/>
      <c r="AT459" s="8"/>
      <c r="AU459" s="8"/>
      <c r="AV459" s="8"/>
      <c r="AW459" s="8"/>
    </row>
    <row r="460" customFormat="false" ht="15.75" hidden="false" customHeight="true" outlineLevel="0" collapsed="false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  <c r="AP460" s="8"/>
      <c r="AQ460" s="8"/>
      <c r="AR460" s="8"/>
      <c r="AS460" s="8"/>
      <c r="AT460" s="8"/>
      <c r="AU460" s="8"/>
      <c r="AV460" s="8"/>
      <c r="AW460" s="8"/>
    </row>
    <row r="461" customFormat="false" ht="15.75" hidden="false" customHeight="true" outlineLevel="0" collapsed="false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  <c r="AP461" s="8"/>
      <c r="AQ461" s="8"/>
      <c r="AR461" s="8"/>
      <c r="AS461" s="8"/>
      <c r="AT461" s="8"/>
      <c r="AU461" s="8"/>
      <c r="AV461" s="8"/>
      <c r="AW461" s="8"/>
    </row>
    <row r="462" customFormat="false" ht="15.75" hidden="false" customHeight="true" outlineLevel="0" collapsed="false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  <c r="AP462" s="8"/>
      <c r="AQ462" s="8"/>
      <c r="AR462" s="8"/>
      <c r="AS462" s="8"/>
      <c r="AT462" s="8"/>
      <c r="AU462" s="8"/>
      <c r="AV462" s="8"/>
      <c r="AW462" s="8"/>
    </row>
    <row r="463" customFormat="false" ht="15.75" hidden="false" customHeight="true" outlineLevel="0" collapsed="false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  <c r="AP463" s="8"/>
      <c r="AQ463" s="8"/>
      <c r="AR463" s="8"/>
      <c r="AS463" s="8"/>
      <c r="AT463" s="8"/>
      <c r="AU463" s="8"/>
      <c r="AV463" s="8"/>
      <c r="AW463" s="8"/>
    </row>
    <row r="464" customFormat="false" ht="15.75" hidden="false" customHeight="true" outlineLevel="0" collapsed="false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  <c r="AP464" s="8"/>
      <c r="AQ464" s="8"/>
      <c r="AR464" s="8"/>
      <c r="AS464" s="8"/>
      <c r="AT464" s="8"/>
      <c r="AU464" s="8"/>
      <c r="AV464" s="8"/>
      <c r="AW464" s="8"/>
    </row>
    <row r="465" customFormat="false" ht="15.75" hidden="false" customHeight="true" outlineLevel="0" collapsed="false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  <c r="AP465" s="8"/>
      <c r="AQ465" s="8"/>
      <c r="AR465" s="8"/>
      <c r="AS465" s="8"/>
      <c r="AT465" s="8"/>
      <c r="AU465" s="8"/>
      <c r="AV465" s="8"/>
      <c r="AW465" s="8"/>
    </row>
    <row r="466" customFormat="false" ht="15.75" hidden="false" customHeight="true" outlineLevel="0" collapsed="false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  <c r="AP466" s="8"/>
      <c r="AQ466" s="8"/>
      <c r="AR466" s="8"/>
      <c r="AS466" s="8"/>
      <c r="AT466" s="8"/>
      <c r="AU466" s="8"/>
      <c r="AV466" s="8"/>
      <c r="AW466" s="8"/>
    </row>
    <row r="467" customFormat="false" ht="15.75" hidden="false" customHeight="true" outlineLevel="0" collapsed="false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  <c r="AP467" s="8"/>
      <c r="AQ467" s="8"/>
      <c r="AR467" s="8"/>
      <c r="AS467" s="8"/>
      <c r="AT467" s="8"/>
      <c r="AU467" s="8"/>
      <c r="AV467" s="8"/>
      <c r="AW467" s="8"/>
    </row>
    <row r="468" customFormat="false" ht="15.75" hidden="false" customHeight="true" outlineLevel="0" collapsed="false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  <c r="AP468" s="8"/>
      <c r="AQ468" s="8"/>
      <c r="AR468" s="8"/>
      <c r="AS468" s="8"/>
      <c r="AT468" s="8"/>
      <c r="AU468" s="8"/>
      <c r="AV468" s="8"/>
      <c r="AW468" s="8"/>
    </row>
    <row r="469" customFormat="false" ht="15.75" hidden="false" customHeight="true" outlineLevel="0" collapsed="false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  <c r="AP469" s="8"/>
      <c r="AQ469" s="8"/>
      <c r="AR469" s="8"/>
      <c r="AS469" s="8"/>
      <c r="AT469" s="8"/>
      <c r="AU469" s="8"/>
      <c r="AV469" s="8"/>
      <c r="AW469" s="8"/>
    </row>
    <row r="470" customFormat="false" ht="15.75" hidden="false" customHeight="true" outlineLevel="0" collapsed="false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  <c r="AP470" s="8"/>
      <c r="AQ470" s="8"/>
      <c r="AR470" s="8"/>
      <c r="AS470" s="8"/>
      <c r="AT470" s="8"/>
      <c r="AU470" s="8"/>
      <c r="AV470" s="8"/>
      <c r="AW470" s="8"/>
    </row>
    <row r="471" customFormat="false" ht="15.75" hidden="false" customHeight="true" outlineLevel="0" collapsed="false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  <c r="AP471" s="8"/>
      <c r="AQ471" s="8"/>
      <c r="AR471" s="8"/>
      <c r="AS471" s="8"/>
      <c r="AT471" s="8"/>
      <c r="AU471" s="8"/>
      <c r="AV471" s="8"/>
      <c r="AW471" s="8"/>
    </row>
    <row r="472" customFormat="false" ht="15.75" hidden="false" customHeight="true" outlineLevel="0" collapsed="false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  <c r="AP472" s="8"/>
      <c r="AQ472" s="8"/>
      <c r="AR472" s="8"/>
      <c r="AS472" s="8"/>
      <c r="AT472" s="8"/>
      <c r="AU472" s="8"/>
      <c r="AV472" s="8"/>
      <c r="AW472" s="8"/>
    </row>
    <row r="473" customFormat="false" ht="15.75" hidden="false" customHeight="true" outlineLevel="0" collapsed="false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  <c r="AP473" s="8"/>
      <c r="AQ473" s="8"/>
      <c r="AR473" s="8"/>
      <c r="AS473" s="8"/>
      <c r="AT473" s="8"/>
      <c r="AU473" s="8"/>
      <c r="AV473" s="8"/>
      <c r="AW473" s="8"/>
    </row>
    <row r="474" customFormat="false" ht="15.75" hidden="false" customHeight="true" outlineLevel="0" collapsed="false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  <c r="AP474" s="8"/>
      <c r="AQ474" s="8"/>
      <c r="AR474" s="8"/>
      <c r="AS474" s="8"/>
      <c r="AT474" s="8"/>
      <c r="AU474" s="8"/>
      <c r="AV474" s="8"/>
      <c r="AW474" s="8"/>
    </row>
    <row r="475" customFormat="false" ht="15.75" hidden="false" customHeight="true" outlineLevel="0" collapsed="false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  <c r="AP475" s="8"/>
      <c r="AQ475" s="8"/>
      <c r="AR475" s="8"/>
      <c r="AS475" s="8"/>
      <c r="AT475" s="8"/>
      <c r="AU475" s="8"/>
      <c r="AV475" s="8"/>
      <c r="AW475" s="8"/>
    </row>
    <row r="476" customFormat="false" ht="15.75" hidden="false" customHeight="true" outlineLevel="0" collapsed="false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  <c r="AP476" s="8"/>
      <c r="AQ476" s="8"/>
      <c r="AR476" s="8"/>
      <c r="AS476" s="8"/>
      <c r="AT476" s="8"/>
      <c r="AU476" s="8"/>
      <c r="AV476" s="8"/>
      <c r="AW476" s="8"/>
    </row>
    <row r="477" customFormat="false" ht="15.75" hidden="false" customHeight="true" outlineLevel="0" collapsed="false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  <c r="AP477" s="8"/>
      <c r="AQ477" s="8"/>
      <c r="AR477" s="8"/>
      <c r="AS477" s="8"/>
      <c r="AT477" s="8"/>
      <c r="AU477" s="8"/>
      <c r="AV477" s="8"/>
      <c r="AW477" s="8"/>
    </row>
    <row r="478" customFormat="false" ht="15.75" hidden="false" customHeight="true" outlineLevel="0" collapsed="false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  <c r="AP478" s="8"/>
      <c r="AQ478" s="8"/>
      <c r="AR478" s="8"/>
      <c r="AS478" s="8"/>
      <c r="AT478" s="8"/>
      <c r="AU478" s="8"/>
      <c r="AV478" s="8"/>
      <c r="AW478" s="8"/>
    </row>
    <row r="479" customFormat="false" ht="15.75" hidden="false" customHeight="true" outlineLevel="0" collapsed="false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  <c r="AP479" s="8"/>
      <c r="AQ479" s="8"/>
      <c r="AR479" s="8"/>
      <c r="AS479" s="8"/>
      <c r="AT479" s="8"/>
      <c r="AU479" s="8"/>
      <c r="AV479" s="8"/>
      <c r="AW479" s="8"/>
    </row>
    <row r="480" customFormat="false" ht="15.75" hidden="false" customHeight="true" outlineLevel="0" collapsed="false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  <c r="AP480" s="8"/>
      <c r="AQ480" s="8"/>
      <c r="AR480" s="8"/>
      <c r="AS480" s="8"/>
      <c r="AT480" s="8"/>
      <c r="AU480" s="8"/>
      <c r="AV480" s="8"/>
      <c r="AW480" s="8"/>
    </row>
    <row r="481" customFormat="false" ht="15.75" hidden="false" customHeight="true" outlineLevel="0" collapsed="false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8"/>
      <c r="AP481" s="8"/>
      <c r="AQ481" s="8"/>
      <c r="AR481" s="8"/>
      <c r="AS481" s="8"/>
      <c r="AT481" s="8"/>
      <c r="AU481" s="8"/>
      <c r="AV481" s="8"/>
      <c r="AW481" s="8"/>
    </row>
    <row r="482" customFormat="false" ht="15.75" hidden="false" customHeight="true" outlineLevel="0" collapsed="false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  <c r="AP482" s="8"/>
      <c r="AQ482" s="8"/>
      <c r="AR482" s="8"/>
      <c r="AS482" s="8"/>
      <c r="AT482" s="8"/>
      <c r="AU482" s="8"/>
      <c r="AV482" s="8"/>
      <c r="AW482" s="8"/>
    </row>
    <row r="483" customFormat="false" ht="15.75" hidden="false" customHeight="true" outlineLevel="0" collapsed="false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  <c r="AP483" s="8"/>
      <c r="AQ483" s="8"/>
      <c r="AR483" s="8"/>
      <c r="AS483" s="8"/>
      <c r="AT483" s="8"/>
      <c r="AU483" s="8"/>
      <c r="AV483" s="8"/>
      <c r="AW483" s="8"/>
    </row>
    <row r="484" customFormat="false" ht="15.75" hidden="false" customHeight="true" outlineLevel="0" collapsed="false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  <c r="AP484" s="8"/>
      <c r="AQ484" s="8"/>
      <c r="AR484" s="8"/>
      <c r="AS484" s="8"/>
      <c r="AT484" s="8"/>
      <c r="AU484" s="8"/>
      <c r="AV484" s="8"/>
      <c r="AW484" s="8"/>
    </row>
    <row r="485" customFormat="false" ht="15.75" hidden="false" customHeight="true" outlineLevel="0" collapsed="false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  <c r="AP485" s="8"/>
      <c r="AQ485" s="8"/>
      <c r="AR485" s="8"/>
      <c r="AS485" s="8"/>
      <c r="AT485" s="8"/>
      <c r="AU485" s="8"/>
      <c r="AV485" s="8"/>
      <c r="AW485" s="8"/>
    </row>
    <row r="486" customFormat="false" ht="15.75" hidden="false" customHeight="true" outlineLevel="0" collapsed="false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  <c r="AP486" s="8"/>
      <c r="AQ486" s="8"/>
      <c r="AR486" s="8"/>
      <c r="AS486" s="8"/>
      <c r="AT486" s="8"/>
      <c r="AU486" s="8"/>
      <c r="AV486" s="8"/>
      <c r="AW486" s="8"/>
    </row>
    <row r="487" customFormat="false" ht="15.75" hidden="false" customHeight="true" outlineLevel="0" collapsed="false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  <c r="AP487" s="8"/>
      <c r="AQ487" s="8"/>
      <c r="AR487" s="8"/>
      <c r="AS487" s="8"/>
      <c r="AT487" s="8"/>
      <c r="AU487" s="8"/>
      <c r="AV487" s="8"/>
      <c r="AW487" s="8"/>
    </row>
    <row r="488" customFormat="false" ht="15.75" hidden="false" customHeight="true" outlineLevel="0" collapsed="false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  <c r="AP488" s="8"/>
      <c r="AQ488" s="8"/>
      <c r="AR488" s="8"/>
      <c r="AS488" s="8"/>
      <c r="AT488" s="8"/>
      <c r="AU488" s="8"/>
      <c r="AV488" s="8"/>
      <c r="AW488" s="8"/>
    </row>
    <row r="489" customFormat="false" ht="15.75" hidden="false" customHeight="true" outlineLevel="0" collapsed="false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  <c r="AP489" s="8"/>
      <c r="AQ489" s="8"/>
      <c r="AR489" s="8"/>
      <c r="AS489" s="8"/>
      <c r="AT489" s="8"/>
      <c r="AU489" s="8"/>
      <c r="AV489" s="8"/>
      <c r="AW489" s="8"/>
    </row>
    <row r="490" customFormat="false" ht="15.75" hidden="false" customHeight="true" outlineLevel="0" collapsed="false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  <c r="AP490" s="8"/>
      <c r="AQ490" s="8"/>
      <c r="AR490" s="8"/>
      <c r="AS490" s="8"/>
      <c r="AT490" s="8"/>
      <c r="AU490" s="8"/>
      <c r="AV490" s="8"/>
      <c r="AW490" s="8"/>
    </row>
    <row r="491" customFormat="false" ht="15.75" hidden="false" customHeight="true" outlineLevel="0" collapsed="false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  <c r="AP491" s="8"/>
      <c r="AQ491" s="8"/>
      <c r="AR491" s="8"/>
      <c r="AS491" s="8"/>
      <c r="AT491" s="8"/>
      <c r="AU491" s="8"/>
      <c r="AV491" s="8"/>
      <c r="AW491" s="8"/>
    </row>
    <row r="492" customFormat="false" ht="15.75" hidden="false" customHeight="true" outlineLevel="0" collapsed="false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  <c r="AP492" s="8"/>
      <c r="AQ492" s="8"/>
      <c r="AR492" s="8"/>
      <c r="AS492" s="8"/>
      <c r="AT492" s="8"/>
      <c r="AU492" s="8"/>
      <c r="AV492" s="8"/>
      <c r="AW492" s="8"/>
    </row>
    <row r="493" customFormat="false" ht="15.75" hidden="false" customHeight="true" outlineLevel="0" collapsed="false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  <c r="AO493" s="8"/>
      <c r="AP493" s="8"/>
      <c r="AQ493" s="8"/>
      <c r="AR493" s="8"/>
      <c r="AS493" s="8"/>
      <c r="AT493" s="8"/>
      <c r="AU493" s="8"/>
      <c r="AV493" s="8"/>
      <c r="AW493" s="8"/>
    </row>
    <row r="494" customFormat="false" ht="15.75" hidden="false" customHeight="true" outlineLevel="0" collapsed="false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  <c r="AP494" s="8"/>
      <c r="AQ494" s="8"/>
      <c r="AR494" s="8"/>
      <c r="AS494" s="8"/>
      <c r="AT494" s="8"/>
      <c r="AU494" s="8"/>
      <c r="AV494" s="8"/>
      <c r="AW494" s="8"/>
    </row>
    <row r="495" customFormat="false" ht="15.75" hidden="false" customHeight="true" outlineLevel="0" collapsed="false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  <c r="AO495" s="8"/>
      <c r="AP495" s="8"/>
      <c r="AQ495" s="8"/>
      <c r="AR495" s="8"/>
      <c r="AS495" s="8"/>
      <c r="AT495" s="8"/>
      <c r="AU495" s="8"/>
      <c r="AV495" s="8"/>
      <c r="AW495" s="8"/>
    </row>
    <row r="496" customFormat="false" ht="15.75" hidden="false" customHeight="true" outlineLevel="0" collapsed="false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  <c r="AP496" s="8"/>
      <c r="AQ496" s="8"/>
      <c r="AR496" s="8"/>
      <c r="AS496" s="8"/>
      <c r="AT496" s="8"/>
      <c r="AU496" s="8"/>
      <c r="AV496" s="8"/>
      <c r="AW496" s="8"/>
    </row>
    <row r="497" customFormat="false" ht="15.75" hidden="false" customHeight="true" outlineLevel="0" collapsed="false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  <c r="AP497" s="8"/>
      <c r="AQ497" s="8"/>
      <c r="AR497" s="8"/>
      <c r="AS497" s="8"/>
      <c r="AT497" s="8"/>
      <c r="AU497" s="8"/>
      <c r="AV497" s="8"/>
      <c r="AW497" s="8"/>
    </row>
    <row r="498" customFormat="false" ht="15.75" hidden="false" customHeight="true" outlineLevel="0" collapsed="false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  <c r="AP498" s="8"/>
      <c r="AQ498" s="8"/>
      <c r="AR498" s="8"/>
      <c r="AS498" s="8"/>
      <c r="AT498" s="8"/>
      <c r="AU498" s="8"/>
      <c r="AV498" s="8"/>
      <c r="AW498" s="8"/>
    </row>
    <row r="499" customFormat="false" ht="15.75" hidden="false" customHeight="true" outlineLevel="0" collapsed="false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  <c r="AP499" s="8"/>
      <c r="AQ499" s="8"/>
      <c r="AR499" s="8"/>
      <c r="AS499" s="8"/>
      <c r="AT499" s="8"/>
      <c r="AU499" s="8"/>
      <c r="AV499" s="8"/>
      <c r="AW499" s="8"/>
    </row>
    <row r="500" customFormat="false" ht="15.75" hidden="false" customHeight="true" outlineLevel="0" collapsed="false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  <c r="AP500" s="8"/>
      <c r="AQ500" s="8"/>
      <c r="AR500" s="8"/>
      <c r="AS500" s="8"/>
      <c r="AT500" s="8"/>
      <c r="AU500" s="8"/>
      <c r="AV500" s="8"/>
      <c r="AW500" s="8"/>
    </row>
    <row r="501" customFormat="false" ht="15.75" hidden="false" customHeight="true" outlineLevel="0" collapsed="false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8"/>
      <c r="AP501" s="8"/>
      <c r="AQ501" s="8"/>
      <c r="AR501" s="8"/>
      <c r="AS501" s="8"/>
      <c r="AT501" s="8"/>
      <c r="AU501" s="8"/>
      <c r="AV501" s="8"/>
      <c r="AW501" s="8"/>
    </row>
    <row r="502" customFormat="false" ht="15.75" hidden="false" customHeight="true" outlineLevel="0" collapsed="false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8"/>
      <c r="AP502" s="8"/>
      <c r="AQ502" s="8"/>
      <c r="AR502" s="8"/>
      <c r="AS502" s="8"/>
      <c r="AT502" s="8"/>
      <c r="AU502" s="8"/>
      <c r="AV502" s="8"/>
      <c r="AW502" s="8"/>
    </row>
    <row r="503" customFormat="false" ht="15.75" hidden="false" customHeight="true" outlineLevel="0" collapsed="false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8"/>
      <c r="AP503" s="8"/>
      <c r="AQ503" s="8"/>
      <c r="AR503" s="8"/>
      <c r="AS503" s="8"/>
      <c r="AT503" s="8"/>
      <c r="AU503" s="8"/>
      <c r="AV503" s="8"/>
      <c r="AW503" s="8"/>
    </row>
    <row r="504" customFormat="false" ht="15.75" hidden="false" customHeight="true" outlineLevel="0" collapsed="false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  <c r="AP504" s="8"/>
      <c r="AQ504" s="8"/>
      <c r="AR504" s="8"/>
      <c r="AS504" s="8"/>
      <c r="AT504" s="8"/>
      <c r="AU504" s="8"/>
      <c r="AV504" s="8"/>
      <c r="AW504" s="8"/>
    </row>
    <row r="505" customFormat="false" ht="15.75" hidden="false" customHeight="true" outlineLevel="0" collapsed="false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  <c r="AM505" s="8"/>
      <c r="AN505" s="8"/>
      <c r="AO505" s="8"/>
      <c r="AP505" s="8"/>
      <c r="AQ505" s="8"/>
      <c r="AR505" s="8"/>
      <c r="AS505" s="8"/>
      <c r="AT505" s="8"/>
      <c r="AU505" s="8"/>
      <c r="AV505" s="8"/>
      <c r="AW505" s="8"/>
    </row>
    <row r="506" customFormat="false" ht="15.75" hidden="false" customHeight="true" outlineLevel="0" collapsed="false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  <c r="AL506" s="8"/>
      <c r="AM506" s="8"/>
      <c r="AN506" s="8"/>
      <c r="AO506" s="8"/>
      <c r="AP506" s="8"/>
      <c r="AQ506" s="8"/>
      <c r="AR506" s="8"/>
      <c r="AS506" s="8"/>
      <c r="AT506" s="8"/>
      <c r="AU506" s="8"/>
      <c r="AV506" s="8"/>
      <c r="AW506" s="8"/>
    </row>
    <row r="507" customFormat="false" ht="15.75" hidden="false" customHeight="true" outlineLevel="0" collapsed="false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  <c r="AH507" s="8"/>
      <c r="AI507" s="8"/>
      <c r="AJ507" s="8"/>
      <c r="AK507" s="8"/>
      <c r="AL507" s="8"/>
      <c r="AM507" s="8"/>
      <c r="AN507" s="8"/>
      <c r="AO507" s="8"/>
      <c r="AP507" s="8"/>
      <c r="AQ507" s="8"/>
      <c r="AR507" s="8"/>
      <c r="AS507" s="8"/>
      <c r="AT507" s="8"/>
      <c r="AU507" s="8"/>
      <c r="AV507" s="8"/>
      <c r="AW507" s="8"/>
    </row>
    <row r="508" customFormat="false" ht="15.75" hidden="false" customHeight="true" outlineLevel="0" collapsed="false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  <c r="AO508" s="8"/>
      <c r="AP508" s="8"/>
      <c r="AQ508" s="8"/>
      <c r="AR508" s="8"/>
      <c r="AS508" s="8"/>
      <c r="AT508" s="8"/>
      <c r="AU508" s="8"/>
      <c r="AV508" s="8"/>
      <c r="AW508" s="8"/>
    </row>
    <row r="509" customFormat="false" ht="15.75" hidden="false" customHeight="true" outlineLevel="0" collapsed="false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  <c r="AM509" s="8"/>
      <c r="AN509" s="8"/>
      <c r="AO509" s="8"/>
      <c r="AP509" s="8"/>
      <c r="AQ509" s="8"/>
      <c r="AR509" s="8"/>
      <c r="AS509" s="8"/>
      <c r="AT509" s="8"/>
      <c r="AU509" s="8"/>
      <c r="AV509" s="8"/>
      <c r="AW509" s="8"/>
    </row>
    <row r="510" customFormat="false" ht="15.75" hidden="false" customHeight="true" outlineLevel="0" collapsed="false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  <c r="AH510" s="8"/>
      <c r="AI510" s="8"/>
      <c r="AJ510" s="8"/>
      <c r="AK510" s="8"/>
      <c r="AL510" s="8"/>
      <c r="AM510" s="8"/>
      <c r="AN510" s="8"/>
      <c r="AO510" s="8"/>
      <c r="AP510" s="8"/>
      <c r="AQ510" s="8"/>
      <c r="AR510" s="8"/>
      <c r="AS510" s="8"/>
      <c r="AT510" s="8"/>
      <c r="AU510" s="8"/>
      <c r="AV510" s="8"/>
      <c r="AW510" s="8"/>
    </row>
    <row r="511" customFormat="false" ht="15.75" hidden="false" customHeight="true" outlineLevel="0" collapsed="false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  <c r="AH511" s="8"/>
      <c r="AI511" s="8"/>
      <c r="AJ511" s="8"/>
      <c r="AK511" s="8"/>
      <c r="AL511" s="8"/>
      <c r="AM511" s="8"/>
      <c r="AN511" s="8"/>
      <c r="AO511" s="8"/>
      <c r="AP511" s="8"/>
      <c r="AQ511" s="8"/>
      <c r="AR511" s="8"/>
      <c r="AS511" s="8"/>
      <c r="AT511" s="8"/>
      <c r="AU511" s="8"/>
      <c r="AV511" s="8"/>
      <c r="AW511" s="8"/>
    </row>
    <row r="512" customFormat="false" ht="15.75" hidden="false" customHeight="true" outlineLevel="0" collapsed="false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  <c r="AH512" s="8"/>
      <c r="AI512" s="8"/>
      <c r="AJ512" s="8"/>
      <c r="AK512" s="8"/>
      <c r="AL512" s="8"/>
      <c r="AM512" s="8"/>
      <c r="AN512" s="8"/>
      <c r="AO512" s="8"/>
      <c r="AP512" s="8"/>
      <c r="AQ512" s="8"/>
      <c r="AR512" s="8"/>
      <c r="AS512" s="8"/>
      <c r="AT512" s="8"/>
      <c r="AU512" s="8"/>
      <c r="AV512" s="8"/>
      <c r="AW512" s="8"/>
    </row>
    <row r="513" customFormat="false" ht="15.75" hidden="false" customHeight="true" outlineLevel="0" collapsed="false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  <c r="AH513" s="8"/>
      <c r="AI513" s="8"/>
      <c r="AJ513" s="8"/>
      <c r="AK513" s="8"/>
      <c r="AL513" s="8"/>
      <c r="AM513" s="8"/>
      <c r="AN513" s="8"/>
      <c r="AO513" s="8"/>
      <c r="AP513" s="8"/>
      <c r="AQ513" s="8"/>
      <c r="AR513" s="8"/>
      <c r="AS513" s="8"/>
      <c r="AT513" s="8"/>
      <c r="AU513" s="8"/>
      <c r="AV513" s="8"/>
      <c r="AW513" s="8"/>
    </row>
    <row r="514" customFormat="false" ht="15.75" hidden="false" customHeight="true" outlineLevel="0" collapsed="false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  <c r="AH514" s="8"/>
      <c r="AI514" s="8"/>
      <c r="AJ514" s="8"/>
      <c r="AK514" s="8"/>
      <c r="AL514" s="8"/>
      <c r="AM514" s="8"/>
      <c r="AN514" s="8"/>
      <c r="AO514" s="8"/>
      <c r="AP514" s="8"/>
      <c r="AQ514" s="8"/>
      <c r="AR514" s="8"/>
      <c r="AS514" s="8"/>
      <c r="AT514" s="8"/>
      <c r="AU514" s="8"/>
      <c r="AV514" s="8"/>
      <c r="AW514" s="8"/>
    </row>
    <row r="515" customFormat="false" ht="15.75" hidden="false" customHeight="true" outlineLevel="0" collapsed="false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  <c r="AH515" s="8"/>
      <c r="AI515" s="8"/>
      <c r="AJ515" s="8"/>
      <c r="AK515" s="8"/>
      <c r="AL515" s="8"/>
      <c r="AM515" s="8"/>
      <c r="AN515" s="8"/>
      <c r="AO515" s="8"/>
      <c r="AP515" s="8"/>
      <c r="AQ515" s="8"/>
      <c r="AR515" s="8"/>
      <c r="AS515" s="8"/>
      <c r="AT515" s="8"/>
      <c r="AU515" s="8"/>
      <c r="AV515" s="8"/>
      <c r="AW515" s="8"/>
    </row>
    <row r="516" customFormat="false" ht="15.75" hidden="false" customHeight="true" outlineLevel="0" collapsed="false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  <c r="AH516" s="8"/>
      <c r="AI516" s="8"/>
      <c r="AJ516" s="8"/>
      <c r="AK516" s="8"/>
      <c r="AL516" s="8"/>
      <c r="AM516" s="8"/>
      <c r="AN516" s="8"/>
      <c r="AO516" s="8"/>
      <c r="AP516" s="8"/>
      <c r="AQ516" s="8"/>
      <c r="AR516" s="8"/>
      <c r="AS516" s="8"/>
      <c r="AT516" s="8"/>
      <c r="AU516" s="8"/>
      <c r="AV516" s="8"/>
      <c r="AW516" s="8"/>
    </row>
    <row r="517" customFormat="false" ht="15.75" hidden="false" customHeight="true" outlineLevel="0" collapsed="false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  <c r="AH517" s="8"/>
      <c r="AI517" s="8"/>
      <c r="AJ517" s="8"/>
      <c r="AK517" s="8"/>
      <c r="AL517" s="8"/>
      <c r="AM517" s="8"/>
      <c r="AN517" s="8"/>
      <c r="AO517" s="8"/>
      <c r="AP517" s="8"/>
      <c r="AQ517" s="8"/>
      <c r="AR517" s="8"/>
      <c r="AS517" s="8"/>
      <c r="AT517" s="8"/>
      <c r="AU517" s="8"/>
      <c r="AV517" s="8"/>
      <c r="AW517" s="8"/>
    </row>
    <row r="518" customFormat="false" ht="15.75" hidden="false" customHeight="true" outlineLevel="0" collapsed="false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  <c r="AH518" s="8"/>
      <c r="AI518" s="8"/>
      <c r="AJ518" s="8"/>
      <c r="AK518" s="8"/>
      <c r="AL518" s="8"/>
      <c r="AM518" s="8"/>
      <c r="AN518" s="8"/>
      <c r="AO518" s="8"/>
      <c r="AP518" s="8"/>
      <c r="AQ518" s="8"/>
      <c r="AR518" s="8"/>
      <c r="AS518" s="8"/>
      <c r="AT518" s="8"/>
      <c r="AU518" s="8"/>
      <c r="AV518" s="8"/>
      <c r="AW518" s="8"/>
    </row>
    <row r="519" customFormat="false" ht="15.75" hidden="false" customHeight="true" outlineLevel="0" collapsed="false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  <c r="AH519" s="8"/>
      <c r="AI519" s="8"/>
      <c r="AJ519" s="8"/>
      <c r="AK519" s="8"/>
      <c r="AL519" s="8"/>
      <c r="AM519" s="8"/>
      <c r="AN519" s="8"/>
      <c r="AO519" s="8"/>
      <c r="AP519" s="8"/>
      <c r="AQ519" s="8"/>
      <c r="AR519" s="8"/>
      <c r="AS519" s="8"/>
      <c r="AT519" s="8"/>
      <c r="AU519" s="8"/>
      <c r="AV519" s="8"/>
      <c r="AW519" s="8"/>
    </row>
    <row r="520" customFormat="false" ht="15.75" hidden="false" customHeight="true" outlineLevel="0" collapsed="false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  <c r="AH520" s="8"/>
      <c r="AI520" s="8"/>
      <c r="AJ520" s="8"/>
      <c r="AK520" s="8"/>
      <c r="AL520" s="8"/>
      <c r="AM520" s="8"/>
      <c r="AN520" s="8"/>
      <c r="AO520" s="8"/>
      <c r="AP520" s="8"/>
      <c r="AQ520" s="8"/>
      <c r="AR520" s="8"/>
      <c r="AS520" s="8"/>
      <c r="AT520" s="8"/>
      <c r="AU520" s="8"/>
      <c r="AV520" s="8"/>
      <c r="AW520" s="8"/>
    </row>
    <row r="521" customFormat="false" ht="15.75" hidden="false" customHeight="true" outlineLevel="0" collapsed="false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  <c r="AH521" s="8"/>
      <c r="AI521" s="8"/>
      <c r="AJ521" s="8"/>
      <c r="AK521" s="8"/>
      <c r="AL521" s="8"/>
      <c r="AM521" s="8"/>
      <c r="AN521" s="8"/>
      <c r="AO521" s="8"/>
      <c r="AP521" s="8"/>
      <c r="AQ521" s="8"/>
      <c r="AR521" s="8"/>
      <c r="AS521" s="8"/>
      <c r="AT521" s="8"/>
      <c r="AU521" s="8"/>
      <c r="AV521" s="8"/>
      <c r="AW521" s="8"/>
    </row>
    <row r="522" customFormat="false" ht="15.75" hidden="false" customHeight="true" outlineLevel="0" collapsed="false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  <c r="AH522" s="8"/>
      <c r="AI522" s="8"/>
      <c r="AJ522" s="8"/>
      <c r="AK522" s="8"/>
      <c r="AL522" s="8"/>
      <c r="AM522" s="8"/>
      <c r="AN522" s="8"/>
      <c r="AO522" s="8"/>
      <c r="AP522" s="8"/>
      <c r="AQ522" s="8"/>
      <c r="AR522" s="8"/>
      <c r="AS522" s="8"/>
      <c r="AT522" s="8"/>
      <c r="AU522" s="8"/>
      <c r="AV522" s="8"/>
      <c r="AW522" s="8"/>
    </row>
    <row r="523" customFormat="false" ht="15.75" hidden="false" customHeight="true" outlineLevel="0" collapsed="false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  <c r="AH523" s="8"/>
      <c r="AI523" s="8"/>
      <c r="AJ523" s="8"/>
      <c r="AK523" s="8"/>
      <c r="AL523" s="8"/>
      <c r="AM523" s="8"/>
      <c r="AN523" s="8"/>
      <c r="AO523" s="8"/>
      <c r="AP523" s="8"/>
      <c r="AQ523" s="8"/>
      <c r="AR523" s="8"/>
      <c r="AS523" s="8"/>
      <c r="AT523" s="8"/>
      <c r="AU523" s="8"/>
      <c r="AV523" s="8"/>
      <c r="AW523" s="8"/>
    </row>
    <row r="524" customFormat="false" ht="15.75" hidden="false" customHeight="true" outlineLevel="0" collapsed="false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  <c r="AH524" s="8"/>
      <c r="AI524" s="8"/>
      <c r="AJ524" s="8"/>
      <c r="AK524" s="8"/>
      <c r="AL524" s="8"/>
      <c r="AM524" s="8"/>
      <c r="AN524" s="8"/>
      <c r="AO524" s="8"/>
      <c r="AP524" s="8"/>
      <c r="AQ524" s="8"/>
      <c r="AR524" s="8"/>
      <c r="AS524" s="8"/>
      <c r="AT524" s="8"/>
      <c r="AU524" s="8"/>
      <c r="AV524" s="8"/>
      <c r="AW524" s="8"/>
    </row>
    <row r="525" customFormat="false" ht="15.75" hidden="false" customHeight="true" outlineLevel="0" collapsed="false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  <c r="AH525" s="8"/>
      <c r="AI525" s="8"/>
      <c r="AJ525" s="8"/>
      <c r="AK525" s="8"/>
      <c r="AL525" s="8"/>
      <c r="AM525" s="8"/>
      <c r="AN525" s="8"/>
      <c r="AO525" s="8"/>
      <c r="AP525" s="8"/>
      <c r="AQ525" s="8"/>
      <c r="AR525" s="8"/>
      <c r="AS525" s="8"/>
      <c r="AT525" s="8"/>
      <c r="AU525" s="8"/>
      <c r="AV525" s="8"/>
      <c r="AW525" s="8"/>
    </row>
    <row r="526" customFormat="false" ht="15.75" hidden="false" customHeight="true" outlineLevel="0" collapsed="false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  <c r="AH526" s="8"/>
      <c r="AI526" s="8"/>
      <c r="AJ526" s="8"/>
      <c r="AK526" s="8"/>
      <c r="AL526" s="8"/>
      <c r="AM526" s="8"/>
      <c r="AN526" s="8"/>
      <c r="AO526" s="8"/>
      <c r="AP526" s="8"/>
      <c r="AQ526" s="8"/>
      <c r="AR526" s="8"/>
      <c r="AS526" s="8"/>
      <c r="AT526" s="8"/>
      <c r="AU526" s="8"/>
      <c r="AV526" s="8"/>
      <c r="AW526" s="8"/>
    </row>
    <row r="527" customFormat="false" ht="15.75" hidden="false" customHeight="true" outlineLevel="0" collapsed="false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  <c r="AL527" s="8"/>
      <c r="AM527" s="8"/>
      <c r="AN527" s="8"/>
      <c r="AO527" s="8"/>
      <c r="AP527" s="8"/>
      <c r="AQ527" s="8"/>
      <c r="AR527" s="8"/>
      <c r="AS527" s="8"/>
      <c r="AT527" s="8"/>
      <c r="AU527" s="8"/>
      <c r="AV527" s="8"/>
      <c r="AW527" s="8"/>
    </row>
    <row r="528" customFormat="false" ht="15.75" hidden="false" customHeight="true" outlineLevel="0" collapsed="false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  <c r="AL528" s="8"/>
      <c r="AM528" s="8"/>
      <c r="AN528" s="8"/>
      <c r="AO528" s="8"/>
      <c r="AP528" s="8"/>
      <c r="AQ528" s="8"/>
      <c r="AR528" s="8"/>
      <c r="AS528" s="8"/>
      <c r="AT528" s="8"/>
      <c r="AU528" s="8"/>
      <c r="AV528" s="8"/>
      <c r="AW528" s="8"/>
    </row>
    <row r="529" customFormat="false" ht="15.75" hidden="false" customHeight="true" outlineLevel="0" collapsed="false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  <c r="AL529" s="8"/>
      <c r="AM529" s="8"/>
      <c r="AN529" s="8"/>
      <c r="AO529" s="8"/>
      <c r="AP529" s="8"/>
      <c r="AQ529" s="8"/>
      <c r="AR529" s="8"/>
      <c r="AS529" s="8"/>
      <c r="AT529" s="8"/>
      <c r="AU529" s="8"/>
      <c r="AV529" s="8"/>
      <c r="AW529" s="8"/>
    </row>
    <row r="530" customFormat="false" ht="15.75" hidden="false" customHeight="true" outlineLevel="0" collapsed="false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  <c r="AL530" s="8"/>
      <c r="AM530" s="8"/>
      <c r="AN530" s="8"/>
      <c r="AO530" s="8"/>
      <c r="AP530" s="8"/>
      <c r="AQ530" s="8"/>
      <c r="AR530" s="8"/>
      <c r="AS530" s="8"/>
      <c r="AT530" s="8"/>
      <c r="AU530" s="8"/>
      <c r="AV530" s="8"/>
      <c r="AW530" s="8"/>
    </row>
    <row r="531" customFormat="false" ht="15.75" hidden="false" customHeight="true" outlineLevel="0" collapsed="false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  <c r="AH531" s="8"/>
      <c r="AI531" s="8"/>
      <c r="AJ531" s="8"/>
      <c r="AK531" s="8"/>
      <c r="AL531" s="8"/>
      <c r="AM531" s="8"/>
      <c r="AN531" s="8"/>
      <c r="AO531" s="8"/>
      <c r="AP531" s="8"/>
      <c r="AQ531" s="8"/>
      <c r="AR531" s="8"/>
      <c r="AS531" s="8"/>
      <c r="AT531" s="8"/>
      <c r="AU531" s="8"/>
      <c r="AV531" s="8"/>
      <c r="AW531" s="8"/>
    </row>
    <row r="532" customFormat="false" ht="15.75" hidden="false" customHeight="true" outlineLevel="0" collapsed="false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  <c r="AH532" s="8"/>
      <c r="AI532" s="8"/>
      <c r="AJ532" s="8"/>
      <c r="AK532" s="8"/>
      <c r="AL532" s="8"/>
      <c r="AM532" s="8"/>
      <c r="AN532" s="8"/>
      <c r="AO532" s="8"/>
      <c r="AP532" s="8"/>
      <c r="AQ532" s="8"/>
      <c r="AR532" s="8"/>
      <c r="AS532" s="8"/>
      <c r="AT532" s="8"/>
      <c r="AU532" s="8"/>
      <c r="AV532" s="8"/>
      <c r="AW532" s="8"/>
    </row>
    <row r="533" customFormat="false" ht="15.75" hidden="false" customHeight="true" outlineLevel="0" collapsed="false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  <c r="AH533" s="8"/>
      <c r="AI533" s="8"/>
      <c r="AJ533" s="8"/>
      <c r="AK533" s="8"/>
      <c r="AL533" s="8"/>
      <c r="AM533" s="8"/>
      <c r="AN533" s="8"/>
      <c r="AO533" s="8"/>
      <c r="AP533" s="8"/>
      <c r="AQ533" s="8"/>
      <c r="AR533" s="8"/>
      <c r="AS533" s="8"/>
      <c r="AT533" s="8"/>
      <c r="AU533" s="8"/>
      <c r="AV533" s="8"/>
      <c r="AW533" s="8"/>
    </row>
    <row r="534" customFormat="false" ht="15.75" hidden="false" customHeight="true" outlineLevel="0" collapsed="false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  <c r="AH534" s="8"/>
      <c r="AI534" s="8"/>
      <c r="AJ534" s="8"/>
      <c r="AK534" s="8"/>
      <c r="AL534" s="8"/>
      <c r="AM534" s="8"/>
      <c r="AN534" s="8"/>
      <c r="AO534" s="8"/>
      <c r="AP534" s="8"/>
      <c r="AQ534" s="8"/>
      <c r="AR534" s="8"/>
      <c r="AS534" s="8"/>
      <c r="AT534" s="8"/>
      <c r="AU534" s="8"/>
      <c r="AV534" s="8"/>
      <c r="AW534" s="8"/>
    </row>
    <row r="535" customFormat="false" ht="15.75" hidden="false" customHeight="true" outlineLevel="0" collapsed="false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  <c r="AH535" s="8"/>
      <c r="AI535" s="8"/>
      <c r="AJ535" s="8"/>
      <c r="AK535" s="8"/>
      <c r="AL535" s="8"/>
      <c r="AM535" s="8"/>
      <c r="AN535" s="8"/>
      <c r="AO535" s="8"/>
      <c r="AP535" s="8"/>
      <c r="AQ535" s="8"/>
      <c r="AR535" s="8"/>
      <c r="AS535" s="8"/>
      <c r="AT535" s="8"/>
      <c r="AU535" s="8"/>
      <c r="AV535" s="8"/>
      <c r="AW535" s="8"/>
    </row>
    <row r="536" customFormat="false" ht="15.75" hidden="false" customHeight="true" outlineLevel="0" collapsed="false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  <c r="AH536" s="8"/>
      <c r="AI536" s="8"/>
      <c r="AJ536" s="8"/>
      <c r="AK536" s="8"/>
      <c r="AL536" s="8"/>
      <c r="AM536" s="8"/>
      <c r="AN536" s="8"/>
      <c r="AO536" s="8"/>
      <c r="AP536" s="8"/>
      <c r="AQ536" s="8"/>
      <c r="AR536" s="8"/>
      <c r="AS536" s="8"/>
      <c r="AT536" s="8"/>
      <c r="AU536" s="8"/>
      <c r="AV536" s="8"/>
      <c r="AW536" s="8"/>
    </row>
    <row r="537" customFormat="false" ht="15.75" hidden="false" customHeight="true" outlineLevel="0" collapsed="false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  <c r="AH537" s="8"/>
      <c r="AI537" s="8"/>
      <c r="AJ537" s="8"/>
      <c r="AK537" s="8"/>
      <c r="AL537" s="8"/>
      <c r="AM537" s="8"/>
      <c r="AN537" s="8"/>
      <c r="AO537" s="8"/>
      <c r="AP537" s="8"/>
      <c r="AQ537" s="8"/>
      <c r="AR537" s="8"/>
      <c r="AS537" s="8"/>
      <c r="AT537" s="8"/>
      <c r="AU537" s="8"/>
      <c r="AV537" s="8"/>
      <c r="AW537" s="8"/>
    </row>
    <row r="538" customFormat="false" ht="15.75" hidden="false" customHeight="true" outlineLevel="0" collapsed="false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  <c r="AH538" s="8"/>
      <c r="AI538" s="8"/>
      <c r="AJ538" s="8"/>
      <c r="AK538" s="8"/>
      <c r="AL538" s="8"/>
      <c r="AM538" s="8"/>
      <c r="AN538" s="8"/>
      <c r="AO538" s="8"/>
      <c r="AP538" s="8"/>
      <c r="AQ538" s="8"/>
      <c r="AR538" s="8"/>
      <c r="AS538" s="8"/>
      <c r="AT538" s="8"/>
      <c r="AU538" s="8"/>
      <c r="AV538" s="8"/>
      <c r="AW538" s="8"/>
    </row>
    <row r="539" customFormat="false" ht="15.75" hidden="false" customHeight="true" outlineLevel="0" collapsed="false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  <c r="AH539" s="8"/>
      <c r="AI539" s="8"/>
      <c r="AJ539" s="8"/>
      <c r="AK539" s="8"/>
      <c r="AL539" s="8"/>
      <c r="AM539" s="8"/>
      <c r="AN539" s="8"/>
      <c r="AO539" s="8"/>
      <c r="AP539" s="8"/>
      <c r="AQ539" s="8"/>
      <c r="AR539" s="8"/>
      <c r="AS539" s="8"/>
      <c r="AT539" s="8"/>
      <c r="AU539" s="8"/>
      <c r="AV539" s="8"/>
      <c r="AW539" s="8"/>
    </row>
    <row r="540" customFormat="false" ht="15.75" hidden="false" customHeight="true" outlineLevel="0" collapsed="false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  <c r="AH540" s="8"/>
      <c r="AI540" s="8"/>
      <c r="AJ540" s="8"/>
      <c r="AK540" s="8"/>
      <c r="AL540" s="8"/>
      <c r="AM540" s="8"/>
      <c r="AN540" s="8"/>
      <c r="AO540" s="8"/>
      <c r="AP540" s="8"/>
      <c r="AQ540" s="8"/>
      <c r="AR540" s="8"/>
      <c r="AS540" s="8"/>
      <c r="AT540" s="8"/>
      <c r="AU540" s="8"/>
      <c r="AV540" s="8"/>
      <c r="AW540" s="8"/>
    </row>
    <row r="541" customFormat="false" ht="15.75" hidden="false" customHeight="true" outlineLevel="0" collapsed="false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  <c r="AH541" s="8"/>
      <c r="AI541" s="8"/>
      <c r="AJ541" s="8"/>
      <c r="AK541" s="8"/>
      <c r="AL541" s="8"/>
      <c r="AM541" s="8"/>
      <c r="AN541" s="8"/>
      <c r="AO541" s="8"/>
      <c r="AP541" s="8"/>
      <c r="AQ541" s="8"/>
      <c r="AR541" s="8"/>
      <c r="AS541" s="8"/>
      <c r="AT541" s="8"/>
      <c r="AU541" s="8"/>
      <c r="AV541" s="8"/>
      <c r="AW541" s="8"/>
    </row>
    <row r="542" customFormat="false" ht="15.75" hidden="false" customHeight="true" outlineLevel="0" collapsed="false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  <c r="AH542" s="8"/>
      <c r="AI542" s="8"/>
      <c r="AJ542" s="8"/>
      <c r="AK542" s="8"/>
      <c r="AL542" s="8"/>
      <c r="AM542" s="8"/>
      <c r="AN542" s="8"/>
      <c r="AO542" s="8"/>
      <c r="AP542" s="8"/>
      <c r="AQ542" s="8"/>
      <c r="AR542" s="8"/>
      <c r="AS542" s="8"/>
      <c r="AT542" s="8"/>
      <c r="AU542" s="8"/>
      <c r="AV542" s="8"/>
      <c r="AW542" s="8"/>
    </row>
    <row r="543" customFormat="false" ht="15.75" hidden="false" customHeight="true" outlineLevel="0" collapsed="false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  <c r="AH543" s="8"/>
      <c r="AI543" s="8"/>
      <c r="AJ543" s="8"/>
      <c r="AK543" s="8"/>
      <c r="AL543" s="8"/>
      <c r="AM543" s="8"/>
      <c r="AN543" s="8"/>
      <c r="AO543" s="8"/>
      <c r="AP543" s="8"/>
      <c r="AQ543" s="8"/>
      <c r="AR543" s="8"/>
      <c r="AS543" s="8"/>
      <c r="AT543" s="8"/>
      <c r="AU543" s="8"/>
      <c r="AV543" s="8"/>
      <c r="AW543" s="8"/>
    </row>
    <row r="544" customFormat="false" ht="15.75" hidden="false" customHeight="true" outlineLevel="0" collapsed="false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  <c r="AH544" s="8"/>
      <c r="AI544" s="8"/>
      <c r="AJ544" s="8"/>
      <c r="AK544" s="8"/>
      <c r="AL544" s="8"/>
      <c r="AM544" s="8"/>
      <c r="AN544" s="8"/>
      <c r="AO544" s="8"/>
      <c r="AP544" s="8"/>
      <c r="AQ544" s="8"/>
      <c r="AR544" s="8"/>
      <c r="AS544" s="8"/>
      <c r="AT544" s="8"/>
      <c r="AU544" s="8"/>
      <c r="AV544" s="8"/>
      <c r="AW544" s="8"/>
    </row>
    <row r="545" customFormat="false" ht="15.75" hidden="false" customHeight="true" outlineLevel="0" collapsed="false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  <c r="AH545" s="8"/>
      <c r="AI545" s="8"/>
      <c r="AJ545" s="8"/>
      <c r="AK545" s="8"/>
      <c r="AL545" s="8"/>
      <c r="AM545" s="8"/>
      <c r="AN545" s="8"/>
      <c r="AO545" s="8"/>
      <c r="AP545" s="8"/>
      <c r="AQ545" s="8"/>
      <c r="AR545" s="8"/>
      <c r="AS545" s="8"/>
      <c r="AT545" s="8"/>
      <c r="AU545" s="8"/>
      <c r="AV545" s="8"/>
      <c r="AW545" s="8"/>
    </row>
    <row r="546" customFormat="false" ht="15.75" hidden="false" customHeight="true" outlineLevel="0" collapsed="false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  <c r="AH546" s="8"/>
      <c r="AI546" s="8"/>
      <c r="AJ546" s="8"/>
      <c r="AK546" s="8"/>
      <c r="AL546" s="8"/>
      <c r="AM546" s="8"/>
      <c r="AN546" s="8"/>
      <c r="AO546" s="8"/>
      <c r="AP546" s="8"/>
      <c r="AQ546" s="8"/>
      <c r="AR546" s="8"/>
      <c r="AS546" s="8"/>
      <c r="AT546" s="8"/>
      <c r="AU546" s="8"/>
      <c r="AV546" s="8"/>
      <c r="AW546" s="8"/>
    </row>
    <row r="547" customFormat="false" ht="15.75" hidden="false" customHeight="true" outlineLevel="0" collapsed="false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  <c r="AH547" s="8"/>
      <c r="AI547" s="8"/>
      <c r="AJ547" s="8"/>
      <c r="AK547" s="8"/>
      <c r="AL547" s="8"/>
      <c r="AM547" s="8"/>
      <c r="AN547" s="8"/>
      <c r="AO547" s="8"/>
      <c r="AP547" s="8"/>
      <c r="AQ547" s="8"/>
      <c r="AR547" s="8"/>
      <c r="AS547" s="8"/>
      <c r="AT547" s="8"/>
      <c r="AU547" s="8"/>
      <c r="AV547" s="8"/>
      <c r="AW547" s="8"/>
    </row>
    <row r="548" customFormat="false" ht="15.75" hidden="false" customHeight="true" outlineLevel="0" collapsed="false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  <c r="AH548" s="8"/>
      <c r="AI548" s="8"/>
      <c r="AJ548" s="8"/>
      <c r="AK548" s="8"/>
      <c r="AL548" s="8"/>
      <c r="AM548" s="8"/>
      <c r="AN548" s="8"/>
      <c r="AO548" s="8"/>
      <c r="AP548" s="8"/>
      <c r="AQ548" s="8"/>
      <c r="AR548" s="8"/>
      <c r="AS548" s="8"/>
      <c r="AT548" s="8"/>
      <c r="AU548" s="8"/>
      <c r="AV548" s="8"/>
      <c r="AW548" s="8"/>
    </row>
    <row r="549" customFormat="false" ht="15.75" hidden="false" customHeight="true" outlineLevel="0" collapsed="false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  <c r="AH549" s="8"/>
      <c r="AI549" s="8"/>
      <c r="AJ549" s="8"/>
      <c r="AK549" s="8"/>
      <c r="AL549" s="8"/>
      <c r="AM549" s="8"/>
      <c r="AN549" s="8"/>
      <c r="AO549" s="8"/>
      <c r="AP549" s="8"/>
      <c r="AQ549" s="8"/>
      <c r="AR549" s="8"/>
      <c r="AS549" s="8"/>
      <c r="AT549" s="8"/>
      <c r="AU549" s="8"/>
      <c r="AV549" s="8"/>
      <c r="AW549" s="8"/>
    </row>
    <row r="550" customFormat="false" ht="15.75" hidden="false" customHeight="true" outlineLevel="0" collapsed="false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  <c r="AH550" s="8"/>
      <c r="AI550" s="8"/>
      <c r="AJ550" s="8"/>
      <c r="AK550" s="8"/>
      <c r="AL550" s="8"/>
      <c r="AM550" s="8"/>
      <c r="AN550" s="8"/>
      <c r="AO550" s="8"/>
      <c r="AP550" s="8"/>
      <c r="AQ550" s="8"/>
      <c r="AR550" s="8"/>
      <c r="AS550" s="8"/>
      <c r="AT550" s="8"/>
      <c r="AU550" s="8"/>
      <c r="AV550" s="8"/>
      <c r="AW550" s="8"/>
    </row>
    <row r="551" customFormat="false" ht="15.75" hidden="false" customHeight="true" outlineLevel="0" collapsed="false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  <c r="AH551" s="8"/>
      <c r="AI551" s="8"/>
      <c r="AJ551" s="8"/>
      <c r="AK551" s="8"/>
      <c r="AL551" s="8"/>
      <c r="AM551" s="8"/>
      <c r="AN551" s="8"/>
      <c r="AO551" s="8"/>
      <c r="AP551" s="8"/>
      <c r="AQ551" s="8"/>
      <c r="AR551" s="8"/>
      <c r="AS551" s="8"/>
      <c r="AT551" s="8"/>
      <c r="AU551" s="8"/>
      <c r="AV551" s="8"/>
      <c r="AW551" s="8"/>
    </row>
    <row r="552" customFormat="false" ht="15.75" hidden="false" customHeight="true" outlineLevel="0" collapsed="false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  <c r="AH552" s="8"/>
      <c r="AI552" s="8"/>
      <c r="AJ552" s="8"/>
      <c r="AK552" s="8"/>
      <c r="AL552" s="8"/>
      <c r="AM552" s="8"/>
      <c r="AN552" s="8"/>
      <c r="AO552" s="8"/>
      <c r="AP552" s="8"/>
      <c r="AQ552" s="8"/>
      <c r="AR552" s="8"/>
      <c r="AS552" s="8"/>
      <c r="AT552" s="8"/>
      <c r="AU552" s="8"/>
      <c r="AV552" s="8"/>
      <c r="AW552" s="8"/>
    </row>
    <row r="553" customFormat="false" ht="15.75" hidden="false" customHeight="true" outlineLevel="0" collapsed="false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  <c r="AH553" s="8"/>
      <c r="AI553" s="8"/>
      <c r="AJ553" s="8"/>
      <c r="AK553" s="8"/>
      <c r="AL553" s="8"/>
      <c r="AM553" s="8"/>
      <c r="AN553" s="8"/>
      <c r="AO553" s="8"/>
      <c r="AP553" s="8"/>
      <c r="AQ553" s="8"/>
      <c r="AR553" s="8"/>
      <c r="AS553" s="8"/>
      <c r="AT553" s="8"/>
      <c r="AU553" s="8"/>
      <c r="AV553" s="8"/>
      <c r="AW553" s="8"/>
    </row>
    <row r="554" customFormat="false" ht="15.75" hidden="false" customHeight="true" outlineLevel="0" collapsed="false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  <c r="AH554" s="8"/>
      <c r="AI554" s="8"/>
      <c r="AJ554" s="8"/>
      <c r="AK554" s="8"/>
      <c r="AL554" s="8"/>
      <c r="AM554" s="8"/>
      <c r="AN554" s="8"/>
      <c r="AO554" s="8"/>
      <c r="AP554" s="8"/>
      <c r="AQ554" s="8"/>
      <c r="AR554" s="8"/>
      <c r="AS554" s="8"/>
      <c r="AT554" s="8"/>
      <c r="AU554" s="8"/>
      <c r="AV554" s="8"/>
      <c r="AW554" s="8"/>
    </row>
    <row r="555" customFormat="false" ht="15.75" hidden="false" customHeight="true" outlineLevel="0" collapsed="false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  <c r="AH555" s="8"/>
      <c r="AI555" s="8"/>
      <c r="AJ555" s="8"/>
      <c r="AK555" s="8"/>
      <c r="AL555" s="8"/>
      <c r="AM555" s="8"/>
      <c r="AN555" s="8"/>
      <c r="AO555" s="8"/>
      <c r="AP555" s="8"/>
      <c r="AQ555" s="8"/>
      <c r="AR555" s="8"/>
      <c r="AS555" s="8"/>
      <c r="AT555" s="8"/>
      <c r="AU555" s="8"/>
      <c r="AV555" s="8"/>
      <c r="AW555" s="8"/>
    </row>
    <row r="556" customFormat="false" ht="15.75" hidden="false" customHeight="true" outlineLevel="0" collapsed="false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  <c r="AH556" s="8"/>
      <c r="AI556" s="8"/>
      <c r="AJ556" s="8"/>
      <c r="AK556" s="8"/>
      <c r="AL556" s="8"/>
      <c r="AM556" s="8"/>
      <c r="AN556" s="8"/>
      <c r="AO556" s="8"/>
      <c r="AP556" s="8"/>
      <c r="AQ556" s="8"/>
      <c r="AR556" s="8"/>
      <c r="AS556" s="8"/>
      <c r="AT556" s="8"/>
      <c r="AU556" s="8"/>
      <c r="AV556" s="8"/>
      <c r="AW556" s="8"/>
    </row>
    <row r="557" customFormat="false" ht="15.75" hidden="false" customHeight="true" outlineLevel="0" collapsed="false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  <c r="AH557" s="8"/>
      <c r="AI557" s="8"/>
      <c r="AJ557" s="8"/>
      <c r="AK557" s="8"/>
      <c r="AL557" s="8"/>
      <c r="AM557" s="8"/>
      <c r="AN557" s="8"/>
      <c r="AO557" s="8"/>
      <c r="AP557" s="8"/>
      <c r="AQ557" s="8"/>
      <c r="AR557" s="8"/>
      <c r="AS557" s="8"/>
      <c r="AT557" s="8"/>
      <c r="AU557" s="8"/>
      <c r="AV557" s="8"/>
      <c r="AW557" s="8"/>
    </row>
    <row r="558" customFormat="false" ht="15.75" hidden="false" customHeight="true" outlineLevel="0" collapsed="false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  <c r="AH558" s="8"/>
      <c r="AI558" s="8"/>
      <c r="AJ558" s="8"/>
      <c r="AK558" s="8"/>
      <c r="AL558" s="8"/>
      <c r="AM558" s="8"/>
      <c r="AN558" s="8"/>
      <c r="AO558" s="8"/>
      <c r="AP558" s="8"/>
      <c r="AQ558" s="8"/>
      <c r="AR558" s="8"/>
      <c r="AS558" s="8"/>
      <c r="AT558" s="8"/>
      <c r="AU558" s="8"/>
      <c r="AV558" s="8"/>
      <c r="AW558" s="8"/>
    </row>
    <row r="559" customFormat="false" ht="15.75" hidden="false" customHeight="true" outlineLevel="0" collapsed="false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  <c r="AH559" s="8"/>
      <c r="AI559" s="8"/>
      <c r="AJ559" s="8"/>
      <c r="AK559" s="8"/>
      <c r="AL559" s="8"/>
      <c r="AM559" s="8"/>
      <c r="AN559" s="8"/>
      <c r="AO559" s="8"/>
      <c r="AP559" s="8"/>
      <c r="AQ559" s="8"/>
      <c r="AR559" s="8"/>
      <c r="AS559" s="8"/>
      <c r="AT559" s="8"/>
      <c r="AU559" s="8"/>
      <c r="AV559" s="8"/>
      <c r="AW559" s="8"/>
    </row>
    <row r="560" customFormat="false" ht="15.75" hidden="false" customHeight="true" outlineLevel="0" collapsed="false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  <c r="AH560" s="8"/>
      <c r="AI560" s="8"/>
      <c r="AJ560" s="8"/>
      <c r="AK560" s="8"/>
      <c r="AL560" s="8"/>
      <c r="AM560" s="8"/>
      <c r="AN560" s="8"/>
      <c r="AO560" s="8"/>
      <c r="AP560" s="8"/>
      <c r="AQ560" s="8"/>
      <c r="AR560" s="8"/>
      <c r="AS560" s="8"/>
      <c r="AT560" s="8"/>
      <c r="AU560" s="8"/>
      <c r="AV560" s="8"/>
      <c r="AW560" s="8"/>
    </row>
    <row r="561" customFormat="false" ht="15.75" hidden="false" customHeight="true" outlineLevel="0" collapsed="false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  <c r="AH561" s="8"/>
      <c r="AI561" s="8"/>
      <c r="AJ561" s="8"/>
      <c r="AK561" s="8"/>
      <c r="AL561" s="8"/>
      <c r="AM561" s="8"/>
      <c r="AN561" s="8"/>
      <c r="AO561" s="8"/>
      <c r="AP561" s="8"/>
      <c r="AQ561" s="8"/>
      <c r="AR561" s="8"/>
      <c r="AS561" s="8"/>
      <c r="AT561" s="8"/>
      <c r="AU561" s="8"/>
      <c r="AV561" s="8"/>
      <c r="AW561" s="8"/>
    </row>
    <row r="562" customFormat="false" ht="15.75" hidden="false" customHeight="true" outlineLevel="0" collapsed="false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  <c r="AH562" s="8"/>
      <c r="AI562" s="8"/>
      <c r="AJ562" s="8"/>
      <c r="AK562" s="8"/>
      <c r="AL562" s="8"/>
      <c r="AM562" s="8"/>
      <c r="AN562" s="8"/>
      <c r="AO562" s="8"/>
      <c r="AP562" s="8"/>
      <c r="AQ562" s="8"/>
      <c r="AR562" s="8"/>
      <c r="AS562" s="8"/>
      <c r="AT562" s="8"/>
      <c r="AU562" s="8"/>
      <c r="AV562" s="8"/>
      <c r="AW562" s="8"/>
    </row>
    <row r="563" customFormat="false" ht="15.75" hidden="false" customHeight="true" outlineLevel="0" collapsed="false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  <c r="AH563" s="8"/>
      <c r="AI563" s="8"/>
      <c r="AJ563" s="8"/>
      <c r="AK563" s="8"/>
      <c r="AL563" s="8"/>
      <c r="AM563" s="8"/>
      <c r="AN563" s="8"/>
      <c r="AO563" s="8"/>
      <c r="AP563" s="8"/>
      <c r="AQ563" s="8"/>
      <c r="AR563" s="8"/>
      <c r="AS563" s="8"/>
      <c r="AT563" s="8"/>
      <c r="AU563" s="8"/>
      <c r="AV563" s="8"/>
      <c r="AW563" s="8"/>
    </row>
    <row r="564" customFormat="false" ht="15.75" hidden="false" customHeight="true" outlineLevel="0" collapsed="false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  <c r="AH564" s="8"/>
      <c r="AI564" s="8"/>
      <c r="AJ564" s="8"/>
      <c r="AK564" s="8"/>
      <c r="AL564" s="8"/>
      <c r="AM564" s="8"/>
      <c r="AN564" s="8"/>
      <c r="AO564" s="8"/>
      <c r="AP564" s="8"/>
      <c r="AQ564" s="8"/>
      <c r="AR564" s="8"/>
      <c r="AS564" s="8"/>
      <c r="AT564" s="8"/>
      <c r="AU564" s="8"/>
      <c r="AV564" s="8"/>
      <c r="AW564" s="8"/>
    </row>
    <row r="565" customFormat="false" ht="15.75" hidden="false" customHeight="true" outlineLevel="0" collapsed="false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  <c r="AH565" s="8"/>
      <c r="AI565" s="8"/>
      <c r="AJ565" s="8"/>
      <c r="AK565" s="8"/>
      <c r="AL565" s="8"/>
      <c r="AM565" s="8"/>
      <c r="AN565" s="8"/>
      <c r="AO565" s="8"/>
      <c r="AP565" s="8"/>
      <c r="AQ565" s="8"/>
      <c r="AR565" s="8"/>
      <c r="AS565" s="8"/>
      <c r="AT565" s="8"/>
      <c r="AU565" s="8"/>
      <c r="AV565" s="8"/>
      <c r="AW565" s="8"/>
    </row>
    <row r="566" customFormat="false" ht="15.75" hidden="false" customHeight="true" outlineLevel="0" collapsed="false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  <c r="AH566" s="8"/>
      <c r="AI566" s="8"/>
      <c r="AJ566" s="8"/>
      <c r="AK566" s="8"/>
      <c r="AL566" s="8"/>
      <c r="AM566" s="8"/>
      <c r="AN566" s="8"/>
      <c r="AO566" s="8"/>
      <c r="AP566" s="8"/>
      <c r="AQ566" s="8"/>
      <c r="AR566" s="8"/>
      <c r="AS566" s="8"/>
      <c r="AT566" s="8"/>
      <c r="AU566" s="8"/>
      <c r="AV566" s="8"/>
      <c r="AW566" s="8"/>
    </row>
    <row r="567" customFormat="false" ht="15.75" hidden="false" customHeight="true" outlineLevel="0" collapsed="false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  <c r="AH567" s="8"/>
      <c r="AI567" s="8"/>
      <c r="AJ567" s="8"/>
      <c r="AK567" s="8"/>
      <c r="AL567" s="8"/>
      <c r="AM567" s="8"/>
      <c r="AN567" s="8"/>
      <c r="AO567" s="8"/>
      <c r="AP567" s="8"/>
      <c r="AQ567" s="8"/>
      <c r="AR567" s="8"/>
      <c r="AS567" s="8"/>
      <c r="AT567" s="8"/>
      <c r="AU567" s="8"/>
      <c r="AV567" s="8"/>
      <c r="AW567" s="8"/>
    </row>
    <row r="568" customFormat="false" ht="15.75" hidden="false" customHeight="true" outlineLevel="0" collapsed="false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  <c r="AH568" s="8"/>
      <c r="AI568" s="8"/>
      <c r="AJ568" s="8"/>
      <c r="AK568" s="8"/>
      <c r="AL568" s="8"/>
      <c r="AM568" s="8"/>
      <c r="AN568" s="8"/>
      <c r="AO568" s="8"/>
      <c r="AP568" s="8"/>
      <c r="AQ568" s="8"/>
      <c r="AR568" s="8"/>
      <c r="AS568" s="8"/>
      <c r="AT568" s="8"/>
      <c r="AU568" s="8"/>
      <c r="AV568" s="8"/>
      <c r="AW568" s="8"/>
    </row>
    <row r="569" customFormat="false" ht="15.75" hidden="false" customHeight="true" outlineLevel="0" collapsed="false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  <c r="AH569" s="8"/>
      <c r="AI569" s="8"/>
      <c r="AJ569" s="8"/>
      <c r="AK569" s="8"/>
      <c r="AL569" s="8"/>
      <c r="AM569" s="8"/>
      <c r="AN569" s="8"/>
      <c r="AO569" s="8"/>
      <c r="AP569" s="8"/>
      <c r="AQ569" s="8"/>
      <c r="AR569" s="8"/>
      <c r="AS569" s="8"/>
      <c r="AT569" s="8"/>
      <c r="AU569" s="8"/>
      <c r="AV569" s="8"/>
      <c r="AW569" s="8"/>
    </row>
    <row r="570" customFormat="false" ht="15.75" hidden="false" customHeight="true" outlineLevel="0" collapsed="false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  <c r="AH570" s="8"/>
      <c r="AI570" s="8"/>
      <c r="AJ570" s="8"/>
      <c r="AK570" s="8"/>
      <c r="AL570" s="8"/>
      <c r="AM570" s="8"/>
      <c r="AN570" s="8"/>
      <c r="AO570" s="8"/>
      <c r="AP570" s="8"/>
      <c r="AQ570" s="8"/>
      <c r="AR570" s="8"/>
      <c r="AS570" s="8"/>
      <c r="AT570" s="8"/>
      <c r="AU570" s="8"/>
      <c r="AV570" s="8"/>
      <c r="AW570" s="8"/>
    </row>
    <row r="571" customFormat="false" ht="15.75" hidden="false" customHeight="true" outlineLevel="0" collapsed="false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  <c r="AG571" s="8"/>
      <c r="AH571" s="8"/>
      <c r="AI571" s="8"/>
      <c r="AJ571" s="8"/>
      <c r="AK571" s="8"/>
      <c r="AL571" s="8"/>
      <c r="AM571" s="8"/>
      <c r="AN571" s="8"/>
      <c r="AO571" s="8"/>
      <c r="AP571" s="8"/>
      <c r="AQ571" s="8"/>
      <c r="AR571" s="8"/>
      <c r="AS571" s="8"/>
      <c r="AT571" s="8"/>
      <c r="AU571" s="8"/>
      <c r="AV571" s="8"/>
      <c r="AW571" s="8"/>
    </row>
    <row r="572" customFormat="false" ht="15.75" hidden="false" customHeight="true" outlineLevel="0" collapsed="false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  <c r="AH572" s="8"/>
      <c r="AI572" s="8"/>
      <c r="AJ572" s="8"/>
      <c r="AK572" s="8"/>
      <c r="AL572" s="8"/>
      <c r="AM572" s="8"/>
      <c r="AN572" s="8"/>
      <c r="AO572" s="8"/>
      <c r="AP572" s="8"/>
      <c r="AQ572" s="8"/>
      <c r="AR572" s="8"/>
      <c r="AS572" s="8"/>
      <c r="AT572" s="8"/>
      <c r="AU572" s="8"/>
      <c r="AV572" s="8"/>
      <c r="AW572" s="8"/>
    </row>
    <row r="573" customFormat="false" ht="15.75" hidden="false" customHeight="true" outlineLevel="0" collapsed="false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  <c r="AH573" s="8"/>
      <c r="AI573" s="8"/>
      <c r="AJ573" s="8"/>
      <c r="AK573" s="8"/>
      <c r="AL573" s="8"/>
      <c r="AM573" s="8"/>
      <c r="AN573" s="8"/>
      <c r="AO573" s="8"/>
      <c r="AP573" s="8"/>
      <c r="AQ573" s="8"/>
      <c r="AR573" s="8"/>
      <c r="AS573" s="8"/>
      <c r="AT573" s="8"/>
      <c r="AU573" s="8"/>
      <c r="AV573" s="8"/>
      <c r="AW573" s="8"/>
    </row>
    <row r="574" customFormat="false" ht="15.75" hidden="false" customHeight="true" outlineLevel="0" collapsed="false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  <c r="AH574" s="8"/>
      <c r="AI574" s="8"/>
      <c r="AJ574" s="8"/>
      <c r="AK574" s="8"/>
      <c r="AL574" s="8"/>
      <c r="AM574" s="8"/>
      <c r="AN574" s="8"/>
      <c r="AO574" s="8"/>
      <c r="AP574" s="8"/>
      <c r="AQ574" s="8"/>
      <c r="AR574" s="8"/>
      <c r="AS574" s="8"/>
      <c r="AT574" s="8"/>
      <c r="AU574" s="8"/>
      <c r="AV574" s="8"/>
      <c r="AW574" s="8"/>
    </row>
    <row r="575" customFormat="false" ht="15.75" hidden="false" customHeight="true" outlineLevel="0" collapsed="false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  <c r="AH575" s="8"/>
      <c r="AI575" s="8"/>
      <c r="AJ575" s="8"/>
      <c r="AK575" s="8"/>
      <c r="AL575" s="8"/>
      <c r="AM575" s="8"/>
      <c r="AN575" s="8"/>
      <c r="AO575" s="8"/>
      <c r="AP575" s="8"/>
      <c r="AQ575" s="8"/>
      <c r="AR575" s="8"/>
      <c r="AS575" s="8"/>
      <c r="AT575" s="8"/>
      <c r="AU575" s="8"/>
      <c r="AV575" s="8"/>
      <c r="AW575" s="8"/>
    </row>
    <row r="576" customFormat="false" ht="15.75" hidden="false" customHeight="true" outlineLevel="0" collapsed="false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  <c r="AH576" s="8"/>
      <c r="AI576" s="8"/>
      <c r="AJ576" s="8"/>
      <c r="AK576" s="8"/>
      <c r="AL576" s="8"/>
      <c r="AM576" s="8"/>
      <c r="AN576" s="8"/>
      <c r="AO576" s="8"/>
      <c r="AP576" s="8"/>
      <c r="AQ576" s="8"/>
      <c r="AR576" s="8"/>
      <c r="AS576" s="8"/>
      <c r="AT576" s="8"/>
      <c r="AU576" s="8"/>
      <c r="AV576" s="8"/>
      <c r="AW576" s="8"/>
    </row>
    <row r="577" customFormat="false" ht="15.75" hidden="false" customHeight="true" outlineLevel="0" collapsed="false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  <c r="AH577" s="8"/>
      <c r="AI577" s="8"/>
      <c r="AJ577" s="8"/>
      <c r="AK577" s="8"/>
      <c r="AL577" s="8"/>
      <c r="AM577" s="8"/>
      <c r="AN577" s="8"/>
      <c r="AO577" s="8"/>
      <c r="AP577" s="8"/>
      <c r="AQ577" s="8"/>
      <c r="AR577" s="8"/>
      <c r="AS577" s="8"/>
      <c r="AT577" s="8"/>
      <c r="AU577" s="8"/>
      <c r="AV577" s="8"/>
      <c r="AW577" s="8"/>
    </row>
    <row r="578" customFormat="false" ht="15.75" hidden="false" customHeight="true" outlineLevel="0" collapsed="false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  <c r="AH578" s="8"/>
      <c r="AI578" s="8"/>
      <c r="AJ578" s="8"/>
      <c r="AK578" s="8"/>
      <c r="AL578" s="8"/>
      <c r="AM578" s="8"/>
      <c r="AN578" s="8"/>
      <c r="AO578" s="8"/>
      <c r="AP578" s="8"/>
      <c r="AQ578" s="8"/>
      <c r="AR578" s="8"/>
      <c r="AS578" s="8"/>
      <c r="AT578" s="8"/>
      <c r="AU578" s="8"/>
      <c r="AV578" s="8"/>
      <c r="AW578" s="8"/>
    </row>
    <row r="579" customFormat="false" ht="15.75" hidden="false" customHeight="true" outlineLevel="0" collapsed="false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  <c r="AH579" s="8"/>
      <c r="AI579" s="8"/>
      <c r="AJ579" s="8"/>
      <c r="AK579" s="8"/>
      <c r="AL579" s="8"/>
      <c r="AM579" s="8"/>
      <c r="AN579" s="8"/>
      <c r="AO579" s="8"/>
      <c r="AP579" s="8"/>
      <c r="AQ579" s="8"/>
      <c r="AR579" s="8"/>
      <c r="AS579" s="8"/>
      <c r="AT579" s="8"/>
      <c r="AU579" s="8"/>
      <c r="AV579" s="8"/>
      <c r="AW579" s="8"/>
    </row>
    <row r="580" customFormat="false" ht="15.75" hidden="false" customHeight="true" outlineLevel="0" collapsed="false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  <c r="AH580" s="8"/>
      <c r="AI580" s="8"/>
      <c r="AJ580" s="8"/>
      <c r="AK580" s="8"/>
      <c r="AL580" s="8"/>
      <c r="AM580" s="8"/>
      <c r="AN580" s="8"/>
      <c r="AO580" s="8"/>
      <c r="AP580" s="8"/>
      <c r="AQ580" s="8"/>
      <c r="AR580" s="8"/>
      <c r="AS580" s="8"/>
      <c r="AT580" s="8"/>
      <c r="AU580" s="8"/>
      <c r="AV580" s="8"/>
      <c r="AW580" s="8"/>
    </row>
    <row r="581" customFormat="false" ht="15.75" hidden="false" customHeight="true" outlineLevel="0" collapsed="false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  <c r="AH581" s="8"/>
      <c r="AI581" s="8"/>
      <c r="AJ581" s="8"/>
      <c r="AK581" s="8"/>
      <c r="AL581" s="8"/>
      <c r="AM581" s="8"/>
      <c r="AN581" s="8"/>
      <c r="AO581" s="8"/>
      <c r="AP581" s="8"/>
      <c r="AQ581" s="8"/>
      <c r="AR581" s="8"/>
      <c r="AS581" s="8"/>
      <c r="AT581" s="8"/>
      <c r="AU581" s="8"/>
      <c r="AV581" s="8"/>
      <c r="AW581" s="8"/>
    </row>
    <row r="582" customFormat="false" ht="15.75" hidden="false" customHeight="true" outlineLevel="0" collapsed="false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  <c r="AH582" s="8"/>
      <c r="AI582" s="8"/>
      <c r="AJ582" s="8"/>
      <c r="AK582" s="8"/>
      <c r="AL582" s="8"/>
      <c r="AM582" s="8"/>
      <c r="AN582" s="8"/>
      <c r="AO582" s="8"/>
      <c r="AP582" s="8"/>
      <c r="AQ582" s="8"/>
      <c r="AR582" s="8"/>
      <c r="AS582" s="8"/>
      <c r="AT582" s="8"/>
      <c r="AU582" s="8"/>
      <c r="AV582" s="8"/>
      <c r="AW582" s="8"/>
    </row>
    <row r="583" customFormat="false" ht="15.75" hidden="false" customHeight="true" outlineLevel="0" collapsed="false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  <c r="AH583" s="8"/>
      <c r="AI583" s="8"/>
      <c r="AJ583" s="8"/>
      <c r="AK583" s="8"/>
      <c r="AL583" s="8"/>
      <c r="AM583" s="8"/>
      <c r="AN583" s="8"/>
      <c r="AO583" s="8"/>
      <c r="AP583" s="8"/>
      <c r="AQ583" s="8"/>
      <c r="AR583" s="8"/>
      <c r="AS583" s="8"/>
      <c r="AT583" s="8"/>
      <c r="AU583" s="8"/>
      <c r="AV583" s="8"/>
      <c r="AW583" s="8"/>
    </row>
    <row r="584" customFormat="false" ht="15.75" hidden="false" customHeight="true" outlineLevel="0" collapsed="false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  <c r="AH584" s="8"/>
      <c r="AI584" s="8"/>
      <c r="AJ584" s="8"/>
      <c r="AK584" s="8"/>
      <c r="AL584" s="8"/>
      <c r="AM584" s="8"/>
      <c r="AN584" s="8"/>
      <c r="AO584" s="8"/>
      <c r="AP584" s="8"/>
      <c r="AQ584" s="8"/>
      <c r="AR584" s="8"/>
      <c r="AS584" s="8"/>
      <c r="AT584" s="8"/>
      <c r="AU584" s="8"/>
      <c r="AV584" s="8"/>
      <c r="AW584" s="8"/>
    </row>
    <row r="585" customFormat="false" ht="15.75" hidden="false" customHeight="true" outlineLevel="0" collapsed="false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  <c r="AH585" s="8"/>
      <c r="AI585" s="8"/>
      <c r="AJ585" s="8"/>
      <c r="AK585" s="8"/>
      <c r="AL585" s="8"/>
      <c r="AM585" s="8"/>
      <c r="AN585" s="8"/>
      <c r="AO585" s="8"/>
      <c r="AP585" s="8"/>
      <c r="AQ585" s="8"/>
      <c r="AR585" s="8"/>
      <c r="AS585" s="8"/>
      <c r="AT585" s="8"/>
      <c r="AU585" s="8"/>
      <c r="AV585" s="8"/>
      <c r="AW585" s="8"/>
    </row>
    <row r="586" customFormat="false" ht="15.75" hidden="false" customHeight="true" outlineLevel="0" collapsed="false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  <c r="AH586" s="8"/>
      <c r="AI586" s="8"/>
      <c r="AJ586" s="8"/>
      <c r="AK586" s="8"/>
      <c r="AL586" s="8"/>
      <c r="AM586" s="8"/>
      <c r="AN586" s="8"/>
      <c r="AO586" s="8"/>
      <c r="AP586" s="8"/>
      <c r="AQ586" s="8"/>
      <c r="AR586" s="8"/>
      <c r="AS586" s="8"/>
      <c r="AT586" s="8"/>
      <c r="AU586" s="8"/>
      <c r="AV586" s="8"/>
      <c r="AW586" s="8"/>
    </row>
    <row r="587" customFormat="false" ht="15.75" hidden="false" customHeight="true" outlineLevel="0" collapsed="false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  <c r="AH587" s="8"/>
      <c r="AI587" s="8"/>
      <c r="AJ587" s="8"/>
      <c r="AK587" s="8"/>
      <c r="AL587" s="8"/>
      <c r="AM587" s="8"/>
      <c r="AN587" s="8"/>
      <c r="AO587" s="8"/>
      <c r="AP587" s="8"/>
      <c r="AQ587" s="8"/>
      <c r="AR587" s="8"/>
      <c r="AS587" s="8"/>
      <c r="AT587" s="8"/>
      <c r="AU587" s="8"/>
      <c r="AV587" s="8"/>
      <c r="AW587" s="8"/>
    </row>
    <row r="588" customFormat="false" ht="15.75" hidden="false" customHeight="true" outlineLevel="0" collapsed="false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  <c r="AH588" s="8"/>
      <c r="AI588" s="8"/>
      <c r="AJ588" s="8"/>
      <c r="AK588" s="8"/>
      <c r="AL588" s="8"/>
      <c r="AM588" s="8"/>
      <c r="AN588" s="8"/>
      <c r="AO588" s="8"/>
      <c r="AP588" s="8"/>
      <c r="AQ588" s="8"/>
      <c r="AR588" s="8"/>
      <c r="AS588" s="8"/>
      <c r="AT588" s="8"/>
      <c r="AU588" s="8"/>
      <c r="AV588" s="8"/>
      <c r="AW588" s="8"/>
    </row>
    <row r="589" customFormat="false" ht="15.75" hidden="false" customHeight="true" outlineLevel="0" collapsed="false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  <c r="AH589" s="8"/>
      <c r="AI589" s="8"/>
      <c r="AJ589" s="8"/>
      <c r="AK589" s="8"/>
      <c r="AL589" s="8"/>
      <c r="AM589" s="8"/>
      <c r="AN589" s="8"/>
      <c r="AO589" s="8"/>
      <c r="AP589" s="8"/>
      <c r="AQ589" s="8"/>
      <c r="AR589" s="8"/>
      <c r="AS589" s="8"/>
      <c r="AT589" s="8"/>
      <c r="AU589" s="8"/>
      <c r="AV589" s="8"/>
      <c r="AW589" s="8"/>
    </row>
    <row r="590" customFormat="false" ht="15.75" hidden="false" customHeight="true" outlineLevel="0" collapsed="false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  <c r="AH590" s="8"/>
      <c r="AI590" s="8"/>
      <c r="AJ590" s="8"/>
      <c r="AK590" s="8"/>
      <c r="AL590" s="8"/>
      <c r="AM590" s="8"/>
      <c r="AN590" s="8"/>
      <c r="AO590" s="8"/>
      <c r="AP590" s="8"/>
      <c r="AQ590" s="8"/>
      <c r="AR590" s="8"/>
      <c r="AS590" s="8"/>
      <c r="AT590" s="8"/>
      <c r="AU590" s="8"/>
      <c r="AV590" s="8"/>
      <c r="AW590" s="8"/>
    </row>
    <row r="591" customFormat="false" ht="15.75" hidden="false" customHeight="true" outlineLevel="0" collapsed="false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  <c r="AH591" s="8"/>
      <c r="AI591" s="8"/>
      <c r="AJ591" s="8"/>
      <c r="AK591" s="8"/>
      <c r="AL591" s="8"/>
      <c r="AM591" s="8"/>
      <c r="AN591" s="8"/>
      <c r="AO591" s="8"/>
      <c r="AP591" s="8"/>
      <c r="AQ591" s="8"/>
      <c r="AR591" s="8"/>
      <c r="AS591" s="8"/>
      <c r="AT591" s="8"/>
      <c r="AU591" s="8"/>
      <c r="AV591" s="8"/>
      <c r="AW591" s="8"/>
    </row>
    <row r="592" customFormat="false" ht="15.75" hidden="false" customHeight="true" outlineLevel="0" collapsed="false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  <c r="AH592" s="8"/>
      <c r="AI592" s="8"/>
      <c r="AJ592" s="8"/>
      <c r="AK592" s="8"/>
      <c r="AL592" s="8"/>
      <c r="AM592" s="8"/>
      <c r="AN592" s="8"/>
      <c r="AO592" s="8"/>
      <c r="AP592" s="8"/>
      <c r="AQ592" s="8"/>
      <c r="AR592" s="8"/>
      <c r="AS592" s="8"/>
      <c r="AT592" s="8"/>
      <c r="AU592" s="8"/>
      <c r="AV592" s="8"/>
      <c r="AW592" s="8"/>
    </row>
    <row r="593" customFormat="false" ht="15.75" hidden="false" customHeight="true" outlineLevel="0" collapsed="false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  <c r="AH593" s="8"/>
      <c r="AI593" s="8"/>
      <c r="AJ593" s="8"/>
      <c r="AK593" s="8"/>
      <c r="AL593" s="8"/>
      <c r="AM593" s="8"/>
      <c r="AN593" s="8"/>
      <c r="AO593" s="8"/>
      <c r="AP593" s="8"/>
      <c r="AQ593" s="8"/>
      <c r="AR593" s="8"/>
      <c r="AS593" s="8"/>
      <c r="AT593" s="8"/>
      <c r="AU593" s="8"/>
      <c r="AV593" s="8"/>
      <c r="AW593" s="8"/>
    </row>
    <row r="594" customFormat="false" ht="15.75" hidden="false" customHeight="true" outlineLevel="0" collapsed="false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  <c r="AH594" s="8"/>
      <c r="AI594" s="8"/>
      <c r="AJ594" s="8"/>
      <c r="AK594" s="8"/>
      <c r="AL594" s="8"/>
      <c r="AM594" s="8"/>
      <c r="AN594" s="8"/>
      <c r="AO594" s="8"/>
      <c r="AP594" s="8"/>
      <c r="AQ594" s="8"/>
      <c r="AR594" s="8"/>
      <c r="AS594" s="8"/>
      <c r="AT594" s="8"/>
      <c r="AU594" s="8"/>
      <c r="AV594" s="8"/>
      <c r="AW594" s="8"/>
    </row>
    <row r="595" customFormat="false" ht="15.75" hidden="false" customHeight="true" outlineLevel="0" collapsed="false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  <c r="AH595" s="8"/>
      <c r="AI595" s="8"/>
      <c r="AJ595" s="8"/>
      <c r="AK595" s="8"/>
      <c r="AL595" s="8"/>
      <c r="AM595" s="8"/>
      <c r="AN595" s="8"/>
      <c r="AO595" s="8"/>
      <c r="AP595" s="8"/>
      <c r="AQ595" s="8"/>
      <c r="AR595" s="8"/>
      <c r="AS595" s="8"/>
      <c r="AT595" s="8"/>
      <c r="AU595" s="8"/>
      <c r="AV595" s="8"/>
      <c r="AW595" s="8"/>
    </row>
    <row r="596" customFormat="false" ht="15.75" hidden="false" customHeight="true" outlineLevel="0" collapsed="false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  <c r="AH596" s="8"/>
      <c r="AI596" s="8"/>
      <c r="AJ596" s="8"/>
      <c r="AK596" s="8"/>
      <c r="AL596" s="8"/>
      <c r="AM596" s="8"/>
      <c r="AN596" s="8"/>
      <c r="AO596" s="8"/>
      <c r="AP596" s="8"/>
      <c r="AQ596" s="8"/>
      <c r="AR596" s="8"/>
      <c r="AS596" s="8"/>
      <c r="AT596" s="8"/>
      <c r="AU596" s="8"/>
      <c r="AV596" s="8"/>
      <c r="AW596" s="8"/>
    </row>
    <row r="597" customFormat="false" ht="15.75" hidden="false" customHeight="true" outlineLevel="0" collapsed="false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  <c r="AH597" s="8"/>
      <c r="AI597" s="8"/>
      <c r="AJ597" s="8"/>
      <c r="AK597" s="8"/>
      <c r="AL597" s="8"/>
      <c r="AM597" s="8"/>
      <c r="AN597" s="8"/>
      <c r="AO597" s="8"/>
      <c r="AP597" s="8"/>
      <c r="AQ597" s="8"/>
      <c r="AR597" s="8"/>
      <c r="AS597" s="8"/>
      <c r="AT597" s="8"/>
      <c r="AU597" s="8"/>
      <c r="AV597" s="8"/>
      <c r="AW597" s="8"/>
    </row>
    <row r="598" customFormat="false" ht="15.75" hidden="false" customHeight="true" outlineLevel="0" collapsed="false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  <c r="AH598" s="8"/>
      <c r="AI598" s="8"/>
      <c r="AJ598" s="8"/>
      <c r="AK598" s="8"/>
      <c r="AL598" s="8"/>
      <c r="AM598" s="8"/>
      <c r="AN598" s="8"/>
      <c r="AO598" s="8"/>
      <c r="AP598" s="8"/>
      <c r="AQ598" s="8"/>
      <c r="AR598" s="8"/>
      <c r="AS598" s="8"/>
      <c r="AT598" s="8"/>
      <c r="AU598" s="8"/>
      <c r="AV598" s="8"/>
      <c r="AW598" s="8"/>
    </row>
    <row r="599" customFormat="false" ht="15.75" hidden="false" customHeight="true" outlineLevel="0" collapsed="false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  <c r="AH599" s="8"/>
      <c r="AI599" s="8"/>
      <c r="AJ599" s="8"/>
      <c r="AK599" s="8"/>
      <c r="AL599" s="8"/>
      <c r="AM599" s="8"/>
      <c r="AN599" s="8"/>
      <c r="AO599" s="8"/>
      <c r="AP599" s="8"/>
      <c r="AQ599" s="8"/>
      <c r="AR599" s="8"/>
      <c r="AS599" s="8"/>
      <c r="AT599" s="8"/>
      <c r="AU599" s="8"/>
      <c r="AV599" s="8"/>
      <c r="AW599" s="8"/>
    </row>
    <row r="600" customFormat="false" ht="15.75" hidden="false" customHeight="true" outlineLevel="0" collapsed="false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  <c r="AH600" s="8"/>
      <c r="AI600" s="8"/>
      <c r="AJ600" s="8"/>
      <c r="AK600" s="8"/>
      <c r="AL600" s="8"/>
      <c r="AM600" s="8"/>
      <c r="AN600" s="8"/>
      <c r="AO600" s="8"/>
      <c r="AP600" s="8"/>
      <c r="AQ600" s="8"/>
      <c r="AR600" s="8"/>
      <c r="AS600" s="8"/>
      <c r="AT600" s="8"/>
      <c r="AU600" s="8"/>
      <c r="AV600" s="8"/>
      <c r="AW600" s="8"/>
    </row>
    <row r="601" customFormat="false" ht="15.75" hidden="false" customHeight="true" outlineLevel="0" collapsed="false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  <c r="AH601" s="8"/>
      <c r="AI601" s="8"/>
      <c r="AJ601" s="8"/>
      <c r="AK601" s="8"/>
      <c r="AL601" s="8"/>
      <c r="AM601" s="8"/>
      <c r="AN601" s="8"/>
      <c r="AO601" s="8"/>
      <c r="AP601" s="8"/>
      <c r="AQ601" s="8"/>
      <c r="AR601" s="8"/>
      <c r="AS601" s="8"/>
      <c r="AT601" s="8"/>
      <c r="AU601" s="8"/>
      <c r="AV601" s="8"/>
      <c r="AW601" s="8"/>
    </row>
    <row r="602" customFormat="false" ht="15.75" hidden="false" customHeight="true" outlineLevel="0" collapsed="false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  <c r="AH602" s="8"/>
      <c r="AI602" s="8"/>
      <c r="AJ602" s="8"/>
      <c r="AK602" s="8"/>
      <c r="AL602" s="8"/>
      <c r="AM602" s="8"/>
      <c r="AN602" s="8"/>
      <c r="AO602" s="8"/>
      <c r="AP602" s="8"/>
      <c r="AQ602" s="8"/>
      <c r="AR602" s="8"/>
      <c r="AS602" s="8"/>
      <c r="AT602" s="8"/>
      <c r="AU602" s="8"/>
      <c r="AV602" s="8"/>
      <c r="AW602" s="8"/>
    </row>
    <row r="603" customFormat="false" ht="15.75" hidden="false" customHeight="true" outlineLevel="0" collapsed="false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  <c r="AH603" s="8"/>
      <c r="AI603" s="8"/>
      <c r="AJ603" s="8"/>
      <c r="AK603" s="8"/>
      <c r="AL603" s="8"/>
      <c r="AM603" s="8"/>
      <c r="AN603" s="8"/>
      <c r="AO603" s="8"/>
      <c r="AP603" s="8"/>
      <c r="AQ603" s="8"/>
      <c r="AR603" s="8"/>
      <c r="AS603" s="8"/>
      <c r="AT603" s="8"/>
      <c r="AU603" s="8"/>
      <c r="AV603" s="8"/>
      <c r="AW603" s="8"/>
    </row>
    <row r="604" customFormat="false" ht="15.75" hidden="false" customHeight="true" outlineLevel="0" collapsed="false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  <c r="AH604" s="8"/>
      <c r="AI604" s="8"/>
      <c r="AJ604" s="8"/>
      <c r="AK604" s="8"/>
      <c r="AL604" s="8"/>
      <c r="AM604" s="8"/>
      <c r="AN604" s="8"/>
      <c r="AO604" s="8"/>
      <c r="AP604" s="8"/>
      <c r="AQ604" s="8"/>
      <c r="AR604" s="8"/>
      <c r="AS604" s="8"/>
      <c r="AT604" s="8"/>
      <c r="AU604" s="8"/>
      <c r="AV604" s="8"/>
      <c r="AW604" s="8"/>
    </row>
    <row r="605" customFormat="false" ht="15.75" hidden="false" customHeight="true" outlineLevel="0" collapsed="false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  <c r="AH605" s="8"/>
      <c r="AI605" s="8"/>
      <c r="AJ605" s="8"/>
      <c r="AK605" s="8"/>
      <c r="AL605" s="8"/>
      <c r="AM605" s="8"/>
      <c r="AN605" s="8"/>
      <c r="AO605" s="8"/>
      <c r="AP605" s="8"/>
      <c r="AQ605" s="8"/>
      <c r="AR605" s="8"/>
      <c r="AS605" s="8"/>
      <c r="AT605" s="8"/>
      <c r="AU605" s="8"/>
      <c r="AV605" s="8"/>
      <c r="AW605" s="8"/>
    </row>
    <row r="606" customFormat="false" ht="15.75" hidden="false" customHeight="true" outlineLevel="0" collapsed="false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  <c r="AH606" s="8"/>
      <c r="AI606" s="8"/>
      <c r="AJ606" s="8"/>
      <c r="AK606" s="8"/>
      <c r="AL606" s="8"/>
      <c r="AM606" s="8"/>
      <c r="AN606" s="8"/>
      <c r="AO606" s="8"/>
      <c r="AP606" s="8"/>
      <c r="AQ606" s="8"/>
      <c r="AR606" s="8"/>
      <c r="AS606" s="8"/>
      <c r="AT606" s="8"/>
      <c r="AU606" s="8"/>
      <c r="AV606" s="8"/>
      <c r="AW606" s="8"/>
    </row>
    <row r="607" customFormat="false" ht="15.75" hidden="false" customHeight="true" outlineLevel="0" collapsed="false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  <c r="AH607" s="8"/>
      <c r="AI607" s="8"/>
      <c r="AJ607" s="8"/>
      <c r="AK607" s="8"/>
      <c r="AL607" s="8"/>
      <c r="AM607" s="8"/>
      <c r="AN607" s="8"/>
      <c r="AO607" s="8"/>
      <c r="AP607" s="8"/>
      <c r="AQ607" s="8"/>
      <c r="AR607" s="8"/>
      <c r="AS607" s="8"/>
      <c r="AT607" s="8"/>
      <c r="AU607" s="8"/>
      <c r="AV607" s="8"/>
      <c r="AW607" s="8"/>
    </row>
    <row r="608" customFormat="false" ht="15.75" hidden="false" customHeight="true" outlineLevel="0" collapsed="false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  <c r="AH608" s="8"/>
      <c r="AI608" s="8"/>
      <c r="AJ608" s="8"/>
      <c r="AK608" s="8"/>
      <c r="AL608" s="8"/>
      <c r="AM608" s="8"/>
      <c r="AN608" s="8"/>
      <c r="AO608" s="8"/>
      <c r="AP608" s="8"/>
      <c r="AQ608" s="8"/>
      <c r="AR608" s="8"/>
      <c r="AS608" s="8"/>
      <c r="AT608" s="8"/>
      <c r="AU608" s="8"/>
      <c r="AV608" s="8"/>
      <c r="AW608" s="8"/>
    </row>
    <row r="609" customFormat="false" ht="15.75" hidden="false" customHeight="true" outlineLevel="0" collapsed="false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  <c r="AG609" s="8"/>
      <c r="AH609" s="8"/>
      <c r="AI609" s="8"/>
      <c r="AJ609" s="8"/>
      <c r="AK609" s="8"/>
      <c r="AL609" s="8"/>
      <c r="AM609" s="8"/>
      <c r="AN609" s="8"/>
      <c r="AO609" s="8"/>
      <c r="AP609" s="8"/>
      <c r="AQ609" s="8"/>
      <c r="AR609" s="8"/>
      <c r="AS609" s="8"/>
      <c r="AT609" s="8"/>
      <c r="AU609" s="8"/>
      <c r="AV609" s="8"/>
      <c r="AW609" s="8"/>
    </row>
    <row r="610" customFormat="false" ht="15.75" hidden="false" customHeight="true" outlineLevel="0" collapsed="false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  <c r="AG610" s="8"/>
      <c r="AH610" s="8"/>
      <c r="AI610" s="8"/>
      <c r="AJ610" s="8"/>
      <c r="AK610" s="8"/>
      <c r="AL610" s="8"/>
      <c r="AM610" s="8"/>
      <c r="AN610" s="8"/>
      <c r="AO610" s="8"/>
      <c r="AP610" s="8"/>
      <c r="AQ610" s="8"/>
      <c r="AR610" s="8"/>
      <c r="AS610" s="8"/>
      <c r="AT610" s="8"/>
      <c r="AU610" s="8"/>
      <c r="AV610" s="8"/>
      <c r="AW610" s="8"/>
    </row>
    <row r="611" customFormat="false" ht="15.75" hidden="false" customHeight="true" outlineLevel="0" collapsed="false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  <c r="AH611" s="8"/>
      <c r="AI611" s="8"/>
      <c r="AJ611" s="8"/>
      <c r="AK611" s="8"/>
      <c r="AL611" s="8"/>
      <c r="AM611" s="8"/>
      <c r="AN611" s="8"/>
      <c r="AO611" s="8"/>
      <c r="AP611" s="8"/>
      <c r="AQ611" s="8"/>
      <c r="AR611" s="8"/>
      <c r="AS611" s="8"/>
      <c r="AT611" s="8"/>
      <c r="AU611" s="8"/>
      <c r="AV611" s="8"/>
      <c r="AW611" s="8"/>
    </row>
    <row r="612" customFormat="false" ht="15.75" hidden="false" customHeight="true" outlineLevel="0" collapsed="false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  <c r="AH612" s="8"/>
      <c r="AI612" s="8"/>
      <c r="AJ612" s="8"/>
      <c r="AK612" s="8"/>
      <c r="AL612" s="8"/>
      <c r="AM612" s="8"/>
      <c r="AN612" s="8"/>
      <c r="AO612" s="8"/>
      <c r="AP612" s="8"/>
      <c r="AQ612" s="8"/>
      <c r="AR612" s="8"/>
      <c r="AS612" s="8"/>
      <c r="AT612" s="8"/>
      <c r="AU612" s="8"/>
      <c r="AV612" s="8"/>
      <c r="AW612" s="8"/>
    </row>
    <row r="613" customFormat="false" ht="15.75" hidden="false" customHeight="true" outlineLevel="0" collapsed="false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  <c r="AH613" s="8"/>
      <c r="AI613" s="8"/>
      <c r="AJ613" s="8"/>
      <c r="AK613" s="8"/>
      <c r="AL613" s="8"/>
      <c r="AM613" s="8"/>
      <c r="AN613" s="8"/>
      <c r="AO613" s="8"/>
      <c r="AP613" s="8"/>
      <c r="AQ613" s="8"/>
      <c r="AR613" s="8"/>
      <c r="AS613" s="8"/>
      <c r="AT613" s="8"/>
      <c r="AU613" s="8"/>
      <c r="AV613" s="8"/>
      <c r="AW613" s="8"/>
    </row>
    <row r="614" customFormat="false" ht="15.75" hidden="false" customHeight="true" outlineLevel="0" collapsed="false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  <c r="AH614" s="8"/>
      <c r="AI614" s="8"/>
      <c r="AJ614" s="8"/>
      <c r="AK614" s="8"/>
      <c r="AL614" s="8"/>
      <c r="AM614" s="8"/>
      <c r="AN614" s="8"/>
      <c r="AO614" s="8"/>
      <c r="AP614" s="8"/>
      <c r="AQ614" s="8"/>
      <c r="AR614" s="8"/>
      <c r="AS614" s="8"/>
      <c r="AT614" s="8"/>
      <c r="AU614" s="8"/>
      <c r="AV614" s="8"/>
      <c r="AW614" s="8"/>
    </row>
    <row r="615" customFormat="false" ht="15.75" hidden="false" customHeight="true" outlineLevel="0" collapsed="false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  <c r="AH615" s="8"/>
      <c r="AI615" s="8"/>
      <c r="AJ615" s="8"/>
      <c r="AK615" s="8"/>
      <c r="AL615" s="8"/>
      <c r="AM615" s="8"/>
      <c r="AN615" s="8"/>
      <c r="AO615" s="8"/>
      <c r="AP615" s="8"/>
      <c r="AQ615" s="8"/>
      <c r="AR615" s="8"/>
      <c r="AS615" s="8"/>
      <c r="AT615" s="8"/>
      <c r="AU615" s="8"/>
      <c r="AV615" s="8"/>
      <c r="AW615" s="8"/>
    </row>
    <row r="616" customFormat="false" ht="15.75" hidden="false" customHeight="true" outlineLevel="0" collapsed="false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  <c r="AH616" s="8"/>
      <c r="AI616" s="8"/>
      <c r="AJ616" s="8"/>
      <c r="AK616" s="8"/>
      <c r="AL616" s="8"/>
      <c r="AM616" s="8"/>
      <c r="AN616" s="8"/>
      <c r="AO616" s="8"/>
      <c r="AP616" s="8"/>
      <c r="AQ616" s="8"/>
      <c r="AR616" s="8"/>
      <c r="AS616" s="8"/>
      <c r="AT616" s="8"/>
      <c r="AU616" s="8"/>
      <c r="AV616" s="8"/>
      <c r="AW616" s="8"/>
    </row>
    <row r="617" customFormat="false" ht="15.75" hidden="false" customHeight="true" outlineLevel="0" collapsed="false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  <c r="AH617" s="8"/>
      <c r="AI617" s="8"/>
      <c r="AJ617" s="8"/>
      <c r="AK617" s="8"/>
      <c r="AL617" s="8"/>
      <c r="AM617" s="8"/>
      <c r="AN617" s="8"/>
      <c r="AO617" s="8"/>
      <c r="AP617" s="8"/>
      <c r="AQ617" s="8"/>
      <c r="AR617" s="8"/>
      <c r="AS617" s="8"/>
      <c r="AT617" s="8"/>
      <c r="AU617" s="8"/>
      <c r="AV617" s="8"/>
      <c r="AW617" s="8"/>
    </row>
    <row r="618" customFormat="false" ht="15.75" hidden="false" customHeight="true" outlineLevel="0" collapsed="false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  <c r="AH618" s="8"/>
      <c r="AI618" s="8"/>
      <c r="AJ618" s="8"/>
      <c r="AK618" s="8"/>
      <c r="AL618" s="8"/>
      <c r="AM618" s="8"/>
      <c r="AN618" s="8"/>
      <c r="AO618" s="8"/>
      <c r="AP618" s="8"/>
      <c r="AQ618" s="8"/>
      <c r="AR618" s="8"/>
      <c r="AS618" s="8"/>
      <c r="AT618" s="8"/>
      <c r="AU618" s="8"/>
      <c r="AV618" s="8"/>
      <c r="AW618" s="8"/>
    </row>
    <row r="619" customFormat="false" ht="15.75" hidden="false" customHeight="true" outlineLevel="0" collapsed="false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  <c r="AH619" s="8"/>
      <c r="AI619" s="8"/>
      <c r="AJ619" s="8"/>
      <c r="AK619" s="8"/>
      <c r="AL619" s="8"/>
      <c r="AM619" s="8"/>
      <c r="AN619" s="8"/>
      <c r="AO619" s="8"/>
      <c r="AP619" s="8"/>
      <c r="AQ619" s="8"/>
      <c r="AR619" s="8"/>
      <c r="AS619" s="8"/>
      <c r="AT619" s="8"/>
      <c r="AU619" s="8"/>
      <c r="AV619" s="8"/>
      <c r="AW619" s="8"/>
    </row>
    <row r="620" customFormat="false" ht="15.75" hidden="false" customHeight="true" outlineLevel="0" collapsed="false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  <c r="AH620" s="8"/>
      <c r="AI620" s="8"/>
      <c r="AJ620" s="8"/>
      <c r="AK620" s="8"/>
      <c r="AL620" s="8"/>
      <c r="AM620" s="8"/>
      <c r="AN620" s="8"/>
      <c r="AO620" s="8"/>
      <c r="AP620" s="8"/>
      <c r="AQ620" s="8"/>
      <c r="AR620" s="8"/>
      <c r="AS620" s="8"/>
      <c r="AT620" s="8"/>
      <c r="AU620" s="8"/>
      <c r="AV620" s="8"/>
      <c r="AW620" s="8"/>
    </row>
    <row r="621" customFormat="false" ht="15.75" hidden="false" customHeight="true" outlineLevel="0" collapsed="false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  <c r="AH621" s="8"/>
      <c r="AI621" s="8"/>
      <c r="AJ621" s="8"/>
      <c r="AK621" s="8"/>
      <c r="AL621" s="8"/>
      <c r="AM621" s="8"/>
      <c r="AN621" s="8"/>
      <c r="AO621" s="8"/>
      <c r="AP621" s="8"/>
      <c r="AQ621" s="8"/>
      <c r="AR621" s="8"/>
      <c r="AS621" s="8"/>
      <c r="AT621" s="8"/>
      <c r="AU621" s="8"/>
      <c r="AV621" s="8"/>
      <c r="AW621" s="8"/>
    </row>
    <row r="622" customFormat="false" ht="15.75" hidden="false" customHeight="true" outlineLevel="0" collapsed="false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  <c r="AH622" s="8"/>
      <c r="AI622" s="8"/>
      <c r="AJ622" s="8"/>
      <c r="AK622" s="8"/>
      <c r="AL622" s="8"/>
      <c r="AM622" s="8"/>
      <c r="AN622" s="8"/>
      <c r="AO622" s="8"/>
      <c r="AP622" s="8"/>
      <c r="AQ622" s="8"/>
      <c r="AR622" s="8"/>
      <c r="AS622" s="8"/>
      <c r="AT622" s="8"/>
      <c r="AU622" s="8"/>
      <c r="AV622" s="8"/>
      <c r="AW622" s="8"/>
    </row>
    <row r="623" customFormat="false" ht="15.75" hidden="false" customHeight="true" outlineLevel="0" collapsed="false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  <c r="AH623" s="8"/>
      <c r="AI623" s="8"/>
      <c r="AJ623" s="8"/>
      <c r="AK623" s="8"/>
      <c r="AL623" s="8"/>
      <c r="AM623" s="8"/>
      <c r="AN623" s="8"/>
      <c r="AO623" s="8"/>
      <c r="AP623" s="8"/>
      <c r="AQ623" s="8"/>
      <c r="AR623" s="8"/>
      <c r="AS623" s="8"/>
      <c r="AT623" s="8"/>
      <c r="AU623" s="8"/>
      <c r="AV623" s="8"/>
      <c r="AW623" s="8"/>
    </row>
    <row r="624" customFormat="false" ht="15.75" hidden="false" customHeight="true" outlineLevel="0" collapsed="false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  <c r="AH624" s="8"/>
      <c r="AI624" s="8"/>
      <c r="AJ624" s="8"/>
      <c r="AK624" s="8"/>
      <c r="AL624" s="8"/>
      <c r="AM624" s="8"/>
      <c r="AN624" s="8"/>
      <c r="AO624" s="8"/>
      <c r="AP624" s="8"/>
      <c r="AQ624" s="8"/>
      <c r="AR624" s="8"/>
      <c r="AS624" s="8"/>
      <c r="AT624" s="8"/>
      <c r="AU624" s="8"/>
      <c r="AV624" s="8"/>
      <c r="AW624" s="8"/>
    </row>
    <row r="625" customFormat="false" ht="15.75" hidden="false" customHeight="true" outlineLevel="0" collapsed="false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  <c r="AH625" s="8"/>
      <c r="AI625" s="8"/>
      <c r="AJ625" s="8"/>
      <c r="AK625" s="8"/>
      <c r="AL625" s="8"/>
      <c r="AM625" s="8"/>
      <c r="AN625" s="8"/>
      <c r="AO625" s="8"/>
      <c r="AP625" s="8"/>
      <c r="AQ625" s="8"/>
      <c r="AR625" s="8"/>
      <c r="AS625" s="8"/>
      <c r="AT625" s="8"/>
      <c r="AU625" s="8"/>
      <c r="AV625" s="8"/>
      <c r="AW625" s="8"/>
    </row>
    <row r="626" customFormat="false" ht="15.75" hidden="false" customHeight="true" outlineLevel="0" collapsed="false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  <c r="AH626" s="8"/>
      <c r="AI626" s="8"/>
      <c r="AJ626" s="8"/>
      <c r="AK626" s="8"/>
      <c r="AL626" s="8"/>
      <c r="AM626" s="8"/>
      <c r="AN626" s="8"/>
      <c r="AO626" s="8"/>
      <c r="AP626" s="8"/>
      <c r="AQ626" s="8"/>
      <c r="AR626" s="8"/>
      <c r="AS626" s="8"/>
      <c r="AT626" s="8"/>
      <c r="AU626" s="8"/>
      <c r="AV626" s="8"/>
      <c r="AW626" s="8"/>
    </row>
    <row r="627" customFormat="false" ht="15.75" hidden="false" customHeight="true" outlineLevel="0" collapsed="false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  <c r="AH627" s="8"/>
      <c r="AI627" s="8"/>
      <c r="AJ627" s="8"/>
      <c r="AK627" s="8"/>
      <c r="AL627" s="8"/>
      <c r="AM627" s="8"/>
      <c r="AN627" s="8"/>
      <c r="AO627" s="8"/>
      <c r="AP627" s="8"/>
      <c r="AQ627" s="8"/>
      <c r="AR627" s="8"/>
      <c r="AS627" s="8"/>
      <c r="AT627" s="8"/>
      <c r="AU627" s="8"/>
      <c r="AV627" s="8"/>
      <c r="AW627" s="8"/>
    </row>
    <row r="628" customFormat="false" ht="15.75" hidden="false" customHeight="true" outlineLevel="0" collapsed="false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  <c r="AH628" s="8"/>
      <c r="AI628" s="8"/>
      <c r="AJ628" s="8"/>
      <c r="AK628" s="8"/>
      <c r="AL628" s="8"/>
      <c r="AM628" s="8"/>
      <c r="AN628" s="8"/>
      <c r="AO628" s="8"/>
      <c r="AP628" s="8"/>
      <c r="AQ628" s="8"/>
      <c r="AR628" s="8"/>
      <c r="AS628" s="8"/>
      <c r="AT628" s="8"/>
      <c r="AU628" s="8"/>
      <c r="AV628" s="8"/>
      <c r="AW628" s="8"/>
    </row>
    <row r="629" customFormat="false" ht="15.75" hidden="false" customHeight="true" outlineLevel="0" collapsed="false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  <c r="AH629" s="8"/>
      <c r="AI629" s="8"/>
      <c r="AJ629" s="8"/>
      <c r="AK629" s="8"/>
      <c r="AL629" s="8"/>
      <c r="AM629" s="8"/>
      <c r="AN629" s="8"/>
      <c r="AO629" s="8"/>
      <c r="AP629" s="8"/>
      <c r="AQ629" s="8"/>
      <c r="AR629" s="8"/>
      <c r="AS629" s="8"/>
      <c r="AT629" s="8"/>
      <c r="AU629" s="8"/>
      <c r="AV629" s="8"/>
      <c r="AW629" s="8"/>
    </row>
    <row r="630" customFormat="false" ht="15.75" hidden="false" customHeight="true" outlineLevel="0" collapsed="false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  <c r="AG630" s="8"/>
      <c r="AH630" s="8"/>
      <c r="AI630" s="8"/>
      <c r="AJ630" s="8"/>
      <c r="AK630" s="8"/>
      <c r="AL630" s="8"/>
      <c r="AM630" s="8"/>
      <c r="AN630" s="8"/>
      <c r="AO630" s="8"/>
      <c r="AP630" s="8"/>
      <c r="AQ630" s="8"/>
      <c r="AR630" s="8"/>
      <c r="AS630" s="8"/>
      <c r="AT630" s="8"/>
      <c r="AU630" s="8"/>
      <c r="AV630" s="8"/>
      <c r="AW630" s="8"/>
    </row>
    <row r="631" customFormat="false" ht="15.75" hidden="false" customHeight="true" outlineLevel="0" collapsed="false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  <c r="AH631" s="8"/>
      <c r="AI631" s="8"/>
      <c r="AJ631" s="8"/>
      <c r="AK631" s="8"/>
      <c r="AL631" s="8"/>
      <c r="AM631" s="8"/>
      <c r="AN631" s="8"/>
      <c r="AO631" s="8"/>
      <c r="AP631" s="8"/>
      <c r="AQ631" s="8"/>
      <c r="AR631" s="8"/>
      <c r="AS631" s="8"/>
      <c r="AT631" s="8"/>
      <c r="AU631" s="8"/>
      <c r="AV631" s="8"/>
      <c r="AW631" s="8"/>
    </row>
    <row r="632" customFormat="false" ht="15.75" hidden="false" customHeight="true" outlineLevel="0" collapsed="false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  <c r="AH632" s="8"/>
      <c r="AI632" s="8"/>
      <c r="AJ632" s="8"/>
      <c r="AK632" s="8"/>
      <c r="AL632" s="8"/>
      <c r="AM632" s="8"/>
      <c r="AN632" s="8"/>
      <c r="AO632" s="8"/>
      <c r="AP632" s="8"/>
      <c r="AQ632" s="8"/>
      <c r="AR632" s="8"/>
      <c r="AS632" s="8"/>
      <c r="AT632" s="8"/>
      <c r="AU632" s="8"/>
      <c r="AV632" s="8"/>
      <c r="AW632" s="8"/>
    </row>
    <row r="633" customFormat="false" ht="15.75" hidden="false" customHeight="true" outlineLevel="0" collapsed="false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  <c r="AH633" s="8"/>
      <c r="AI633" s="8"/>
      <c r="AJ633" s="8"/>
      <c r="AK633" s="8"/>
      <c r="AL633" s="8"/>
      <c r="AM633" s="8"/>
      <c r="AN633" s="8"/>
      <c r="AO633" s="8"/>
      <c r="AP633" s="8"/>
      <c r="AQ633" s="8"/>
      <c r="AR633" s="8"/>
      <c r="AS633" s="8"/>
      <c r="AT633" s="8"/>
      <c r="AU633" s="8"/>
      <c r="AV633" s="8"/>
      <c r="AW633" s="8"/>
    </row>
    <row r="634" customFormat="false" ht="15.75" hidden="false" customHeight="true" outlineLevel="0" collapsed="false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/>
      <c r="AG634" s="8"/>
      <c r="AH634" s="8"/>
      <c r="AI634" s="8"/>
      <c r="AJ634" s="8"/>
      <c r="AK634" s="8"/>
      <c r="AL634" s="8"/>
      <c r="AM634" s="8"/>
      <c r="AN634" s="8"/>
      <c r="AO634" s="8"/>
      <c r="AP634" s="8"/>
      <c r="AQ634" s="8"/>
      <c r="AR634" s="8"/>
      <c r="AS634" s="8"/>
      <c r="AT634" s="8"/>
      <c r="AU634" s="8"/>
      <c r="AV634" s="8"/>
      <c r="AW634" s="8"/>
    </row>
    <row r="635" customFormat="false" ht="15.75" hidden="false" customHeight="true" outlineLevel="0" collapsed="false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  <c r="AH635" s="8"/>
      <c r="AI635" s="8"/>
      <c r="AJ635" s="8"/>
      <c r="AK635" s="8"/>
      <c r="AL635" s="8"/>
      <c r="AM635" s="8"/>
      <c r="AN635" s="8"/>
      <c r="AO635" s="8"/>
      <c r="AP635" s="8"/>
      <c r="AQ635" s="8"/>
      <c r="AR635" s="8"/>
      <c r="AS635" s="8"/>
      <c r="AT635" s="8"/>
      <c r="AU635" s="8"/>
      <c r="AV635" s="8"/>
      <c r="AW635" s="8"/>
    </row>
    <row r="636" customFormat="false" ht="15.75" hidden="false" customHeight="true" outlineLevel="0" collapsed="false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/>
      <c r="AG636" s="8"/>
      <c r="AH636" s="8"/>
      <c r="AI636" s="8"/>
      <c r="AJ636" s="8"/>
      <c r="AK636" s="8"/>
      <c r="AL636" s="8"/>
      <c r="AM636" s="8"/>
      <c r="AN636" s="8"/>
      <c r="AO636" s="8"/>
      <c r="AP636" s="8"/>
      <c r="AQ636" s="8"/>
      <c r="AR636" s="8"/>
      <c r="AS636" s="8"/>
      <c r="AT636" s="8"/>
      <c r="AU636" s="8"/>
      <c r="AV636" s="8"/>
      <c r="AW636" s="8"/>
    </row>
    <row r="637" customFormat="false" ht="15.75" hidden="false" customHeight="true" outlineLevel="0" collapsed="false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  <c r="AH637" s="8"/>
      <c r="AI637" s="8"/>
      <c r="AJ637" s="8"/>
      <c r="AK637" s="8"/>
      <c r="AL637" s="8"/>
      <c r="AM637" s="8"/>
      <c r="AN637" s="8"/>
      <c r="AO637" s="8"/>
      <c r="AP637" s="8"/>
      <c r="AQ637" s="8"/>
      <c r="AR637" s="8"/>
      <c r="AS637" s="8"/>
      <c r="AT637" s="8"/>
      <c r="AU637" s="8"/>
      <c r="AV637" s="8"/>
      <c r="AW637" s="8"/>
    </row>
    <row r="638" customFormat="false" ht="15.75" hidden="false" customHeight="true" outlineLevel="0" collapsed="false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  <c r="AH638" s="8"/>
      <c r="AI638" s="8"/>
      <c r="AJ638" s="8"/>
      <c r="AK638" s="8"/>
      <c r="AL638" s="8"/>
      <c r="AM638" s="8"/>
      <c r="AN638" s="8"/>
      <c r="AO638" s="8"/>
      <c r="AP638" s="8"/>
      <c r="AQ638" s="8"/>
      <c r="AR638" s="8"/>
      <c r="AS638" s="8"/>
      <c r="AT638" s="8"/>
      <c r="AU638" s="8"/>
      <c r="AV638" s="8"/>
      <c r="AW638" s="8"/>
    </row>
    <row r="639" customFormat="false" ht="15.75" hidden="false" customHeight="true" outlineLevel="0" collapsed="false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  <c r="AH639" s="8"/>
      <c r="AI639" s="8"/>
      <c r="AJ639" s="8"/>
      <c r="AK639" s="8"/>
      <c r="AL639" s="8"/>
      <c r="AM639" s="8"/>
      <c r="AN639" s="8"/>
      <c r="AO639" s="8"/>
      <c r="AP639" s="8"/>
      <c r="AQ639" s="8"/>
      <c r="AR639" s="8"/>
      <c r="AS639" s="8"/>
      <c r="AT639" s="8"/>
      <c r="AU639" s="8"/>
      <c r="AV639" s="8"/>
      <c r="AW639" s="8"/>
    </row>
    <row r="640" customFormat="false" ht="15.75" hidden="false" customHeight="true" outlineLevel="0" collapsed="false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  <c r="AH640" s="8"/>
      <c r="AI640" s="8"/>
      <c r="AJ640" s="8"/>
      <c r="AK640" s="8"/>
      <c r="AL640" s="8"/>
      <c r="AM640" s="8"/>
      <c r="AN640" s="8"/>
      <c r="AO640" s="8"/>
      <c r="AP640" s="8"/>
      <c r="AQ640" s="8"/>
      <c r="AR640" s="8"/>
      <c r="AS640" s="8"/>
      <c r="AT640" s="8"/>
      <c r="AU640" s="8"/>
      <c r="AV640" s="8"/>
      <c r="AW640" s="8"/>
    </row>
    <row r="641" customFormat="false" ht="15.75" hidden="false" customHeight="true" outlineLevel="0" collapsed="false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  <c r="AH641" s="8"/>
      <c r="AI641" s="8"/>
      <c r="AJ641" s="8"/>
      <c r="AK641" s="8"/>
      <c r="AL641" s="8"/>
      <c r="AM641" s="8"/>
      <c r="AN641" s="8"/>
      <c r="AO641" s="8"/>
      <c r="AP641" s="8"/>
      <c r="AQ641" s="8"/>
      <c r="AR641" s="8"/>
      <c r="AS641" s="8"/>
      <c r="AT641" s="8"/>
      <c r="AU641" s="8"/>
      <c r="AV641" s="8"/>
      <c r="AW641" s="8"/>
    </row>
    <row r="642" customFormat="false" ht="15.75" hidden="false" customHeight="true" outlineLevel="0" collapsed="false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  <c r="AH642" s="8"/>
      <c r="AI642" s="8"/>
      <c r="AJ642" s="8"/>
      <c r="AK642" s="8"/>
      <c r="AL642" s="8"/>
      <c r="AM642" s="8"/>
      <c r="AN642" s="8"/>
      <c r="AO642" s="8"/>
      <c r="AP642" s="8"/>
      <c r="AQ642" s="8"/>
      <c r="AR642" s="8"/>
      <c r="AS642" s="8"/>
      <c r="AT642" s="8"/>
      <c r="AU642" s="8"/>
      <c r="AV642" s="8"/>
      <c r="AW642" s="8"/>
    </row>
    <row r="643" customFormat="false" ht="15.75" hidden="false" customHeight="true" outlineLevel="0" collapsed="false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  <c r="AH643" s="8"/>
      <c r="AI643" s="8"/>
      <c r="AJ643" s="8"/>
      <c r="AK643" s="8"/>
      <c r="AL643" s="8"/>
      <c r="AM643" s="8"/>
      <c r="AN643" s="8"/>
      <c r="AO643" s="8"/>
      <c r="AP643" s="8"/>
      <c r="AQ643" s="8"/>
      <c r="AR643" s="8"/>
      <c r="AS643" s="8"/>
      <c r="AT643" s="8"/>
      <c r="AU643" s="8"/>
      <c r="AV643" s="8"/>
      <c r="AW643" s="8"/>
    </row>
    <row r="644" customFormat="false" ht="15.75" hidden="false" customHeight="true" outlineLevel="0" collapsed="false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  <c r="AH644" s="8"/>
      <c r="AI644" s="8"/>
      <c r="AJ644" s="8"/>
      <c r="AK644" s="8"/>
      <c r="AL644" s="8"/>
      <c r="AM644" s="8"/>
      <c r="AN644" s="8"/>
      <c r="AO644" s="8"/>
      <c r="AP644" s="8"/>
      <c r="AQ644" s="8"/>
      <c r="AR644" s="8"/>
      <c r="AS644" s="8"/>
      <c r="AT644" s="8"/>
      <c r="AU644" s="8"/>
      <c r="AV644" s="8"/>
      <c r="AW644" s="8"/>
    </row>
    <row r="645" customFormat="false" ht="15.75" hidden="false" customHeight="true" outlineLevel="0" collapsed="false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  <c r="AH645" s="8"/>
      <c r="AI645" s="8"/>
      <c r="AJ645" s="8"/>
      <c r="AK645" s="8"/>
      <c r="AL645" s="8"/>
      <c r="AM645" s="8"/>
      <c r="AN645" s="8"/>
      <c r="AO645" s="8"/>
      <c r="AP645" s="8"/>
      <c r="AQ645" s="8"/>
      <c r="AR645" s="8"/>
      <c r="AS645" s="8"/>
      <c r="AT645" s="8"/>
      <c r="AU645" s="8"/>
      <c r="AV645" s="8"/>
      <c r="AW645" s="8"/>
    </row>
    <row r="646" customFormat="false" ht="15.75" hidden="false" customHeight="true" outlineLevel="0" collapsed="false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  <c r="AG646" s="8"/>
      <c r="AH646" s="8"/>
      <c r="AI646" s="8"/>
      <c r="AJ646" s="8"/>
      <c r="AK646" s="8"/>
      <c r="AL646" s="8"/>
      <c r="AM646" s="8"/>
      <c r="AN646" s="8"/>
      <c r="AO646" s="8"/>
      <c r="AP646" s="8"/>
      <c r="AQ646" s="8"/>
      <c r="AR646" s="8"/>
      <c r="AS646" s="8"/>
      <c r="AT646" s="8"/>
      <c r="AU646" s="8"/>
      <c r="AV646" s="8"/>
      <c r="AW646" s="8"/>
    </row>
    <row r="647" customFormat="false" ht="15.75" hidden="false" customHeight="true" outlineLevel="0" collapsed="false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  <c r="AQ647" s="8"/>
      <c r="AR647" s="8"/>
      <c r="AS647" s="8"/>
      <c r="AT647" s="8"/>
      <c r="AU647" s="8"/>
      <c r="AV647" s="8"/>
      <c r="AW647" s="8"/>
    </row>
    <row r="648" customFormat="false" ht="15.75" hidden="false" customHeight="true" outlineLevel="0" collapsed="false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  <c r="AH648" s="8"/>
      <c r="AI648" s="8"/>
      <c r="AJ648" s="8"/>
      <c r="AK648" s="8"/>
      <c r="AL648" s="8"/>
      <c r="AM648" s="8"/>
      <c r="AN648" s="8"/>
      <c r="AO648" s="8"/>
      <c r="AP648" s="8"/>
      <c r="AQ648" s="8"/>
      <c r="AR648" s="8"/>
      <c r="AS648" s="8"/>
      <c r="AT648" s="8"/>
      <c r="AU648" s="8"/>
      <c r="AV648" s="8"/>
      <c r="AW648" s="8"/>
    </row>
    <row r="649" customFormat="false" ht="15.75" hidden="false" customHeight="true" outlineLevel="0" collapsed="false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  <c r="AH649" s="8"/>
      <c r="AI649" s="8"/>
      <c r="AJ649" s="8"/>
      <c r="AK649" s="8"/>
      <c r="AL649" s="8"/>
      <c r="AM649" s="8"/>
      <c r="AN649" s="8"/>
      <c r="AO649" s="8"/>
      <c r="AP649" s="8"/>
      <c r="AQ649" s="8"/>
      <c r="AR649" s="8"/>
      <c r="AS649" s="8"/>
      <c r="AT649" s="8"/>
      <c r="AU649" s="8"/>
      <c r="AV649" s="8"/>
      <c r="AW649" s="8"/>
    </row>
    <row r="650" customFormat="false" ht="15.75" hidden="false" customHeight="true" outlineLevel="0" collapsed="false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/>
      <c r="AG650" s="8"/>
      <c r="AH650" s="8"/>
      <c r="AI650" s="8"/>
      <c r="AJ650" s="8"/>
      <c r="AK650" s="8"/>
      <c r="AL650" s="8"/>
      <c r="AM650" s="8"/>
      <c r="AN650" s="8"/>
      <c r="AO650" s="8"/>
      <c r="AP650" s="8"/>
      <c r="AQ650" s="8"/>
      <c r="AR650" s="8"/>
      <c r="AS650" s="8"/>
      <c r="AT650" s="8"/>
      <c r="AU650" s="8"/>
      <c r="AV650" s="8"/>
      <c r="AW650" s="8"/>
    </row>
    <row r="651" customFormat="false" ht="15.75" hidden="false" customHeight="true" outlineLevel="0" collapsed="false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  <c r="AH651" s="8"/>
      <c r="AI651" s="8"/>
      <c r="AJ651" s="8"/>
      <c r="AK651" s="8"/>
      <c r="AL651" s="8"/>
      <c r="AM651" s="8"/>
      <c r="AN651" s="8"/>
      <c r="AO651" s="8"/>
      <c r="AP651" s="8"/>
      <c r="AQ651" s="8"/>
      <c r="AR651" s="8"/>
      <c r="AS651" s="8"/>
      <c r="AT651" s="8"/>
      <c r="AU651" s="8"/>
      <c r="AV651" s="8"/>
      <c r="AW651" s="8"/>
    </row>
    <row r="652" customFormat="false" ht="15.75" hidden="false" customHeight="true" outlineLevel="0" collapsed="false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  <c r="AH652" s="8"/>
      <c r="AI652" s="8"/>
      <c r="AJ652" s="8"/>
      <c r="AK652" s="8"/>
      <c r="AL652" s="8"/>
      <c r="AM652" s="8"/>
      <c r="AN652" s="8"/>
      <c r="AO652" s="8"/>
      <c r="AP652" s="8"/>
      <c r="AQ652" s="8"/>
      <c r="AR652" s="8"/>
      <c r="AS652" s="8"/>
      <c r="AT652" s="8"/>
      <c r="AU652" s="8"/>
      <c r="AV652" s="8"/>
      <c r="AW652" s="8"/>
    </row>
    <row r="653" customFormat="false" ht="15.75" hidden="false" customHeight="true" outlineLevel="0" collapsed="false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  <c r="AH653" s="8"/>
      <c r="AI653" s="8"/>
      <c r="AJ653" s="8"/>
      <c r="AK653" s="8"/>
      <c r="AL653" s="8"/>
      <c r="AM653" s="8"/>
      <c r="AN653" s="8"/>
      <c r="AO653" s="8"/>
      <c r="AP653" s="8"/>
      <c r="AQ653" s="8"/>
      <c r="AR653" s="8"/>
      <c r="AS653" s="8"/>
      <c r="AT653" s="8"/>
      <c r="AU653" s="8"/>
      <c r="AV653" s="8"/>
      <c r="AW653" s="8"/>
    </row>
    <row r="654" customFormat="false" ht="15.75" hidden="false" customHeight="true" outlineLevel="0" collapsed="false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/>
      <c r="AG654" s="8"/>
      <c r="AH654" s="8"/>
      <c r="AI654" s="8"/>
      <c r="AJ654" s="8"/>
      <c r="AK654" s="8"/>
      <c r="AL654" s="8"/>
      <c r="AM654" s="8"/>
      <c r="AN654" s="8"/>
      <c r="AO654" s="8"/>
      <c r="AP654" s="8"/>
      <c r="AQ654" s="8"/>
      <c r="AR654" s="8"/>
      <c r="AS654" s="8"/>
      <c r="AT654" s="8"/>
      <c r="AU654" s="8"/>
      <c r="AV654" s="8"/>
      <c r="AW654" s="8"/>
    </row>
    <row r="655" customFormat="false" ht="15.75" hidden="false" customHeight="true" outlineLevel="0" collapsed="false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  <c r="AH655" s="8"/>
      <c r="AI655" s="8"/>
      <c r="AJ655" s="8"/>
      <c r="AK655" s="8"/>
      <c r="AL655" s="8"/>
      <c r="AM655" s="8"/>
      <c r="AN655" s="8"/>
      <c r="AO655" s="8"/>
      <c r="AP655" s="8"/>
      <c r="AQ655" s="8"/>
      <c r="AR655" s="8"/>
      <c r="AS655" s="8"/>
      <c r="AT655" s="8"/>
      <c r="AU655" s="8"/>
      <c r="AV655" s="8"/>
      <c r="AW655" s="8"/>
    </row>
    <row r="656" customFormat="false" ht="15.75" hidden="false" customHeight="true" outlineLevel="0" collapsed="false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  <c r="AH656" s="8"/>
      <c r="AI656" s="8"/>
      <c r="AJ656" s="8"/>
      <c r="AK656" s="8"/>
      <c r="AL656" s="8"/>
      <c r="AM656" s="8"/>
      <c r="AN656" s="8"/>
      <c r="AO656" s="8"/>
      <c r="AP656" s="8"/>
      <c r="AQ656" s="8"/>
      <c r="AR656" s="8"/>
      <c r="AS656" s="8"/>
      <c r="AT656" s="8"/>
      <c r="AU656" s="8"/>
      <c r="AV656" s="8"/>
      <c r="AW656" s="8"/>
    </row>
    <row r="657" customFormat="false" ht="15.75" hidden="false" customHeight="true" outlineLevel="0" collapsed="false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  <c r="AH657" s="8"/>
      <c r="AI657" s="8"/>
      <c r="AJ657" s="8"/>
      <c r="AK657" s="8"/>
      <c r="AL657" s="8"/>
      <c r="AM657" s="8"/>
      <c r="AN657" s="8"/>
      <c r="AO657" s="8"/>
      <c r="AP657" s="8"/>
      <c r="AQ657" s="8"/>
      <c r="AR657" s="8"/>
      <c r="AS657" s="8"/>
      <c r="AT657" s="8"/>
      <c r="AU657" s="8"/>
      <c r="AV657" s="8"/>
      <c r="AW657" s="8"/>
    </row>
    <row r="658" customFormat="false" ht="15.75" hidden="false" customHeight="true" outlineLevel="0" collapsed="false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  <c r="AH658" s="8"/>
      <c r="AI658" s="8"/>
      <c r="AJ658" s="8"/>
      <c r="AK658" s="8"/>
      <c r="AL658" s="8"/>
      <c r="AM658" s="8"/>
      <c r="AN658" s="8"/>
      <c r="AO658" s="8"/>
      <c r="AP658" s="8"/>
      <c r="AQ658" s="8"/>
      <c r="AR658" s="8"/>
      <c r="AS658" s="8"/>
      <c r="AT658" s="8"/>
      <c r="AU658" s="8"/>
      <c r="AV658" s="8"/>
      <c r="AW658" s="8"/>
    </row>
    <row r="659" customFormat="false" ht="15.75" hidden="false" customHeight="true" outlineLevel="0" collapsed="false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  <c r="AH659" s="8"/>
      <c r="AI659" s="8"/>
      <c r="AJ659" s="8"/>
      <c r="AK659" s="8"/>
      <c r="AL659" s="8"/>
      <c r="AM659" s="8"/>
      <c r="AN659" s="8"/>
      <c r="AO659" s="8"/>
      <c r="AP659" s="8"/>
      <c r="AQ659" s="8"/>
      <c r="AR659" s="8"/>
      <c r="AS659" s="8"/>
      <c r="AT659" s="8"/>
      <c r="AU659" s="8"/>
      <c r="AV659" s="8"/>
      <c r="AW659" s="8"/>
    </row>
    <row r="660" customFormat="false" ht="15.75" hidden="false" customHeight="true" outlineLevel="0" collapsed="false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  <c r="AH660" s="8"/>
      <c r="AI660" s="8"/>
      <c r="AJ660" s="8"/>
      <c r="AK660" s="8"/>
      <c r="AL660" s="8"/>
      <c r="AM660" s="8"/>
      <c r="AN660" s="8"/>
      <c r="AO660" s="8"/>
      <c r="AP660" s="8"/>
      <c r="AQ660" s="8"/>
      <c r="AR660" s="8"/>
      <c r="AS660" s="8"/>
      <c r="AT660" s="8"/>
      <c r="AU660" s="8"/>
      <c r="AV660" s="8"/>
      <c r="AW660" s="8"/>
    </row>
    <row r="661" customFormat="false" ht="15.75" hidden="false" customHeight="true" outlineLevel="0" collapsed="false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  <c r="AH661" s="8"/>
      <c r="AI661" s="8"/>
      <c r="AJ661" s="8"/>
      <c r="AK661" s="8"/>
      <c r="AL661" s="8"/>
      <c r="AM661" s="8"/>
      <c r="AN661" s="8"/>
      <c r="AO661" s="8"/>
      <c r="AP661" s="8"/>
      <c r="AQ661" s="8"/>
      <c r="AR661" s="8"/>
      <c r="AS661" s="8"/>
      <c r="AT661" s="8"/>
      <c r="AU661" s="8"/>
      <c r="AV661" s="8"/>
      <c r="AW661" s="8"/>
    </row>
    <row r="662" customFormat="false" ht="15.75" hidden="false" customHeight="true" outlineLevel="0" collapsed="false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  <c r="AH662" s="8"/>
      <c r="AI662" s="8"/>
      <c r="AJ662" s="8"/>
      <c r="AK662" s="8"/>
      <c r="AL662" s="8"/>
      <c r="AM662" s="8"/>
      <c r="AN662" s="8"/>
      <c r="AO662" s="8"/>
      <c r="AP662" s="8"/>
      <c r="AQ662" s="8"/>
      <c r="AR662" s="8"/>
      <c r="AS662" s="8"/>
      <c r="AT662" s="8"/>
      <c r="AU662" s="8"/>
      <c r="AV662" s="8"/>
      <c r="AW662" s="8"/>
    </row>
    <row r="663" customFormat="false" ht="15.75" hidden="false" customHeight="true" outlineLevel="0" collapsed="false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  <c r="AH663" s="8"/>
      <c r="AI663" s="8"/>
      <c r="AJ663" s="8"/>
      <c r="AK663" s="8"/>
      <c r="AL663" s="8"/>
      <c r="AM663" s="8"/>
      <c r="AN663" s="8"/>
      <c r="AO663" s="8"/>
      <c r="AP663" s="8"/>
      <c r="AQ663" s="8"/>
      <c r="AR663" s="8"/>
      <c r="AS663" s="8"/>
      <c r="AT663" s="8"/>
      <c r="AU663" s="8"/>
      <c r="AV663" s="8"/>
      <c r="AW663" s="8"/>
    </row>
    <row r="664" customFormat="false" ht="15.75" hidden="false" customHeight="true" outlineLevel="0" collapsed="false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  <c r="AH664" s="8"/>
      <c r="AI664" s="8"/>
      <c r="AJ664" s="8"/>
      <c r="AK664" s="8"/>
      <c r="AL664" s="8"/>
      <c r="AM664" s="8"/>
      <c r="AN664" s="8"/>
      <c r="AO664" s="8"/>
      <c r="AP664" s="8"/>
      <c r="AQ664" s="8"/>
      <c r="AR664" s="8"/>
      <c r="AS664" s="8"/>
      <c r="AT664" s="8"/>
      <c r="AU664" s="8"/>
      <c r="AV664" s="8"/>
      <c r="AW664" s="8"/>
    </row>
    <row r="665" customFormat="false" ht="15.75" hidden="false" customHeight="true" outlineLevel="0" collapsed="false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  <c r="AH665" s="8"/>
      <c r="AI665" s="8"/>
      <c r="AJ665" s="8"/>
      <c r="AK665" s="8"/>
      <c r="AL665" s="8"/>
      <c r="AM665" s="8"/>
      <c r="AN665" s="8"/>
      <c r="AO665" s="8"/>
      <c r="AP665" s="8"/>
      <c r="AQ665" s="8"/>
      <c r="AR665" s="8"/>
      <c r="AS665" s="8"/>
      <c r="AT665" s="8"/>
      <c r="AU665" s="8"/>
      <c r="AV665" s="8"/>
      <c r="AW665" s="8"/>
    </row>
    <row r="666" customFormat="false" ht="15.75" hidden="false" customHeight="true" outlineLevel="0" collapsed="false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  <c r="AG666" s="8"/>
      <c r="AH666" s="8"/>
      <c r="AI666" s="8"/>
      <c r="AJ666" s="8"/>
      <c r="AK666" s="8"/>
      <c r="AL666" s="8"/>
      <c r="AM666" s="8"/>
      <c r="AN666" s="8"/>
      <c r="AO666" s="8"/>
      <c r="AP666" s="8"/>
      <c r="AQ666" s="8"/>
      <c r="AR666" s="8"/>
      <c r="AS666" s="8"/>
      <c r="AT666" s="8"/>
      <c r="AU666" s="8"/>
      <c r="AV666" s="8"/>
      <c r="AW666" s="8"/>
    </row>
    <row r="667" customFormat="false" ht="15.75" hidden="false" customHeight="true" outlineLevel="0" collapsed="false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  <c r="AH667" s="8"/>
      <c r="AI667" s="8"/>
      <c r="AJ667" s="8"/>
      <c r="AK667" s="8"/>
      <c r="AL667" s="8"/>
      <c r="AM667" s="8"/>
      <c r="AN667" s="8"/>
      <c r="AO667" s="8"/>
      <c r="AP667" s="8"/>
      <c r="AQ667" s="8"/>
      <c r="AR667" s="8"/>
      <c r="AS667" s="8"/>
      <c r="AT667" s="8"/>
      <c r="AU667" s="8"/>
      <c r="AV667" s="8"/>
      <c r="AW667" s="8"/>
    </row>
    <row r="668" customFormat="false" ht="15.75" hidden="false" customHeight="true" outlineLevel="0" collapsed="false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  <c r="AH668" s="8"/>
      <c r="AI668" s="8"/>
      <c r="AJ668" s="8"/>
      <c r="AK668" s="8"/>
      <c r="AL668" s="8"/>
      <c r="AM668" s="8"/>
      <c r="AN668" s="8"/>
      <c r="AO668" s="8"/>
      <c r="AP668" s="8"/>
      <c r="AQ668" s="8"/>
      <c r="AR668" s="8"/>
      <c r="AS668" s="8"/>
      <c r="AT668" s="8"/>
      <c r="AU668" s="8"/>
      <c r="AV668" s="8"/>
      <c r="AW668" s="8"/>
    </row>
    <row r="669" customFormat="false" ht="15.75" hidden="false" customHeight="true" outlineLevel="0" collapsed="false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  <c r="AH669" s="8"/>
      <c r="AI669" s="8"/>
      <c r="AJ669" s="8"/>
      <c r="AK669" s="8"/>
      <c r="AL669" s="8"/>
      <c r="AM669" s="8"/>
      <c r="AN669" s="8"/>
      <c r="AO669" s="8"/>
      <c r="AP669" s="8"/>
      <c r="AQ669" s="8"/>
      <c r="AR669" s="8"/>
      <c r="AS669" s="8"/>
      <c r="AT669" s="8"/>
      <c r="AU669" s="8"/>
      <c r="AV669" s="8"/>
      <c r="AW669" s="8"/>
    </row>
    <row r="670" customFormat="false" ht="15.75" hidden="false" customHeight="true" outlineLevel="0" collapsed="false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  <c r="AH670" s="8"/>
      <c r="AI670" s="8"/>
      <c r="AJ670" s="8"/>
      <c r="AK670" s="8"/>
      <c r="AL670" s="8"/>
      <c r="AM670" s="8"/>
      <c r="AN670" s="8"/>
      <c r="AO670" s="8"/>
      <c r="AP670" s="8"/>
      <c r="AQ670" s="8"/>
      <c r="AR670" s="8"/>
      <c r="AS670" s="8"/>
      <c r="AT670" s="8"/>
      <c r="AU670" s="8"/>
      <c r="AV670" s="8"/>
      <c r="AW670" s="8"/>
    </row>
    <row r="671" customFormat="false" ht="15.75" hidden="false" customHeight="true" outlineLevel="0" collapsed="false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/>
      <c r="AG671" s="8"/>
      <c r="AH671" s="8"/>
      <c r="AI671" s="8"/>
      <c r="AJ671" s="8"/>
      <c r="AK671" s="8"/>
      <c r="AL671" s="8"/>
      <c r="AM671" s="8"/>
      <c r="AN671" s="8"/>
      <c r="AO671" s="8"/>
      <c r="AP671" s="8"/>
      <c r="AQ671" s="8"/>
      <c r="AR671" s="8"/>
      <c r="AS671" s="8"/>
      <c r="AT671" s="8"/>
      <c r="AU671" s="8"/>
      <c r="AV671" s="8"/>
      <c r="AW671" s="8"/>
    </row>
    <row r="672" customFormat="false" ht="15.75" hidden="false" customHeight="true" outlineLevel="0" collapsed="false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  <c r="AH672" s="8"/>
      <c r="AI672" s="8"/>
      <c r="AJ672" s="8"/>
      <c r="AK672" s="8"/>
      <c r="AL672" s="8"/>
      <c r="AM672" s="8"/>
      <c r="AN672" s="8"/>
      <c r="AO672" s="8"/>
      <c r="AP672" s="8"/>
      <c r="AQ672" s="8"/>
      <c r="AR672" s="8"/>
      <c r="AS672" s="8"/>
      <c r="AT672" s="8"/>
      <c r="AU672" s="8"/>
      <c r="AV672" s="8"/>
      <c r="AW672" s="8"/>
    </row>
    <row r="673" customFormat="false" ht="15.75" hidden="false" customHeight="true" outlineLevel="0" collapsed="false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  <c r="AH673" s="8"/>
      <c r="AI673" s="8"/>
      <c r="AJ673" s="8"/>
      <c r="AK673" s="8"/>
      <c r="AL673" s="8"/>
      <c r="AM673" s="8"/>
      <c r="AN673" s="8"/>
      <c r="AO673" s="8"/>
      <c r="AP673" s="8"/>
      <c r="AQ673" s="8"/>
      <c r="AR673" s="8"/>
      <c r="AS673" s="8"/>
      <c r="AT673" s="8"/>
      <c r="AU673" s="8"/>
      <c r="AV673" s="8"/>
      <c r="AW673" s="8"/>
    </row>
    <row r="674" customFormat="false" ht="15.75" hidden="false" customHeight="true" outlineLevel="0" collapsed="false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  <c r="AH674" s="8"/>
      <c r="AI674" s="8"/>
      <c r="AJ674" s="8"/>
      <c r="AK674" s="8"/>
      <c r="AL674" s="8"/>
      <c r="AM674" s="8"/>
      <c r="AN674" s="8"/>
      <c r="AO674" s="8"/>
      <c r="AP674" s="8"/>
      <c r="AQ674" s="8"/>
      <c r="AR674" s="8"/>
      <c r="AS674" s="8"/>
      <c r="AT674" s="8"/>
      <c r="AU674" s="8"/>
      <c r="AV674" s="8"/>
      <c r="AW674" s="8"/>
    </row>
    <row r="675" customFormat="false" ht="15.75" hidden="false" customHeight="true" outlineLevel="0" collapsed="false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  <c r="AH675" s="8"/>
      <c r="AI675" s="8"/>
      <c r="AJ675" s="8"/>
      <c r="AK675" s="8"/>
      <c r="AL675" s="8"/>
      <c r="AM675" s="8"/>
      <c r="AN675" s="8"/>
      <c r="AO675" s="8"/>
      <c r="AP675" s="8"/>
      <c r="AQ675" s="8"/>
      <c r="AR675" s="8"/>
      <c r="AS675" s="8"/>
      <c r="AT675" s="8"/>
      <c r="AU675" s="8"/>
      <c r="AV675" s="8"/>
      <c r="AW675" s="8"/>
    </row>
    <row r="676" customFormat="false" ht="15.75" hidden="false" customHeight="true" outlineLevel="0" collapsed="false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/>
      <c r="AG676" s="8"/>
      <c r="AH676" s="8"/>
      <c r="AI676" s="8"/>
      <c r="AJ676" s="8"/>
      <c r="AK676" s="8"/>
      <c r="AL676" s="8"/>
      <c r="AM676" s="8"/>
      <c r="AN676" s="8"/>
      <c r="AO676" s="8"/>
      <c r="AP676" s="8"/>
      <c r="AQ676" s="8"/>
      <c r="AR676" s="8"/>
      <c r="AS676" s="8"/>
      <c r="AT676" s="8"/>
      <c r="AU676" s="8"/>
      <c r="AV676" s="8"/>
      <c r="AW676" s="8"/>
    </row>
    <row r="677" customFormat="false" ht="15.75" hidden="false" customHeight="true" outlineLevel="0" collapsed="false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  <c r="AH677" s="8"/>
      <c r="AI677" s="8"/>
      <c r="AJ677" s="8"/>
      <c r="AK677" s="8"/>
      <c r="AL677" s="8"/>
      <c r="AM677" s="8"/>
      <c r="AN677" s="8"/>
      <c r="AO677" s="8"/>
      <c r="AP677" s="8"/>
      <c r="AQ677" s="8"/>
      <c r="AR677" s="8"/>
      <c r="AS677" s="8"/>
      <c r="AT677" s="8"/>
      <c r="AU677" s="8"/>
      <c r="AV677" s="8"/>
      <c r="AW677" s="8"/>
    </row>
    <row r="678" customFormat="false" ht="15.75" hidden="false" customHeight="true" outlineLevel="0" collapsed="false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  <c r="AH678" s="8"/>
      <c r="AI678" s="8"/>
      <c r="AJ678" s="8"/>
      <c r="AK678" s="8"/>
      <c r="AL678" s="8"/>
      <c r="AM678" s="8"/>
      <c r="AN678" s="8"/>
      <c r="AO678" s="8"/>
      <c r="AP678" s="8"/>
      <c r="AQ678" s="8"/>
      <c r="AR678" s="8"/>
      <c r="AS678" s="8"/>
      <c r="AT678" s="8"/>
      <c r="AU678" s="8"/>
      <c r="AV678" s="8"/>
      <c r="AW678" s="8"/>
    </row>
    <row r="679" customFormat="false" ht="15.75" hidden="false" customHeight="true" outlineLevel="0" collapsed="false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  <c r="AH679" s="8"/>
      <c r="AI679" s="8"/>
      <c r="AJ679" s="8"/>
      <c r="AK679" s="8"/>
      <c r="AL679" s="8"/>
      <c r="AM679" s="8"/>
      <c r="AN679" s="8"/>
      <c r="AO679" s="8"/>
      <c r="AP679" s="8"/>
      <c r="AQ679" s="8"/>
      <c r="AR679" s="8"/>
      <c r="AS679" s="8"/>
      <c r="AT679" s="8"/>
      <c r="AU679" s="8"/>
      <c r="AV679" s="8"/>
      <c r="AW679" s="8"/>
    </row>
    <row r="680" customFormat="false" ht="15.75" hidden="false" customHeight="true" outlineLevel="0" collapsed="false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/>
      <c r="AG680" s="8"/>
      <c r="AH680" s="8"/>
      <c r="AI680" s="8"/>
      <c r="AJ680" s="8"/>
      <c r="AK680" s="8"/>
      <c r="AL680" s="8"/>
      <c r="AM680" s="8"/>
      <c r="AN680" s="8"/>
      <c r="AO680" s="8"/>
      <c r="AP680" s="8"/>
      <c r="AQ680" s="8"/>
      <c r="AR680" s="8"/>
      <c r="AS680" s="8"/>
      <c r="AT680" s="8"/>
      <c r="AU680" s="8"/>
      <c r="AV680" s="8"/>
      <c r="AW680" s="8"/>
    </row>
    <row r="681" customFormat="false" ht="15.75" hidden="false" customHeight="true" outlineLevel="0" collapsed="false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/>
      <c r="AG681" s="8"/>
      <c r="AH681" s="8"/>
      <c r="AI681" s="8"/>
      <c r="AJ681" s="8"/>
      <c r="AK681" s="8"/>
      <c r="AL681" s="8"/>
      <c r="AM681" s="8"/>
      <c r="AN681" s="8"/>
      <c r="AO681" s="8"/>
      <c r="AP681" s="8"/>
      <c r="AQ681" s="8"/>
      <c r="AR681" s="8"/>
      <c r="AS681" s="8"/>
      <c r="AT681" s="8"/>
      <c r="AU681" s="8"/>
      <c r="AV681" s="8"/>
      <c r="AW681" s="8"/>
    </row>
    <row r="682" customFormat="false" ht="15.75" hidden="false" customHeight="true" outlineLevel="0" collapsed="false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/>
      <c r="AG682" s="8"/>
      <c r="AH682" s="8"/>
      <c r="AI682" s="8"/>
      <c r="AJ682" s="8"/>
      <c r="AK682" s="8"/>
      <c r="AL682" s="8"/>
      <c r="AM682" s="8"/>
      <c r="AN682" s="8"/>
      <c r="AO682" s="8"/>
      <c r="AP682" s="8"/>
      <c r="AQ682" s="8"/>
      <c r="AR682" s="8"/>
      <c r="AS682" s="8"/>
      <c r="AT682" s="8"/>
      <c r="AU682" s="8"/>
      <c r="AV682" s="8"/>
      <c r="AW682" s="8"/>
    </row>
    <row r="683" customFormat="false" ht="15.75" hidden="false" customHeight="true" outlineLevel="0" collapsed="false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  <c r="AH683" s="8"/>
      <c r="AI683" s="8"/>
      <c r="AJ683" s="8"/>
      <c r="AK683" s="8"/>
      <c r="AL683" s="8"/>
      <c r="AM683" s="8"/>
      <c r="AN683" s="8"/>
      <c r="AO683" s="8"/>
      <c r="AP683" s="8"/>
      <c r="AQ683" s="8"/>
      <c r="AR683" s="8"/>
      <c r="AS683" s="8"/>
      <c r="AT683" s="8"/>
      <c r="AU683" s="8"/>
      <c r="AV683" s="8"/>
      <c r="AW683" s="8"/>
    </row>
    <row r="684" customFormat="false" ht="15.75" hidden="false" customHeight="true" outlineLevel="0" collapsed="false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  <c r="AH684" s="8"/>
      <c r="AI684" s="8"/>
      <c r="AJ684" s="8"/>
      <c r="AK684" s="8"/>
      <c r="AL684" s="8"/>
      <c r="AM684" s="8"/>
      <c r="AN684" s="8"/>
      <c r="AO684" s="8"/>
      <c r="AP684" s="8"/>
      <c r="AQ684" s="8"/>
      <c r="AR684" s="8"/>
      <c r="AS684" s="8"/>
      <c r="AT684" s="8"/>
      <c r="AU684" s="8"/>
      <c r="AV684" s="8"/>
      <c r="AW684" s="8"/>
    </row>
    <row r="685" customFormat="false" ht="15.75" hidden="false" customHeight="true" outlineLevel="0" collapsed="false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  <c r="AH685" s="8"/>
      <c r="AI685" s="8"/>
      <c r="AJ685" s="8"/>
      <c r="AK685" s="8"/>
      <c r="AL685" s="8"/>
      <c r="AM685" s="8"/>
      <c r="AN685" s="8"/>
      <c r="AO685" s="8"/>
      <c r="AP685" s="8"/>
      <c r="AQ685" s="8"/>
      <c r="AR685" s="8"/>
      <c r="AS685" s="8"/>
      <c r="AT685" s="8"/>
      <c r="AU685" s="8"/>
      <c r="AV685" s="8"/>
      <c r="AW685" s="8"/>
    </row>
    <row r="686" customFormat="false" ht="15.75" hidden="false" customHeight="true" outlineLevel="0" collapsed="false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  <c r="AH686" s="8"/>
      <c r="AI686" s="8"/>
      <c r="AJ686" s="8"/>
      <c r="AK686" s="8"/>
      <c r="AL686" s="8"/>
      <c r="AM686" s="8"/>
      <c r="AN686" s="8"/>
      <c r="AO686" s="8"/>
      <c r="AP686" s="8"/>
      <c r="AQ686" s="8"/>
      <c r="AR686" s="8"/>
      <c r="AS686" s="8"/>
      <c r="AT686" s="8"/>
      <c r="AU686" s="8"/>
      <c r="AV686" s="8"/>
      <c r="AW686" s="8"/>
    </row>
    <row r="687" customFormat="false" ht="15.75" hidden="false" customHeight="true" outlineLevel="0" collapsed="false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  <c r="AH687" s="8"/>
      <c r="AI687" s="8"/>
      <c r="AJ687" s="8"/>
      <c r="AK687" s="8"/>
      <c r="AL687" s="8"/>
      <c r="AM687" s="8"/>
      <c r="AN687" s="8"/>
      <c r="AO687" s="8"/>
      <c r="AP687" s="8"/>
      <c r="AQ687" s="8"/>
      <c r="AR687" s="8"/>
      <c r="AS687" s="8"/>
      <c r="AT687" s="8"/>
      <c r="AU687" s="8"/>
      <c r="AV687" s="8"/>
      <c r="AW687" s="8"/>
    </row>
    <row r="688" customFormat="false" ht="15.75" hidden="false" customHeight="true" outlineLevel="0" collapsed="false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  <c r="AH688" s="8"/>
      <c r="AI688" s="8"/>
      <c r="AJ688" s="8"/>
      <c r="AK688" s="8"/>
      <c r="AL688" s="8"/>
      <c r="AM688" s="8"/>
      <c r="AN688" s="8"/>
      <c r="AO688" s="8"/>
      <c r="AP688" s="8"/>
      <c r="AQ688" s="8"/>
      <c r="AR688" s="8"/>
      <c r="AS688" s="8"/>
      <c r="AT688" s="8"/>
      <c r="AU688" s="8"/>
      <c r="AV688" s="8"/>
      <c r="AW688" s="8"/>
    </row>
    <row r="689" customFormat="false" ht="15.75" hidden="false" customHeight="true" outlineLevel="0" collapsed="false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  <c r="AF689" s="8"/>
      <c r="AG689" s="8"/>
      <c r="AH689" s="8"/>
      <c r="AI689" s="8"/>
      <c r="AJ689" s="8"/>
      <c r="AK689" s="8"/>
      <c r="AL689" s="8"/>
      <c r="AM689" s="8"/>
      <c r="AN689" s="8"/>
      <c r="AO689" s="8"/>
      <c r="AP689" s="8"/>
      <c r="AQ689" s="8"/>
      <c r="AR689" s="8"/>
      <c r="AS689" s="8"/>
      <c r="AT689" s="8"/>
      <c r="AU689" s="8"/>
      <c r="AV689" s="8"/>
      <c r="AW689" s="8"/>
    </row>
    <row r="690" customFormat="false" ht="15.75" hidden="false" customHeight="true" outlineLevel="0" collapsed="false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  <c r="AH690" s="8"/>
      <c r="AI690" s="8"/>
      <c r="AJ690" s="8"/>
      <c r="AK690" s="8"/>
      <c r="AL690" s="8"/>
      <c r="AM690" s="8"/>
      <c r="AN690" s="8"/>
      <c r="AO690" s="8"/>
      <c r="AP690" s="8"/>
      <c r="AQ690" s="8"/>
      <c r="AR690" s="8"/>
      <c r="AS690" s="8"/>
      <c r="AT690" s="8"/>
      <c r="AU690" s="8"/>
      <c r="AV690" s="8"/>
      <c r="AW690" s="8"/>
    </row>
    <row r="691" customFormat="false" ht="15.75" hidden="false" customHeight="true" outlineLevel="0" collapsed="false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  <c r="AH691" s="8"/>
      <c r="AI691" s="8"/>
      <c r="AJ691" s="8"/>
      <c r="AK691" s="8"/>
      <c r="AL691" s="8"/>
      <c r="AM691" s="8"/>
      <c r="AN691" s="8"/>
      <c r="AO691" s="8"/>
      <c r="AP691" s="8"/>
      <c r="AQ691" s="8"/>
      <c r="AR691" s="8"/>
      <c r="AS691" s="8"/>
      <c r="AT691" s="8"/>
      <c r="AU691" s="8"/>
      <c r="AV691" s="8"/>
      <c r="AW691" s="8"/>
    </row>
    <row r="692" customFormat="false" ht="15.75" hidden="false" customHeight="true" outlineLevel="0" collapsed="false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  <c r="AH692" s="8"/>
      <c r="AI692" s="8"/>
      <c r="AJ692" s="8"/>
      <c r="AK692" s="8"/>
      <c r="AL692" s="8"/>
      <c r="AM692" s="8"/>
      <c r="AN692" s="8"/>
      <c r="AO692" s="8"/>
      <c r="AP692" s="8"/>
      <c r="AQ692" s="8"/>
      <c r="AR692" s="8"/>
      <c r="AS692" s="8"/>
      <c r="AT692" s="8"/>
      <c r="AU692" s="8"/>
      <c r="AV692" s="8"/>
      <c r="AW692" s="8"/>
    </row>
    <row r="693" customFormat="false" ht="15.75" hidden="false" customHeight="true" outlineLevel="0" collapsed="false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  <c r="AH693" s="8"/>
      <c r="AI693" s="8"/>
      <c r="AJ693" s="8"/>
      <c r="AK693" s="8"/>
      <c r="AL693" s="8"/>
      <c r="AM693" s="8"/>
      <c r="AN693" s="8"/>
      <c r="AO693" s="8"/>
      <c r="AP693" s="8"/>
      <c r="AQ693" s="8"/>
      <c r="AR693" s="8"/>
      <c r="AS693" s="8"/>
      <c r="AT693" s="8"/>
      <c r="AU693" s="8"/>
      <c r="AV693" s="8"/>
      <c r="AW693" s="8"/>
    </row>
    <row r="694" customFormat="false" ht="15.75" hidden="false" customHeight="true" outlineLevel="0" collapsed="false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  <c r="AH694" s="8"/>
      <c r="AI694" s="8"/>
      <c r="AJ694" s="8"/>
      <c r="AK694" s="8"/>
      <c r="AL694" s="8"/>
      <c r="AM694" s="8"/>
      <c r="AN694" s="8"/>
      <c r="AO694" s="8"/>
      <c r="AP694" s="8"/>
      <c r="AQ694" s="8"/>
      <c r="AR694" s="8"/>
      <c r="AS694" s="8"/>
      <c r="AT694" s="8"/>
      <c r="AU694" s="8"/>
      <c r="AV694" s="8"/>
      <c r="AW694" s="8"/>
    </row>
    <row r="695" customFormat="false" ht="15.75" hidden="false" customHeight="true" outlineLevel="0" collapsed="false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  <c r="AH695" s="8"/>
      <c r="AI695" s="8"/>
      <c r="AJ695" s="8"/>
      <c r="AK695" s="8"/>
      <c r="AL695" s="8"/>
      <c r="AM695" s="8"/>
      <c r="AN695" s="8"/>
      <c r="AO695" s="8"/>
      <c r="AP695" s="8"/>
      <c r="AQ695" s="8"/>
      <c r="AR695" s="8"/>
      <c r="AS695" s="8"/>
      <c r="AT695" s="8"/>
      <c r="AU695" s="8"/>
      <c r="AV695" s="8"/>
      <c r="AW695" s="8"/>
    </row>
    <row r="696" customFormat="false" ht="15.75" hidden="false" customHeight="true" outlineLevel="0" collapsed="false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  <c r="AH696" s="8"/>
      <c r="AI696" s="8"/>
      <c r="AJ696" s="8"/>
      <c r="AK696" s="8"/>
      <c r="AL696" s="8"/>
      <c r="AM696" s="8"/>
      <c r="AN696" s="8"/>
      <c r="AO696" s="8"/>
      <c r="AP696" s="8"/>
      <c r="AQ696" s="8"/>
      <c r="AR696" s="8"/>
      <c r="AS696" s="8"/>
      <c r="AT696" s="8"/>
      <c r="AU696" s="8"/>
      <c r="AV696" s="8"/>
      <c r="AW696" s="8"/>
    </row>
    <row r="697" customFormat="false" ht="15.75" hidden="false" customHeight="true" outlineLevel="0" collapsed="false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  <c r="AH697" s="8"/>
      <c r="AI697" s="8"/>
      <c r="AJ697" s="8"/>
      <c r="AK697" s="8"/>
      <c r="AL697" s="8"/>
      <c r="AM697" s="8"/>
      <c r="AN697" s="8"/>
      <c r="AO697" s="8"/>
      <c r="AP697" s="8"/>
      <c r="AQ697" s="8"/>
      <c r="AR697" s="8"/>
      <c r="AS697" s="8"/>
      <c r="AT697" s="8"/>
      <c r="AU697" s="8"/>
      <c r="AV697" s="8"/>
      <c r="AW697" s="8"/>
    </row>
    <row r="698" customFormat="false" ht="15.75" hidden="false" customHeight="true" outlineLevel="0" collapsed="false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  <c r="AG698" s="8"/>
      <c r="AH698" s="8"/>
      <c r="AI698" s="8"/>
      <c r="AJ698" s="8"/>
      <c r="AK698" s="8"/>
      <c r="AL698" s="8"/>
      <c r="AM698" s="8"/>
      <c r="AN698" s="8"/>
      <c r="AO698" s="8"/>
      <c r="AP698" s="8"/>
      <c r="AQ698" s="8"/>
      <c r="AR698" s="8"/>
      <c r="AS698" s="8"/>
      <c r="AT698" s="8"/>
      <c r="AU698" s="8"/>
      <c r="AV698" s="8"/>
      <c r="AW698" s="8"/>
    </row>
    <row r="699" customFormat="false" ht="15.75" hidden="false" customHeight="true" outlineLevel="0" collapsed="false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/>
      <c r="AG699" s="8"/>
      <c r="AH699" s="8"/>
      <c r="AI699" s="8"/>
      <c r="AJ699" s="8"/>
      <c r="AK699" s="8"/>
      <c r="AL699" s="8"/>
      <c r="AM699" s="8"/>
      <c r="AN699" s="8"/>
      <c r="AO699" s="8"/>
      <c r="AP699" s="8"/>
      <c r="AQ699" s="8"/>
      <c r="AR699" s="8"/>
      <c r="AS699" s="8"/>
      <c r="AT699" s="8"/>
      <c r="AU699" s="8"/>
      <c r="AV699" s="8"/>
      <c r="AW699" s="8"/>
    </row>
    <row r="700" customFormat="false" ht="15.75" hidden="false" customHeight="true" outlineLevel="0" collapsed="false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  <c r="AH700" s="8"/>
      <c r="AI700" s="8"/>
      <c r="AJ700" s="8"/>
      <c r="AK700" s="8"/>
      <c r="AL700" s="8"/>
      <c r="AM700" s="8"/>
      <c r="AN700" s="8"/>
      <c r="AO700" s="8"/>
      <c r="AP700" s="8"/>
      <c r="AQ700" s="8"/>
      <c r="AR700" s="8"/>
      <c r="AS700" s="8"/>
      <c r="AT700" s="8"/>
      <c r="AU700" s="8"/>
      <c r="AV700" s="8"/>
      <c r="AW700" s="8"/>
    </row>
    <row r="701" customFormat="false" ht="15.75" hidden="false" customHeight="true" outlineLevel="0" collapsed="false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  <c r="AG701" s="8"/>
      <c r="AH701" s="8"/>
      <c r="AI701" s="8"/>
      <c r="AJ701" s="8"/>
      <c r="AK701" s="8"/>
      <c r="AL701" s="8"/>
      <c r="AM701" s="8"/>
      <c r="AN701" s="8"/>
      <c r="AO701" s="8"/>
      <c r="AP701" s="8"/>
      <c r="AQ701" s="8"/>
      <c r="AR701" s="8"/>
      <c r="AS701" s="8"/>
      <c r="AT701" s="8"/>
      <c r="AU701" s="8"/>
      <c r="AV701" s="8"/>
      <c r="AW701" s="8"/>
    </row>
    <row r="702" customFormat="false" ht="15.75" hidden="false" customHeight="true" outlineLevel="0" collapsed="false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  <c r="AG702" s="8"/>
      <c r="AH702" s="8"/>
      <c r="AI702" s="8"/>
      <c r="AJ702" s="8"/>
      <c r="AK702" s="8"/>
      <c r="AL702" s="8"/>
      <c r="AM702" s="8"/>
      <c r="AN702" s="8"/>
      <c r="AO702" s="8"/>
      <c r="AP702" s="8"/>
      <c r="AQ702" s="8"/>
      <c r="AR702" s="8"/>
      <c r="AS702" s="8"/>
      <c r="AT702" s="8"/>
      <c r="AU702" s="8"/>
      <c r="AV702" s="8"/>
      <c r="AW702" s="8"/>
    </row>
    <row r="703" customFormat="false" ht="15.75" hidden="false" customHeight="true" outlineLevel="0" collapsed="false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  <c r="AH703" s="8"/>
      <c r="AI703" s="8"/>
      <c r="AJ703" s="8"/>
      <c r="AK703" s="8"/>
      <c r="AL703" s="8"/>
      <c r="AM703" s="8"/>
      <c r="AN703" s="8"/>
      <c r="AO703" s="8"/>
      <c r="AP703" s="8"/>
      <c r="AQ703" s="8"/>
      <c r="AR703" s="8"/>
      <c r="AS703" s="8"/>
      <c r="AT703" s="8"/>
      <c r="AU703" s="8"/>
      <c r="AV703" s="8"/>
      <c r="AW703" s="8"/>
    </row>
    <row r="704" customFormat="false" ht="15.75" hidden="false" customHeight="true" outlineLevel="0" collapsed="false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  <c r="AH704" s="8"/>
      <c r="AI704" s="8"/>
      <c r="AJ704" s="8"/>
      <c r="AK704" s="8"/>
      <c r="AL704" s="8"/>
      <c r="AM704" s="8"/>
      <c r="AN704" s="8"/>
      <c r="AO704" s="8"/>
      <c r="AP704" s="8"/>
      <c r="AQ704" s="8"/>
      <c r="AR704" s="8"/>
      <c r="AS704" s="8"/>
      <c r="AT704" s="8"/>
      <c r="AU704" s="8"/>
      <c r="AV704" s="8"/>
      <c r="AW704" s="8"/>
    </row>
    <row r="705" customFormat="false" ht="15.75" hidden="false" customHeight="true" outlineLevel="0" collapsed="false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  <c r="AG705" s="8"/>
      <c r="AH705" s="8"/>
      <c r="AI705" s="8"/>
      <c r="AJ705" s="8"/>
      <c r="AK705" s="8"/>
      <c r="AL705" s="8"/>
      <c r="AM705" s="8"/>
      <c r="AN705" s="8"/>
      <c r="AO705" s="8"/>
      <c r="AP705" s="8"/>
      <c r="AQ705" s="8"/>
      <c r="AR705" s="8"/>
      <c r="AS705" s="8"/>
      <c r="AT705" s="8"/>
      <c r="AU705" s="8"/>
      <c r="AV705" s="8"/>
      <c r="AW705" s="8"/>
    </row>
    <row r="706" customFormat="false" ht="15.75" hidden="false" customHeight="true" outlineLevel="0" collapsed="false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/>
      <c r="AG706" s="8"/>
      <c r="AH706" s="8"/>
      <c r="AI706" s="8"/>
      <c r="AJ706" s="8"/>
      <c r="AK706" s="8"/>
      <c r="AL706" s="8"/>
      <c r="AM706" s="8"/>
      <c r="AN706" s="8"/>
      <c r="AO706" s="8"/>
      <c r="AP706" s="8"/>
      <c r="AQ706" s="8"/>
      <c r="AR706" s="8"/>
      <c r="AS706" s="8"/>
      <c r="AT706" s="8"/>
      <c r="AU706" s="8"/>
      <c r="AV706" s="8"/>
      <c r="AW706" s="8"/>
    </row>
    <row r="707" customFormat="false" ht="15.75" hidden="false" customHeight="true" outlineLevel="0" collapsed="false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  <c r="AH707" s="8"/>
      <c r="AI707" s="8"/>
      <c r="AJ707" s="8"/>
      <c r="AK707" s="8"/>
      <c r="AL707" s="8"/>
      <c r="AM707" s="8"/>
      <c r="AN707" s="8"/>
      <c r="AO707" s="8"/>
      <c r="AP707" s="8"/>
      <c r="AQ707" s="8"/>
      <c r="AR707" s="8"/>
      <c r="AS707" s="8"/>
      <c r="AT707" s="8"/>
      <c r="AU707" s="8"/>
      <c r="AV707" s="8"/>
      <c r="AW707" s="8"/>
    </row>
    <row r="708" customFormat="false" ht="15.75" hidden="false" customHeight="true" outlineLevel="0" collapsed="false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/>
      <c r="AG708" s="8"/>
      <c r="AH708" s="8"/>
      <c r="AI708" s="8"/>
      <c r="AJ708" s="8"/>
      <c r="AK708" s="8"/>
      <c r="AL708" s="8"/>
      <c r="AM708" s="8"/>
      <c r="AN708" s="8"/>
      <c r="AO708" s="8"/>
      <c r="AP708" s="8"/>
      <c r="AQ708" s="8"/>
      <c r="AR708" s="8"/>
      <c r="AS708" s="8"/>
      <c r="AT708" s="8"/>
      <c r="AU708" s="8"/>
      <c r="AV708" s="8"/>
      <c r="AW708" s="8"/>
    </row>
    <row r="709" customFormat="false" ht="15.75" hidden="false" customHeight="true" outlineLevel="0" collapsed="false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  <c r="AH709" s="8"/>
      <c r="AI709" s="8"/>
      <c r="AJ709" s="8"/>
      <c r="AK709" s="8"/>
      <c r="AL709" s="8"/>
      <c r="AM709" s="8"/>
      <c r="AN709" s="8"/>
      <c r="AO709" s="8"/>
      <c r="AP709" s="8"/>
      <c r="AQ709" s="8"/>
      <c r="AR709" s="8"/>
      <c r="AS709" s="8"/>
      <c r="AT709" s="8"/>
      <c r="AU709" s="8"/>
      <c r="AV709" s="8"/>
      <c r="AW709" s="8"/>
    </row>
    <row r="710" customFormat="false" ht="15.75" hidden="false" customHeight="true" outlineLevel="0" collapsed="false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  <c r="AH710" s="8"/>
      <c r="AI710" s="8"/>
      <c r="AJ710" s="8"/>
      <c r="AK710" s="8"/>
      <c r="AL710" s="8"/>
      <c r="AM710" s="8"/>
      <c r="AN710" s="8"/>
      <c r="AO710" s="8"/>
      <c r="AP710" s="8"/>
      <c r="AQ710" s="8"/>
      <c r="AR710" s="8"/>
      <c r="AS710" s="8"/>
      <c r="AT710" s="8"/>
      <c r="AU710" s="8"/>
      <c r="AV710" s="8"/>
      <c r="AW710" s="8"/>
    </row>
    <row r="711" customFormat="false" ht="15.75" hidden="false" customHeight="true" outlineLevel="0" collapsed="false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  <c r="AG711" s="8"/>
      <c r="AH711" s="8"/>
      <c r="AI711" s="8"/>
      <c r="AJ711" s="8"/>
      <c r="AK711" s="8"/>
      <c r="AL711" s="8"/>
      <c r="AM711" s="8"/>
      <c r="AN711" s="8"/>
      <c r="AO711" s="8"/>
      <c r="AP711" s="8"/>
      <c r="AQ711" s="8"/>
      <c r="AR711" s="8"/>
      <c r="AS711" s="8"/>
      <c r="AT711" s="8"/>
      <c r="AU711" s="8"/>
      <c r="AV711" s="8"/>
      <c r="AW711" s="8"/>
    </row>
    <row r="712" customFormat="false" ht="15.75" hidden="false" customHeight="true" outlineLevel="0" collapsed="false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  <c r="AG712" s="8"/>
      <c r="AH712" s="8"/>
      <c r="AI712" s="8"/>
      <c r="AJ712" s="8"/>
      <c r="AK712" s="8"/>
      <c r="AL712" s="8"/>
      <c r="AM712" s="8"/>
      <c r="AN712" s="8"/>
      <c r="AO712" s="8"/>
      <c r="AP712" s="8"/>
      <c r="AQ712" s="8"/>
      <c r="AR712" s="8"/>
      <c r="AS712" s="8"/>
      <c r="AT712" s="8"/>
      <c r="AU712" s="8"/>
      <c r="AV712" s="8"/>
      <c r="AW712" s="8"/>
    </row>
    <row r="713" customFormat="false" ht="15.75" hidden="false" customHeight="true" outlineLevel="0" collapsed="false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/>
      <c r="AG713" s="8"/>
      <c r="AH713" s="8"/>
      <c r="AI713" s="8"/>
      <c r="AJ713" s="8"/>
      <c r="AK713" s="8"/>
      <c r="AL713" s="8"/>
      <c r="AM713" s="8"/>
      <c r="AN713" s="8"/>
      <c r="AO713" s="8"/>
      <c r="AP713" s="8"/>
      <c r="AQ713" s="8"/>
      <c r="AR713" s="8"/>
      <c r="AS713" s="8"/>
      <c r="AT713" s="8"/>
      <c r="AU713" s="8"/>
      <c r="AV713" s="8"/>
      <c r="AW713" s="8"/>
    </row>
    <row r="714" customFormat="false" ht="15.75" hidden="false" customHeight="true" outlineLevel="0" collapsed="false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  <c r="AH714" s="8"/>
      <c r="AI714" s="8"/>
      <c r="AJ714" s="8"/>
      <c r="AK714" s="8"/>
      <c r="AL714" s="8"/>
      <c r="AM714" s="8"/>
      <c r="AN714" s="8"/>
      <c r="AO714" s="8"/>
      <c r="AP714" s="8"/>
      <c r="AQ714" s="8"/>
      <c r="AR714" s="8"/>
      <c r="AS714" s="8"/>
      <c r="AT714" s="8"/>
      <c r="AU714" s="8"/>
      <c r="AV714" s="8"/>
      <c r="AW714" s="8"/>
    </row>
    <row r="715" customFormat="false" ht="15.75" hidden="false" customHeight="true" outlineLevel="0" collapsed="false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  <c r="AG715" s="8"/>
      <c r="AH715" s="8"/>
      <c r="AI715" s="8"/>
      <c r="AJ715" s="8"/>
      <c r="AK715" s="8"/>
      <c r="AL715" s="8"/>
      <c r="AM715" s="8"/>
      <c r="AN715" s="8"/>
      <c r="AO715" s="8"/>
      <c r="AP715" s="8"/>
      <c r="AQ715" s="8"/>
      <c r="AR715" s="8"/>
      <c r="AS715" s="8"/>
      <c r="AT715" s="8"/>
      <c r="AU715" s="8"/>
      <c r="AV715" s="8"/>
      <c r="AW715" s="8"/>
    </row>
    <row r="716" customFormat="false" ht="15.75" hidden="false" customHeight="true" outlineLevel="0" collapsed="false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  <c r="AG716" s="8"/>
      <c r="AH716" s="8"/>
      <c r="AI716" s="8"/>
      <c r="AJ716" s="8"/>
      <c r="AK716" s="8"/>
      <c r="AL716" s="8"/>
      <c r="AM716" s="8"/>
      <c r="AN716" s="8"/>
      <c r="AO716" s="8"/>
      <c r="AP716" s="8"/>
      <c r="AQ716" s="8"/>
      <c r="AR716" s="8"/>
      <c r="AS716" s="8"/>
      <c r="AT716" s="8"/>
      <c r="AU716" s="8"/>
      <c r="AV716" s="8"/>
      <c r="AW716" s="8"/>
    </row>
    <row r="717" customFormat="false" ht="15.75" hidden="false" customHeight="true" outlineLevel="0" collapsed="false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  <c r="AH717" s="8"/>
      <c r="AI717" s="8"/>
      <c r="AJ717" s="8"/>
      <c r="AK717" s="8"/>
      <c r="AL717" s="8"/>
      <c r="AM717" s="8"/>
      <c r="AN717" s="8"/>
      <c r="AO717" s="8"/>
      <c r="AP717" s="8"/>
      <c r="AQ717" s="8"/>
      <c r="AR717" s="8"/>
      <c r="AS717" s="8"/>
      <c r="AT717" s="8"/>
      <c r="AU717" s="8"/>
      <c r="AV717" s="8"/>
      <c r="AW717" s="8"/>
    </row>
    <row r="718" customFormat="false" ht="15.75" hidden="false" customHeight="true" outlineLevel="0" collapsed="false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  <c r="AG718" s="8"/>
      <c r="AH718" s="8"/>
      <c r="AI718" s="8"/>
      <c r="AJ718" s="8"/>
      <c r="AK718" s="8"/>
      <c r="AL718" s="8"/>
      <c r="AM718" s="8"/>
      <c r="AN718" s="8"/>
      <c r="AO718" s="8"/>
      <c r="AP718" s="8"/>
      <c r="AQ718" s="8"/>
      <c r="AR718" s="8"/>
      <c r="AS718" s="8"/>
      <c r="AT718" s="8"/>
      <c r="AU718" s="8"/>
      <c r="AV718" s="8"/>
      <c r="AW718" s="8"/>
    </row>
    <row r="719" customFormat="false" ht="15.75" hidden="false" customHeight="true" outlineLevel="0" collapsed="false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  <c r="AH719" s="8"/>
      <c r="AI719" s="8"/>
      <c r="AJ719" s="8"/>
      <c r="AK719" s="8"/>
      <c r="AL719" s="8"/>
      <c r="AM719" s="8"/>
      <c r="AN719" s="8"/>
      <c r="AO719" s="8"/>
      <c r="AP719" s="8"/>
      <c r="AQ719" s="8"/>
      <c r="AR719" s="8"/>
      <c r="AS719" s="8"/>
      <c r="AT719" s="8"/>
      <c r="AU719" s="8"/>
      <c r="AV719" s="8"/>
      <c r="AW719" s="8"/>
    </row>
    <row r="720" customFormat="false" ht="15.75" hidden="false" customHeight="true" outlineLevel="0" collapsed="false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  <c r="AG720" s="8"/>
      <c r="AH720" s="8"/>
      <c r="AI720" s="8"/>
      <c r="AJ720" s="8"/>
      <c r="AK720" s="8"/>
      <c r="AL720" s="8"/>
      <c r="AM720" s="8"/>
      <c r="AN720" s="8"/>
      <c r="AO720" s="8"/>
      <c r="AP720" s="8"/>
      <c r="AQ720" s="8"/>
      <c r="AR720" s="8"/>
      <c r="AS720" s="8"/>
      <c r="AT720" s="8"/>
      <c r="AU720" s="8"/>
      <c r="AV720" s="8"/>
      <c r="AW720" s="8"/>
    </row>
    <row r="721" customFormat="false" ht="15.75" hidden="false" customHeight="true" outlineLevel="0" collapsed="false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  <c r="AG721" s="8"/>
      <c r="AH721" s="8"/>
      <c r="AI721" s="8"/>
      <c r="AJ721" s="8"/>
      <c r="AK721" s="8"/>
      <c r="AL721" s="8"/>
      <c r="AM721" s="8"/>
      <c r="AN721" s="8"/>
      <c r="AO721" s="8"/>
      <c r="AP721" s="8"/>
      <c r="AQ721" s="8"/>
      <c r="AR721" s="8"/>
      <c r="AS721" s="8"/>
      <c r="AT721" s="8"/>
      <c r="AU721" s="8"/>
      <c r="AV721" s="8"/>
      <c r="AW721" s="8"/>
    </row>
    <row r="722" customFormat="false" ht="15.75" hidden="false" customHeight="true" outlineLevel="0" collapsed="false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  <c r="AG722" s="8"/>
      <c r="AH722" s="8"/>
      <c r="AI722" s="8"/>
      <c r="AJ722" s="8"/>
      <c r="AK722" s="8"/>
      <c r="AL722" s="8"/>
      <c r="AM722" s="8"/>
      <c r="AN722" s="8"/>
      <c r="AO722" s="8"/>
      <c r="AP722" s="8"/>
      <c r="AQ722" s="8"/>
      <c r="AR722" s="8"/>
      <c r="AS722" s="8"/>
      <c r="AT722" s="8"/>
      <c r="AU722" s="8"/>
      <c r="AV722" s="8"/>
      <c r="AW722" s="8"/>
    </row>
    <row r="723" customFormat="false" ht="15.75" hidden="false" customHeight="true" outlineLevel="0" collapsed="false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  <c r="AG723" s="8"/>
      <c r="AH723" s="8"/>
      <c r="AI723" s="8"/>
      <c r="AJ723" s="8"/>
      <c r="AK723" s="8"/>
      <c r="AL723" s="8"/>
      <c r="AM723" s="8"/>
      <c r="AN723" s="8"/>
      <c r="AO723" s="8"/>
      <c r="AP723" s="8"/>
      <c r="AQ723" s="8"/>
      <c r="AR723" s="8"/>
      <c r="AS723" s="8"/>
      <c r="AT723" s="8"/>
      <c r="AU723" s="8"/>
      <c r="AV723" s="8"/>
      <c r="AW723" s="8"/>
    </row>
    <row r="724" customFormat="false" ht="15.75" hidden="false" customHeight="true" outlineLevel="0" collapsed="false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  <c r="AG724" s="8"/>
      <c r="AH724" s="8"/>
      <c r="AI724" s="8"/>
      <c r="AJ724" s="8"/>
      <c r="AK724" s="8"/>
      <c r="AL724" s="8"/>
      <c r="AM724" s="8"/>
      <c r="AN724" s="8"/>
      <c r="AO724" s="8"/>
      <c r="AP724" s="8"/>
      <c r="AQ724" s="8"/>
      <c r="AR724" s="8"/>
      <c r="AS724" s="8"/>
      <c r="AT724" s="8"/>
      <c r="AU724" s="8"/>
      <c r="AV724" s="8"/>
      <c r="AW724" s="8"/>
    </row>
    <row r="725" customFormat="false" ht="15.75" hidden="false" customHeight="true" outlineLevel="0" collapsed="false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/>
      <c r="AG725" s="8"/>
      <c r="AH725" s="8"/>
      <c r="AI725" s="8"/>
      <c r="AJ725" s="8"/>
      <c r="AK725" s="8"/>
      <c r="AL725" s="8"/>
      <c r="AM725" s="8"/>
      <c r="AN725" s="8"/>
      <c r="AO725" s="8"/>
      <c r="AP725" s="8"/>
      <c r="AQ725" s="8"/>
      <c r="AR725" s="8"/>
      <c r="AS725" s="8"/>
      <c r="AT725" s="8"/>
      <c r="AU725" s="8"/>
      <c r="AV725" s="8"/>
      <c r="AW725" s="8"/>
    </row>
    <row r="726" customFormat="false" ht="15.75" hidden="false" customHeight="true" outlineLevel="0" collapsed="false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/>
      <c r="AG726" s="8"/>
      <c r="AH726" s="8"/>
      <c r="AI726" s="8"/>
      <c r="AJ726" s="8"/>
      <c r="AK726" s="8"/>
      <c r="AL726" s="8"/>
      <c r="AM726" s="8"/>
      <c r="AN726" s="8"/>
      <c r="AO726" s="8"/>
      <c r="AP726" s="8"/>
      <c r="AQ726" s="8"/>
      <c r="AR726" s="8"/>
      <c r="AS726" s="8"/>
      <c r="AT726" s="8"/>
      <c r="AU726" s="8"/>
      <c r="AV726" s="8"/>
      <c r="AW726" s="8"/>
    </row>
    <row r="727" customFormat="false" ht="15.75" hidden="false" customHeight="true" outlineLevel="0" collapsed="false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  <c r="AG727" s="8"/>
      <c r="AH727" s="8"/>
      <c r="AI727" s="8"/>
      <c r="AJ727" s="8"/>
      <c r="AK727" s="8"/>
      <c r="AL727" s="8"/>
      <c r="AM727" s="8"/>
      <c r="AN727" s="8"/>
      <c r="AO727" s="8"/>
      <c r="AP727" s="8"/>
      <c r="AQ727" s="8"/>
      <c r="AR727" s="8"/>
      <c r="AS727" s="8"/>
      <c r="AT727" s="8"/>
      <c r="AU727" s="8"/>
      <c r="AV727" s="8"/>
      <c r="AW727" s="8"/>
    </row>
    <row r="728" customFormat="false" ht="15.75" hidden="false" customHeight="true" outlineLevel="0" collapsed="false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  <c r="AG728" s="8"/>
      <c r="AH728" s="8"/>
      <c r="AI728" s="8"/>
      <c r="AJ728" s="8"/>
      <c r="AK728" s="8"/>
      <c r="AL728" s="8"/>
      <c r="AM728" s="8"/>
      <c r="AN728" s="8"/>
      <c r="AO728" s="8"/>
      <c r="AP728" s="8"/>
      <c r="AQ728" s="8"/>
      <c r="AR728" s="8"/>
      <c r="AS728" s="8"/>
      <c r="AT728" s="8"/>
      <c r="AU728" s="8"/>
      <c r="AV728" s="8"/>
      <c r="AW728" s="8"/>
    </row>
    <row r="729" customFormat="false" ht="15.75" hidden="false" customHeight="true" outlineLevel="0" collapsed="false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/>
      <c r="AG729" s="8"/>
      <c r="AH729" s="8"/>
      <c r="AI729" s="8"/>
      <c r="AJ729" s="8"/>
      <c r="AK729" s="8"/>
      <c r="AL729" s="8"/>
      <c r="AM729" s="8"/>
      <c r="AN729" s="8"/>
      <c r="AO729" s="8"/>
      <c r="AP729" s="8"/>
      <c r="AQ729" s="8"/>
      <c r="AR729" s="8"/>
      <c r="AS729" s="8"/>
      <c r="AT729" s="8"/>
      <c r="AU729" s="8"/>
      <c r="AV729" s="8"/>
      <c r="AW729" s="8"/>
    </row>
    <row r="730" customFormat="false" ht="15.75" hidden="false" customHeight="true" outlineLevel="0" collapsed="false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  <c r="AH730" s="8"/>
      <c r="AI730" s="8"/>
      <c r="AJ730" s="8"/>
      <c r="AK730" s="8"/>
      <c r="AL730" s="8"/>
      <c r="AM730" s="8"/>
      <c r="AN730" s="8"/>
      <c r="AO730" s="8"/>
      <c r="AP730" s="8"/>
      <c r="AQ730" s="8"/>
      <c r="AR730" s="8"/>
      <c r="AS730" s="8"/>
      <c r="AT730" s="8"/>
      <c r="AU730" s="8"/>
      <c r="AV730" s="8"/>
      <c r="AW730" s="8"/>
    </row>
    <row r="731" customFormat="false" ht="15.75" hidden="false" customHeight="true" outlineLevel="0" collapsed="false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  <c r="AG731" s="8"/>
      <c r="AH731" s="8"/>
      <c r="AI731" s="8"/>
      <c r="AJ731" s="8"/>
      <c r="AK731" s="8"/>
      <c r="AL731" s="8"/>
      <c r="AM731" s="8"/>
      <c r="AN731" s="8"/>
      <c r="AO731" s="8"/>
      <c r="AP731" s="8"/>
      <c r="AQ731" s="8"/>
      <c r="AR731" s="8"/>
      <c r="AS731" s="8"/>
      <c r="AT731" s="8"/>
      <c r="AU731" s="8"/>
      <c r="AV731" s="8"/>
      <c r="AW731" s="8"/>
    </row>
    <row r="732" customFormat="false" ht="15.75" hidden="false" customHeight="true" outlineLevel="0" collapsed="false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  <c r="AG732" s="8"/>
      <c r="AH732" s="8"/>
      <c r="AI732" s="8"/>
      <c r="AJ732" s="8"/>
      <c r="AK732" s="8"/>
      <c r="AL732" s="8"/>
      <c r="AM732" s="8"/>
      <c r="AN732" s="8"/>
      <c r="AO732" s="8"/>
      <c r="AP732" s="8"/>
      <c r="AQ732" s="8"/>
      <c r="AR732" s="8"/>
      <c r="AS732" s="8"/>
      <c r="AT732" s="8"/>
      <c r="AU732" s="8"/>
      <c r="AV732" s="8"/>
      <c r="AW732" s="8"/>
    </row>
    <row r="733" customFormat="false" ht="15.75" hidden="false" customHeight="true" outlineLevel="0" collapsed="false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  <c r="AG733" s="8"/>
      <c r="AH733" s="8"/>
      <c r="AI733" s="8"/>
      <c r="AJ733" s="8"/>
      <c r="AK733" s="8"/>
      <c r="AL733" s="8"/>
      <c r="AM733" s="8"/>
      <c r="AN733" s="8"/>
      <c r="AO733" s="8"/>
      <c r="AP733" s="8"/>
      <c r="AQ733" s="8"/>
      <c r="AR733" s="8"/>
      <c r="AS733" s="8"/>
      <c r="AT733" s="8"/>
      <c r="AU733" s="8"/>
      <c r="AV733" s="8"/>
      <c r="AW733" s="8"/>
    </row>
    <row r="734" customFormat="false" ht="15.75" hidden="false" customHeight="true" outlineLevel="0" collapsed="false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  <c r="AH734" s="8"/>
      <c r="AI734" s="8"/>
      <c r="AJ734" s="8"/>
      <c r="AK734" s="8"/>
      <c r="AL734" s="8"/>
      <c r="AM734" s="8"/>
      <c r="AN734" s="8"/>
      <c r="AO734" s="8"/>
      <c r="AP734" s="8"/>
      <c r="AQ734" s="8"/>
      <c r="AR734" s="8"/>
      <c r="AS734" s="8"/>
      <c r="AT734" s="8"/>
      <c r="AU734" s="8"/>
      <c r="AV734" s="8"/>
      <c r="AW734" s="8"/>
    </row>
    <row r="735" customFormat="false" ht="15.75" hidden="false" customHeight="true" outlineLevel="0" collapsed="false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  <c r="AG735" s="8"/>
      <c r="AH735" s="8"/>
      <c r="AI735" s="8"/>
      <c r="AJ735" s="8"/>
      <c r="AK735" s="8"/>
      <c r="AL735" s="8"/>
      <c r="AM735" s="8"/>
      <c r="AN735" s="8"/>
      <c r="AO735" s="8"/>
      <c r="AP735" s="8"/>
      <c r="AQ735" s="8"/>
      <c r="AR735" s="8"/>
      <c r="AS735" s="8"/>
      <c r="AT735" s="8"/>
      <c r="AU735" s="8"/>
      <c r="AV735" s="8"/>
      <c r="AW735" s="8"/>
    </row>
    <row r="736" customFormat="false" ht="15.75" hidden="false" customHeight="true" outlineLevel="0" collapsed="false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  <c r="AG736" s="8"/>
      <c r="AH736" s="8"/>
      <c r="AI736" s="8"/>
      <c r="AJ736" s="8"/>
      <c r="AK736" s="8"/>
      <c r="AL736" s="8"/>
      <c r="AM736" s="8"/>
      <c r="AN736" s="8"/>
      <c r="AO736" s="8"/>
      <c r="AP736" s="8"/>
      <c r="AQ736" s="8"/>
      <c r="AR736" s="8"/>
      <c r="AS736" s="8"/>
      <c r="AT736" s="8"/>
      <c r="AU736" s="8"/>
      <c r="AV736" s="8"/>
      <c r="AW736" s="8"/>
    </row>
    <row r="737" customFormat="false" ht="15.75" hidden="false" customHeight="true" outlineLevel="0" collapsed="false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  <c r="AH737" s="8"/>
      <c r="AI737" s="8"/>
      <c r="AJ737" s="8"/>
      <c r="AK737" s="8"/>
      <c r="AL737" s="8"/>
      <c r="AM737" s="8"/>
      <c r="AN737" s="8"/>
      <c r="AO737" s="8"/>
      <c r="AP737" s="8"/>
      <c r="AQ737" s="8"/>
      <c r="AR737" s="8"/>
      <c r="AS737" s="8"/>
      <c r="AT737" s="8"/>
      <c r="AU737" s="8"/>
      <c r="AV737" s="8"/>
      <c r="AW737" s="8"/>
    </row>
    <row r="738" customFormat="false" ht="15.75" hidden="false" customHeight="true" outlineLevel="0" collapsed="false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  <c r="AH738" s="8"/>
      <c r="AI738" s="8"/>
      <c r="AJ738" s="8"/>
      <c r="AK738" s="8"/>
      <c r="AL738" s="8"/>
      <c r="AM738" s="8"/>
      <c r="AN738" s="8"/>
      <c r="AO738" s="8"/>
      <c r="AP738" s="8"/>
      <c r="AQ738" s="8"/>
      <c r="AR738" s="8"/>
      <c r="AS738" s="8"/>
      <c r="AT738" s="8"/>
      <c r="AU738" s="8"/>
      <c r="AV738" s="8"/>
      <c r="AW738" s="8"/>
    </row>
    <row r="739" customFormat="false" ht="15.75" hidden="false" customHeight="true" outlineLevel="0" collapsed="false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  <c r="AH739" s="8"/>
      <c r="AI739" s="8"/>
      <c r="AJ739" s="8"/>
      <c r="AK739" s="8"/>
      <c r="AL739" s="8"/>
      <c r="AM739" s="8"/>
      <c r="AN739" s="8"/>
      <c r="AO739" s="8"/>
      <c r="AP739" s="8"/>
      <c r="AQ739" s="8"/>
      <c r="AR739" s="8"/>
      <c r="AS739" s="8"/>
      <c r="AT739" s="8"/>
      <c r="AU739" s="8"/>
      <c r="AV739" s="8"/>
      <c r="AW739" s="8"/>
    </row>
    <row r="740" customFormat="false" ht="15.75" hidden="false" customHeight="true" outlineLevel="0" collapsed="false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  <c r="AG740" s="8"/>
      <c r="AH740" s="8"/>
      <c r="AI740" s="8"/>
      <c r="AJ740" s="8"/>
      <c r="AK740" s="8"/>
      <c r="AL740" s="8"/>
      <c r="AM740" s="8"/>
      <c r="AN740" s="8"/>
      <c r="AO740" s="8"/>
      <c r="AP740" s="8"/>
      <c r="AQ740" s="8"/>
      <c r="AR740" s="8"/>
      <c r="AS740" s="8"/>
      <c r="AT740" s="8"/>
      <c r="AU740" s="8"/>
      <c r="AV740" s="8"/>
      <c r="AW740" s="8"/>
    </row>
    <row r="741" customFormat="false" ht="15.75" hidden="false" customHeight="true" outlineLevel="0" collapsed="false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  <c r="AH741" s="8"/>
      <c r="AI741" s="8"/>
      <c r="AJ741" s="8"/>
      <c r="AK741" s="8"/>
      <c r="AL741" s="8"/>
      <c r="AM741" s="8"/>
      <c r="AN741" s="8"/>
      <c r="AO741" s="8"/>
      <c r="AP741" s="8"/>
      <c r="AQ741" s="8"/>
      <c r="AR741" s="8"/>
      <c r="AS741" s="8"/>
      <c r="AT741" s="8"/>
      <c r="AU741" s="8"/>
      <c r="AV741" s="8"/>
      <c r="AW741" s="8"/>
    </row>
    <row r="742" customFormat="false" ht="15.75" hidden="false" customHeight="true" outlineLevel="0" collapsed="false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  <c r="AG742" s="8"/>
      <c r="AH742" s="8"/>
      <c r="AI742" s="8"/>
      <c r="AJ742" s="8"/>
      <c r="AK742" s="8"/>
      <c r="AL742" s="8"/>
      <c r="AM742" s="8"/>
      <c r="AN742" s="8"/>
      <c r="AO742" s="8"/>
      <c r="AP742" s="8"/>
      <c r="AQ742" s="8"/>
      <c r="AR742" s="8"/>
      <c r="AS742" s="8"/>
      <c r="AT742" s="8"/>
      <c r="AU742" s="8"/>
      <c r="AV742" s="8"/>
      <c r="AW742" s="8"/>
    </row>
    <row r="743" customFormat="false" ht="15.75" hidden="false" customHeight="true" outlineLevel="0" collapsed="false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  <c r="AH743" s="8"/>
      <c r="AI743" s="8"/>
      <c r="AJ743" s="8"/>
      <c r="AK743" s="8"/>
      <c r="AL743" s="8"/>
      <c r="AM743" s="8"/>
      <c r="AN743" s="8"/>
      <c r="AO743" s="8"/>
      <c r="AP743" s="8"/>
      <c r="AQ743" s="8"/>
      <c r="AR743" s="8"/>
      <c r="AS743" s="8"/>
      <c r="AT743" s="8"/>
      <c r="AU743" s="8"/>
      <c r="AV743" s="8"/>
      <c r="AW743" s="8"/>
    </row>
    <row r="744" customFormat="false" ht="15.75" hidden="false" customHeight="true" outlineLevel="0" collapsed="false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/>
      <c r="AG744" s="8"/>
      <c r="AH744" s="8"/>
      <c r="AI744" s="8"/>
      <c r="AJ744" s="8"/>
      <c r="AK744" s="8"/>
      <c r="AL744" s="8"/>
      <c r="AM744" s="8"/>
      <c r="AN744" s="8"/>
      <c r="AO744" s="8"/>
      <c r="AP744" s="8"/>
      <c r="AQ744" s="8"/>
      <c r="AR744" s="8"/>
      <c r="AS744" s="8"/>
      <c r="AT744" s="8"/>
      <c r="AU744" s="8"/>
      <c r="AV744" s="8"/>
      <c r="AW744" s="8"/>
    </row>
    <row r="745" customFormat="false" ht="15.75" hidden="false" customHeight="true" outlineLevel="0" collapsed="false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  <c r="AH745" s="8"/>
      <c r="AI745" s="8"/>
      <c r="AJ745" s="8"/>
      <c r="AK745" s="8"/>
      <c r="AL745" s="8"/>
      <c r="AM745" s="8"/>
      <c r="AN745" s="8"/>
      <c r="AO745" s="8"/>
      <c r="AP745" s="8"/>
      <c r="AQ745" s="8"/>
      <c r="AR745" s="8"/>
      <c r="AS745" s="8"/>
      <c r="AT745" s="8"/>
      <c r="AU745" s="8"/>
      <c r="AV745" s="8"/>
      <c r="AW745" s="8"/>
    </row>
    <row r="746" customFormat="false" ht="15.75" hidden="false" customHeight="true" outlineLevel="0" collapsed="false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  <c r="AG746" s="8"/>
      <c r="AH746" s="8"/>
      <c r="AI746" s="8"/>
      <c r="AJ746" s="8"/>
      <c r="AK746" s="8"/>
      <c r="AL746" s="8"/>
      <c r="AM746" s="8"/>
      <c r="AN746" s="8"/>
      <c r="AO746" s="8"/>
      <c r="AP746" s="8"/>
      <c r="AQ746" s="8"/>
      <c r="AR746" s="8"/>
      <c r="AS746" s="8"/>
      <c r="AT746" s="8"/>
      <c r="AU746" s="8"/>
      <c r="AV746" s="8"/>
      <c r="AW746" s="8"/>
    </row>
    <row r="747" customFormat="false" ht="15.75" hidden="false" customHeight="true" outlineLevel="0" collapsed="false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  <c r="AG747" s="8"/>
      <c r="AH747" s="8"/>
      <c r="AI747" s="8"/>
      <c r="AJ747" s="8"/>
      <c r="AK747" s="8"/>
      <c r="AL747" s="8"/>
      <c r="AM747" s="8"/>
      <c r="AN747" s="8"/>
      <c r="AO747" s="8"/>
      <c r="AP747" s="8"/>
      <c r="AQ747" s="8"/>
      <c r="AR747" s="8"/>
      <c r="AS747" s="8"/>
      <c r="AT747" s="8"/>
      <c r="AU747" s="8"/>
      <c r="AV747" s="8"/>
      <c r="AW747" s="8"/>
    </row>
    <row r="748" customFormat="false" ht="15.75" hidden="false" customHeight="true" outlineLevel="0" collapsed="false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  <c r="AH748" s="8"/>
      <c r="AI748" s="8"/>
      <c r="AJ748" s="8"/>
      <c r="AK748" s="8"/>
      <c r="AL748" s="8"/>
      <c r="AM748" s="8"/>
      <c r="AN748" s="8"/>
      <c r="AO748" s="8"/>
      <c r="AP748" s="8"/>
      <c r="AQ748" s="8"/>
      <c r="AR748" s="8"/>
      <c r="AS748" s="8"/>
      <c r="AT748" s="8"/>
      <c r="AU748" s="8"/>
      <c r="AV748" s="8"/>
      <c r="AW748" s="8"/>
    </row>
    <row r="749" customFormat="false" ht="15.75" hidden="false" customHeight="true" outlineLevel="0" collapsed="false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  <c r="AH749" s="8"/>
      <c r="AI749" s="8"/>
      <c r="AJ749" s="8"/>
      <c r="AK749" s="8"/>
      <c r="AL749" s="8"/>
      <c r="AM749" s="8"/>
      <c r="AN749" s="8"/>
      <c r="AO749" s="8"/>
      <c r="AP749" s="8"/>
      <c r="AQ749" s="8"/>
      <c r="AR749" s="8"/>
      <c r="AS749" s="8"/>
      <c r="AT749" s="8"/>
      <c r="AU749" s="8"/>
      <c r="AV749" s="8"/>
      <c r="AW749" s="8"/>
    </row>
    <row r="750" customFormat="false" ht="15.75" hidden="false" customHeight="true" outlineLevel="0" collapsed="false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  <c r="AG750" s="8"/>
      <c r="AH750" s="8"/>
      <c r="AI750" s="8"/>
      <c r="AJ750" s="8"/>
      <c r="AK750" s="8"/>
      <c r="AL750" s="8"/>
      <c r="AM750" s="8"/>
      <c r="AN750" s="8"/>
      <c r="AO750" s="8"/>
      <c r="AP750" s="8"/>
      <c r="AQ750" s="8"/>
      <c r="AR750" s="8"/>
      <c r="AS750" s="8"/>
      <c r="AT750" s="8"/>
      <c r="AU750" s="8"/>
      <c r="AV750" s="8"/>
      <c r="AW750" s="8"/>
    </row>
    <row r="751" customFormat="false" ht="15.75" hidden="false" customHeight="true" outlineLevel="0" collapsed="false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  <c r="AG751" s="8"/>
      <c r="AH751" s="8"/>
      <c r="AI751" s="8"/>
      <c r="AJ751" s="8"/>
      <c r="AK751" s="8"/>
      <c r="AL751" s="8"/>
      <c r="AM751" s="8"/>
      <c r="AN751" s="8"/>
      <c r="AO751" s="8"/>
      <c r="AP751" s="8"/>
      <c r="AQ751" s="8"/>
      <c r="AR751" s="8"/>
      <c r="AS751" s="8"/>
      <c r="AT751" s="8"/>
      <c r="AU751" s="8"/>
      <c r="AV751" s="8"/>
      <c r="AW751" s="8"/>
    </row>
    <row r="752" customFormat="false" ht="15.75" hidden="false" customHeight="true" outlineLevel="0" collapsed="false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/>
      <c r="AG752" s="8"/>
      <c r="AH752" s="8"/>
      <c r="AI752" s="8"/>
      <c r="AJ752" s="8"/>
      <c r="AK752" s="8"/>
      <c r="AL752" s="8"/>
      <c r="AM752" s="8"/>
      <c r="AN752" s="8"/>
      <c r="AO752" s="8"/>
      <c r="AP752" s="8"/>
      <c r="AQ752" s="8"/>
      <c r="AR752" s="8"/>
      <c r="AS752" s="8"/>
      <c r="AT752" s="8"/>
      <c r="AU752" s="8"/>
      <c r="AV752" s="8"/>
      <c r="AW752" s="8"/>
    </row>
    <row r="753" customFormat="false" ht="15.75" hidden="false" customHeight="true" outlineLevel="0" collapsed="false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  <c r="AH753" s="8"/>
      <c r="AI753" s="8"/>
      <c r="AJ753" s="8"/>
      <c r="AK753" s="8"/>
      <c r="AL753" s="8"/>
      <c r="AM753" s="8"/>
      <c r="AN753" s="8"/>
      <c r="AO753" s="8"/>
      <c r="AP753" s="8"/>
      <c r="AQ753" s="8"/>
      <c r="AR753" s="8"/>
      <c r="AS753" s="8"/>
      <c r="AT753" s="8"/>
      <c r="AU753" s="8"/>
      <c r="AV753" s="8"/>
      <c r="AW753" s="8"/>
    </row>
    <row r="754" customFormat="false" ht="15.75" hidden="false" customHeight="true" outlineLevel="0" collapsed="false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  <c r="AG754" s="8"/>
      <c r="AH754" s="8"/>
      <c r="AI754" s="8"/>
      <c r="AJ754" s="8"/>
      <c r="AK754" s="8"/>
      <c r="AL754" s="8"/>
      <c r="AM754" s="8"/>
      <c r="AN754" s="8"/>
      <c r="AO754" s="8"/>
      <c r="AP754" s="8"/>
      <c r="AQ754" s="8"/>
      <c r="AR754" s="8"/>
      <c r="AS754" s="8"/>
      <c r="AT754" s="8"/>
      <c r="AU754" s="8"/>
      <c r="AV754" s="8"/>
      <c r="AW754" s="8"/>
    </row>
    <row r="755" customFormat="false" ht="15.75" hidden="false" customHeight="true" outlineLevel="0" collapsed="false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  <c r="AG755" s="8"/>
      <c r="AH755" s="8"/>
      <c r="AI755" s="8"/>
      <c r="AJ755" s="8"/>
      <c r="AK755" s="8"/>
      <c r="AL755" s="8"/>
      <c r="AM755" s="8"/>
      <c r="AN755" s="8"/>
      <c r="AO755" s="8"/>
      <c r="AP755" s="8"/>
      <c r="AQ755" s="8"/>
      <c r="AR755" s="8"/>
      <c r="AS755" s="8"/>
      <c r="AT755" s="8"/>
      <c r="AU755" s="8"/>
      <c r="AV755" s="8"/>
      <c r="AW755" s="8"/>
    </row>
    <row r="756" customFormat="false" ht="15.75" hidden="false" customHeight="true" outlineLevel="0" collapsed="false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/>
      <c r="AG756" s="8"/>
      <c r="AH756" s="8"/>
      <c r="AI756" s="8"/>
      <c r="AJ756" s="8"/>
      <c r="AK756" s="8"/>
      <c r="AL756" s="8"/>
      <c r="AM756" s="8"/>
      <c r="AN756" s="8"/>
      <c r="AO756" s="8"/>
      <c r="AP756" s="8"/>
      <c r="AQ756" s="8"/>
      <c r="AR756" s="8"/>
      <c r="AS756" s="8"/>
      <c r="AT756" s="8"/>
      <c r="AU756" s="8"/>
      <c r="AV756" s="8"/>
      <c r="AW756" s="8"/>
    </row>
    <row r="757" customFormat="false" ht="15.75" hidden="false" customHeight="true" outlineLevel="0" collapsed="false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  <c r="AG757" s="8"/>
      <c r="AH757" s="8"/>
      <c r="AI757" s="8"/>
      <c r="AJ757" s="8"/>
      <c r="AK757" s="8"/>
      <c r="AL757" s="8"/>
      <c r="AM757" s="8"/>
      <c r="AN757" s="8"/>
      <c r="AO757" s="8"/>
      <c r="AP757" s="8"/>
      <c r="AQ757" s="8"/>
      <c r="AR757" s="8"/>
      <c r="AS757" s="8"/>
      <c r="AT757" s="8"/>
      <c r="AU757" s="8"/>
      <c r="AV757" s="8"/>
      <c r="AW757" s="8"/>
    </row>
    <row r="758" customFormat="false" ht="15.75" hidden="false" customHeight="true" outlineLevel="0" collapsed="false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/>
      <c r="AG758" s="8"/>
      <c r="AH758" s="8"/>
      <c r="AI758" s="8"/>
      <c r="AJ758" s="8"/>
      <c r="AK758" s="8"/>
      <c r="AL758" s="8"/>
      <c r="AM758" s="8"/>
      <c r="AN758" s="8"/>
      <c r="AO758" s="8"/>
      <c r="AP758" s="8"/>
      <c r="AQ758" s="8"/>
      <c r="AR758" s="8"/>
      <c r="AS758" s="8"/>
      <c r="AT758" s="8"/>
      <c r="AU758" s="8"/>
      <c r="AV758" s="8"/>
      <c r="AW758" s="8"/>
    </row>
    <row r="759" customFormat="false" ht="15.75" hidden="false" customHeight="true" outlineLevel="0" collapsed="false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/>
      <c r="AG759" s="8"/>
      <c r="AH759" s="8"/>
      <c r="AI759" s="8"/>
      <c r="AJ759" s="8"/>
      <c r="AK759" s="8"/>
      <c r="AL759" s="8"/>
      <c r="AM759" s="8"/>
      <c r="AN759" s="8"/>
      <c r="AO759" s="8"/>
      <c r="AP759" s="8"/>
      <c r="AQ759" s="8"/>
      <c r="AR759" s="8"/>
      <c r="AS759" s="8"/>
      <c r="AT759" s="8"/>
      <c r="AU759" s="8"/>
      <c r="AV759" s="8"/>
      <c r="AW759" s="8"/>
    </row>
    <row r="760" customFormat="false" ht="15.75" hidden="false" customHeight="true" outlineLevel="0" collapsed="false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/>
      <c r="AG760" s="8"/>
      <c r="AH760" s="8"/>
      <c r="AI760" s="8"/>
      <c r="AJ760" s="8"/>
      <c r="AK760" s="8"/>
      <c r="AL760" s="8"/>
      <c r="AM760" s="8"/>
      <c r="AN760" s="8"/>
      <c r="AO760" s="8"/>
      <c r="AP760" s="8"/>
      <c r="AQ760" s="8"/>
      <c r="AR760" s="8"/>
      <c r="AS760" s="8"/>
      <c r="AT760" s="8"/>
      <c r="AU760" s="8"/>
      <c r="AV760" s="8"/>
      <c r="AW760" s="8"/>
    </row>
    <row r="761" customFormat="false" ht="15.75" hidden="false" customHeight="true" outlineLevel="0" collapsed="false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  <c r="AG761" s="8"/>
      <c r="AH761" s="8"/>
      <c r="AI761" s="8"/>
      <c r="AJ761" s="8"/>
      <c r="AK761" s="8"/>
      <c r="AL761" s="8"/>
      <c r="AM761" s="8"/>
      <c r="AN761" s="8"/>
      <c r="AO761" s="8"/>
      <c r="AP761" s="8"/>
      <c r="AQ761" s="8"/>
      <c r="AR761" s="8"/>
      <c r="AS761" s="8"/>
      <c r="AT761" s="8"/>
      <c r="AU761" s="8"/>
      <c r="AV761" s="8"/>
      <c r="AW761" s="8"/>
    </row>
    <row r="762" customFormat="false" ht="15.75" hidden="false" customHeight="true" outlineLevel="0" collapsed="false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  <c r="AG762" s="8"/>
      <c r="AH762" s="8"/>
      <c r="AI762" s="8"/>
      <c r="AJ762" s="8"/>
      <c r="AK762" s="8"/>
      <c r="AL762" s="8"/>
      <c r="AM762" s="8"/>
      <c r="AN762" s="8"/>
      <c r="AO762" s="8"/>
      <c r="AP762" s="8"/>
      <c r="AQ762" s="8"/>
      <c r="AR762" s="8"/>
      <c r="AS762" s="8"/>
      <c r="AT762" s="8"/>
      <c r="AU762" s="8"/>
      <c r="AV762" s="8"/>
      <c r="AW762" s="8"/>
    </row>
    <row r="763" customFormat="false" ht="15.75" hidden="false" customHeight="true" outlineLevel="0" collapsed="false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  <c r="AH763" s="8"/>
      <c r="AI763" s="8"/>
      <c r="AJ763" s="8"/>
      <c r="AK763" s="8"/>
      <c r="AL763" s="8"/>
      <c r="AM763" s="8"/>
      <c r="AN763" s="8"/>
      <c r="AO763" s="8"/>
      <c r="AP763" s="8"/>
      <c r="AQ763" s="8"/>
      <c r="AR763" s="8"/>
      <c r="AS763" s="8"/>
      <c r="AT763" s="8"/>
      <c r="AU763" s="8"/>
      <c r="AV763" s="8"/>
      <c r="AW763" s="8"/>
    </row>
    <row r="764" customFormat="false" ht="15.75" hidden="false" customHeight="true" outlineLevel="0" collapsed="false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  <c r="AH764" s="8"/>
      <c r="AI764" s="8"/>
      <c r="AJ764" s="8"/>
      <c r="AK764" s="8"/>
      <c r="AL764" s="8"/>
      <c r="AM764" s="8"/>
      <c r="AN764" s="8"/>
      <c r="AO764" s="8"/>
      <c r="AP764" s="8"/>
      <c r="AQ764" s="8"/>
      <c r="AR764" s="8"/>
      <c r="AS764" s="8"/>
      <c r="AT764" s="8"/>
      <c r="AU764" s="8"/>
      <c r="AV764" s="8"/>
      <c r="AW764" s="8"/>
    </row>
    <row r="765" customFormat="false" ht="15.75" hidden="false" customHeight="true" outlineLevel="0" collapsed="false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/>
      <c r="AG765" s="8"/>
      <c r="AH765" s="8"/>
      <c r="AI765" s="8"/>
      <c r="AJ765" s="8"/>
      <c r="AK765" s="8"/>
      <c r="AL765" s="8"/>
      <c r="AM765" s="8"/>
      <c r="AN765" s="8"/>
      <c r="AO765" s="8"/>
      <c r="AP765" s="8"/>
      <c r="AQ765" s="8"/>
      <c r="AR765" s="8"/>
      <c r="AS765" s="8"/>
      <c r="AT765" s="8"/>
      <c r="AU765" s="8"/>
      <c r="AV765" s="8"/>
      <c r="AW765" s="8"/>
    </row>
    <row r="766" customFormat="false" ht="15.75" hidden="false" customHeight="true" outlineLevel="0" collapsed="false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  <c r="AH766" s="8"/>
      <c r="AI766" s="8"/>
      <c r="AJ766" s="8"/>
      <c r="AK766" s="8"/>
      <c r="AL766" s="8"/>
      <c r="AM766" s="8"/>
      <c r="AN766" s="8"/>
      <c r="AO766" s="8"/>
      <c r="AP766" s="8"/>
      <c r="AQ766" s="8"/>
      <c r="AR766" s="8"/>
      <c r="AS766" s="8"/>
      <c r="AT766" s="8"/>
      <c r="AU766" s="8"/>
      <c r="AV766" s="8"/>
      <c r="AW766" s="8"/>
    </row>
    <row r="767" customFormat="false" ht="15.75" hidden="false" customHeight="true" outlineLevel="0" collapsed="false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  <c r="AH767" s="8"/>
      <c r="AI767" s="8"/>
      <c r="AJ767" s="8"/>
      <c r="AK767" s="8"/>
      <c r="AL767" s="8"/>
      <c r="AM767" s="8"/>
      <c r="AN767" s="8"/>
      <c r="AO767" s="8"/>
      <c r="AP767" s="8"/>
      <c r="AQ767" s="8"/>
      <c r="AR767" s="8"/>
      <c r="AS767" s="8"/>
      <c r="AT767" s="8"/>
      <c r="AU767" s="8"/>
      <c r="AV767" s="8"/>
      <c r="AW767" s="8"/>
    </row>
    <row r="768" customFormat="false" ht="15.75" hidden="false" customHeight="true" outlineLevel="0" collapsed="false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  <c r="AG768" s="8"/>
      <c r="AH768" s="8"/>
      <c r="AI768" s="8"/>
      <c r="AJ768" s="8"/>
      <c r="AK768" s="8"/>
      <c r="AL768" s="8"/>
      <c r="AM768" s="8"/>
      <c r="AN768" s="8"/>
      <c r="AO768" s="8"/>
      <c r="AP768" s="8"/>
      <c r="AQ768" s="8"/>
      <c r="AR768" s="8"/>
      <c r="AS768" s="8"/>
      <c r="AT768" s="8"/>
      <c r="AU768" s="8"/>
      <c r="AV768" s="8"/>
      <c r="AW768" s="8"/>
    </row>
    <row r="769" customFormat="false" ht="15.75" hidden="false" customHeight="true" outlineLevel="0" collapsed="false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  <c r="AH769" s="8"/>
      <c r="AI769" s="8"/>
      <c r="AJ769" s="8"/>
      <c r="AK769" s="8"/>
      <c r="AL769" s="8"/>
      <c r="AM769" s="8"/>
      <c r="AN769" s="8"/>
      <c r="AO769" s="8"/>
      <c r="AP769" s="8"/>
      <c r="AQ769" s="8"/>
      <c r="AR769" s="8"/>
      <c r="AS769" s="8"/>
      <c r="AT769" s="8"/>
      <c r="AU769" s="8"/>
      <c r="AV769" s="8"/>
      <c r="AW769" s="8"/>
    </row>
    <row r="770" customFormat="false" ht="15.75" hidden="false" customHeight="true" outlineLevel="0" collapsed="false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  <c r="AH770" s="8"/>
      <c r="AI770" s="8"/>
      <c r="AJ770" s="8"/>
      <c r="AK770" s="8"/>
      <c r="AL770" s="8"/>
      <c r="AM770" s="8"/>
      <c r="AN770" s="8"/>
      <c r="AO770" s="8"/>
      <c r="AP770" s="8"/>
      <c r="AQ770" s="8"/>
      <c r="AR770" s="8"/>
      <c r="AS770" s="8"/>
      <c r="AT770" s="8"/>
      <c r="AU770" s="8"/>
      <c r="AV770" s="8"/>
      <c r="AW770" s="8"/>
    </row>
    <row r="771" customFormat="false" ht="15.75" hidden="false" customHeight="true" outlineLevel="0" collapsed="false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/>
      <c r="AG771" s="8"/>
      <c r="AH771" s="8"/>
      <c r="AI771" s="8"/>
      <c r="AJ771" s="8"/>
      <c r="AK771" s="8"/>
      <c r="AL771" s="8"/>
      <c r="AM771" s="8"/>
      <c r="AN771" s="8"/>
      <c r="AO771" s="8"/>
      <c r="AP771" s="8"/>
      <c r="AQ771" s="8"/>
      <c r="AR771" s="8"/>
      <c r="AS771" s="8"/>
      <c r="AT771" s="8"/>
      <c r="AU771" s="8"/>
      <c r="AV771" s="8"/>
      <c r="AW771" s="8"/>
    </row>
    <row r="772" customFormat="false" ht="15.75" hidden="false" customHeight="true" outlineLevel="0" collapsed="false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  <c r="AH772" s="8"/>
      <c r="AI772" s="8"/>
      <c r="AJ772" s="8"/>
      <c r="AK772" s="8"/>
      <c r="AL772" s="8"/>
      <c r="AM772" s="8"/>
      <c r="AN772" s="8"/>
      <c r="AO772" s="8"/>
      <c r="AP772" s="8"/>
      <c r="AQ772" s="8"/>
      <c r="AR772" s="8"/>
      <c r="AS772" s="8"/>
      <c r="AT772" s="8"/>
      <c r="AU772" s="8"/>
      <c r="AV772" s="8"/>
      <c r="AW772" s="8"/>
    </row>
    <row r="773" customFormat="false" ht="15.75" hidden="false" customHeight="true" outlineLevel="0" collapsed="false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/>
      <c r="AG773" s="8"/>
      <c r="AH773" s="8"/>
      <c r="AI773" s="8"/>
      <c r="AJ773" s="8"/>
      <c r="AK773" s="8"/>
      <c r="AL773" s="8"/>
      <c r="AM773" s="8"/>
      <c r="AN773" s="8"/>
      <c r="AO773" s="8"/>
      <c r="AP773" s="8"/>
      <c r="AQ773" s="8"/>
      <c r="AR773" s="8"/>
      <c r="AS773" s="8"/>
      <c r="AT773" s="8"/>
      <c r="AU773" s="8"/>
      <c r="AV773" s="8"/>
      <c r="AW773" s="8"/>
    </row>
    <row r="774" customFormat="false" ht="15.75" hidden="false" customHeight="true" outlineLevel="0" collapsed="false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  <c r="AG774" s="8"/>
      <c r="AH774" s="8"/>
      <c r="AI774" s="8"/>
      <c r="AJ774" s="8"/>
      <c r="AK774" s="8"/>
      <c r="AL774" s="8"/>
      <c r="AM774" s="8"/>
      <c r="AN774" s="8"/>
      <c r="AO774" s="8"/>
      <c r="AP774" s="8"/>
      <c r="AQ774" s="8"/>
      <c r="AR774" s="8"/>
      <c r="AS774" s="8"/>
      <c r="AT774" s="8"/>
      <c r="AU774" s="8"/>
      <c r="AV774" s="8"/>
      <c r="AW774" s="8"/>
    </row>
    <row r="775" customFormat="false" ht="15.75" hidden="false" customHeight="true" outlineLevel="0" collapsed="false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  <c r="AH775" s="8"/>
      <c r="AI775" s="8"/>
      <c r="AJ775" s="8"/>
      <c r="AK775" s="8"/>
      <c r="AL775" s="8"/>
      <c r="AM775" s="8"/>
      <c r="AN775" s="8"/>
      <c r="AO775" s="8"/>
      <c r="AP775" s="8"/>
      <c r="AQ775" s="8"/>
      <c r="AR775" s="8"/>
      <c r="AS775" s="8"/>
      <c r="AT775" s="8"/>
      <c r="AU775" s="8"/>
      <c r="AV775" s="8"/>
      <c r="AW775" s="8"/>
    </row>
    <row r="776" customFormat="false" ht="15.75" hidden="false" customHeight="true" outlineLevel="0" collapsed="false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  <c r="AG776" s="8"/>
      <c r="AH776" s="8"/>
      <c r="AI776" s="8"/>
      <c r="AJ776" s="8"/>
      <c r="AK776" s="8"/>
      <c r="AL776" s="8"/>
      <c r="AM776" s="8"/>
      <c r="AN776" s="8"/>
      <c r="AO776" s="8"/>
      <c r="AP776" s="8"/>
      <c r="AQ776" s="8"/>
      <c r="AR776" s="8"/>
      <c r="AS776" s="8"/>
      <c r="AT776" s="8"/>
      <c r="AU776" s="8"/>
      <c r="AV776" s="8"/>
      <c r="AW776" s="8"/>
    </row>
    <row r="777" customFormat="false" ht="15.75" hidden="false" customHeight="true" outlineLevel="0" collapsed="false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  <c r="AH777" s="8"/>
      <c r="AI777" s="8"/>
      <c r="AJ777" s="8"/>
      <c r="AK777" s="8"/>
      <c r="AL777" s="8"/>
      <c r="AM777" s="8"/>
      <c r="AN777" s="8"/>
      <c r="AO777" s="8"/>
      <c r="AP777" s="8"/>
      <c r="AQ777" s="8"/>
      <c r="AR777" s="8"/>
      <c r="AS777" s="8"/>
      <c r="AT777" s="8"/>
      <c r="AU777" s="8"/>
      <c r="AV777" s="8"/>
      <c r="AW777" s="8"/>
    </row>
    <row r="778" customFormat="false" ht="15.75" hidden="false" customHeight="true" outlineLevel="0" collapsed="false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/>
      <c r="AG778" s="8"/>
      <c r="AH778" s="8"/>
      <c r="AI778" s="8"/>
      <c r="AJ778" s="8"/>
      <c r="AK778" s="8"/>
      <c r="AL778" s="8"/>
      <c r="AM778" s="8"/>
      <c r="AN778" s="8"/>
      <c r="AO778" s="8"/>
      <c r="AP778" s="8"/>
      <c r="AQ778" s="8"/>
      <c r="AR778" s="8"/>
      <c r="AS778" s="8"/>
      <c r="AT778" s="8"/>
      <c r="AU778" s="8"/>
      <c r="AV778" s="8"/>
      <c r="AW778" s="8"/>
    </row>
    <row r="779" customFormat="false" ht="15.75" hidden="false" customHeight="true" outlineLevel="0" collapsed="false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/>
      <c r="AG779" s="8"/>
      <c r="AH779" s="8"/>
      <c r="AI779" s="8"/>
      <c r="AJ779" s="8"/>
      <c r="AK779" s="8"/>
      <c r="AL779" s="8"/>
      <c r="AM779" s="8"/>
      <c r="AN779" s="8"/>
      <c r="AO779" s="8"/>
      <c r="AP779" s="8"/>
      <c r="AQ779" s="8"/>
      <c r="AR779" s="8"/>
      <c r="AS779" s="8"/>
      <c r="AT779" s="8"/>
      <c r="AU779" s="8"/>
      <c r="AV779" s="8"/>
      <c r="AW779" s="8"/>
    </row>
    <row r="780" customFormat="false" ht="15.75" hidden="false" customHeight="true" outlineLevel="0" collapsed="false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  <c r="AG780" s="8"/>
      <c r="AH780" s="8"/>
      <c r="AI780" s="8"/>
      <c r="AJ780" s="8"/>
      <c r="AK780" s="8"/>
      <c r="AL780" s="8"/>
      <c r="AM780" s="8"/>
      <c r="AN780" s="8"/>
      <c r="AO780" s="8"/>
      <c r="AP780" s="8"/>
      <c r="AQ780" s="8"/>
      <c r="AR780" s="8"/>
      <c r="AS780" s="8"/>
      <c r="AT780" s="8"/>
      <c r="AU780" s="8"/>
      <c r="AV780" s="8"/>
      <c r="AW780" s="8"/>
    </row>
    <row r="781" customFormat="false" ht="15.75" hidden="false" customHeight="true" outlineLevel="0" collapsed="false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  <c r="AH781" s="8"/>
      <c r="AI781" s="8"/>
      <c r="AJ781" s="8"/>
      <c r="AK781" s="8"/>
      <c r="AL781" s="8"/>
      <c r="AM781" s="8"/>
      <c r="AN781" s="8"/>
      <c r="AO781" s="8"/>
      <c r="AP781" s="8"/>
      <c r="AQ781" s="8"/>
      <c r="AR781" s="8"/>
      <c r="AS781" s="8"/>
      <c r="AT781" s="8"/>
      <c r="AU781" s="8"/>
      <c r="AV781" s="8"/>
      <c r="AW781" s="8"/>
    </row>
    <row r="782" customFormat="false" ht="15.75" hidden="false" customHeight="true" outlineLevel="0" collapsed="false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  <c r="AG782" s="8"/>
      <c r="AH782" s="8"/>
      <c r="AI782" s="8"/>
      <c r="AJ782" s="8"/>
      <c r="AK782" s="8"/>
      <c r="AL782" s="8"/>
      <c r="AM782" s="8"/>
      <c r="AN782" s="8"/>
      <c r="AO782" s="8"/>
      <c r="AP782" s="8"/>
      <c r="AQ782" s="8"/>
      <c r="AR782" s="8"/>
      <c r="AS782" s="8"/>
      <c r="AT782" s="8"/>
      <c r="AU782" s="8"/>
      <c r="AV782" s="8"/>
      <c r="AW782" s="8"/>
    </row>
    <row r="783" customFormat="false" ht="15.75" hidden="false" customHeight="true" outlineLevel="0" collapsed="false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  <c r="AH783" s="8"/>
      <c r="AI783" s="8"/>
      <c r="AJ783" s="8"/>
      <c r="AK783" s="8"/>
      <c r="AL783" s="8"/>
      <c r="AM783" s="8"/>
      <c r="AN783" s="8"/>
      <c r="AO783" s="8"/>
      <c r="AP783" s="8"/>
      <c r="AQ783" s="8"/>
      <c r="AR783" s="8"/>
      <c r="AS783" s="8"/>
      <c r="AT783" s="8"/>
      <c r="AU783" s="8"/>
      <c r="AV783" s="8"/>
      <c r="AW783" s="8"/>
    </row>
    <row r="784" customFormat="false" ht="15.75" hidden="false" customHeight="true" outlineLevel="0" collapsed="false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  <c r="AG784" s="8"/>
      <c r="AH784" s="8"/>
      <c r="AI784" s="8"/>
      <c r="AJ784" s="8"/>
      <c r="AK784" s="8"/>
      <c r="AL784" s="8"/>
      <c r="AM784" s="8"/>
      <c r="AN784" s="8"/>
      <c r="AO784" s="8"/>
      <c r="AP784" s="8"/>
      <c r="AQ784" s="8"/>
      <c r="AR784" s="8"/>
      <c r="AS784" s="8"/>
      <c r="AT784" s="8"/>
      <c r="AU784" s="8"/>
      <c r="AV784" s="8"/>
      <c r="AW784" s="8"/>
    </row>
    <row r="785" customFormat="false" ht="15.75" hidden="false" customHeight="true" outlineLevel="0" collapsed="false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/>
      <c r="AG785" s="8"/>
      <c r="AH785" s="8"/>
      <c r="AI785" s="8"/>
      <c r="AJ785" s="8"/>
      <c r="AK785" s="8"/>
      <c r="AL785" s="8"/>
      <c r="AM785" s="8"/>
      <c r="AN785" s="8"/>
      <c r="AO785" s="8"/>
      <c r="AP785" s="8"/>
      <c r="AQ785" s="8"/>
      <c r="AR785" s="8"/>
      <c r="AS785" s="8"/>
      <c r="AT785" s="8"/>
      <c r="AU785" s="8"/>
      <c r="AV785" s="8"/>
      <c r="AW785" s="8"/>
    </row>
    <row r="786" customFormat="false" ht="15.75" hidden="false" customHeight="true" outlineLevel="0" collapsed="false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  <c r="AG786" s="8"/>
      <c r="AH786" s="8"/>
      <c r="AI786" s="8"/>
      <c r="AJ786" s="8"/>
      <c r="AK786" s="8"/>
      <c r="AL786" s="8"/>
      <c r="AM786" s="8"/>
      <c r="AN786" s="8"/>
      <c r="AO786" s="8"/>
      <c r="AP786" s="8"/>
      <c r="AQ786" s="8"/>
      <c r="AR786" s="8"/>
      <c r="AS786" s="8"/>
      <c r="AT786" s="8"/>
      <c r="AU786" s="8"/>
      <c r="AV786" s="8"/>
      <c r="AW786" s="8"/>
    </row>
    <row r="787" customFormat="false" ht="15.75" hidden="false" customHeight="true" outlineLevel="0" collapsed="false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  <c r="AG787" s="8"/>
      <c r="AH787" s="8"/>
      <c r="AI787" s="8"/>
      <c r="AJ787" s="8"/>
      <c r="AK787" s="8"/>
      <c r="AL787" s="8"/>
      <c r="AM787" s="8"/>
      <c r="AN787" s="8"/>
      <c r="AO787" s="8"/>
      <c r="AP787" s="8"/>
      <c r="AQ787" s="8"/>
      <c r="AR787" s="8"/>
      <c r="AS787" s="8"/>
      <c r="AT787" s="8"/>
      <c r="AU787" s="8"/>
      <c r="AV787" s="8"/>
      <c r="AW787" s="8"/>
    </row>
    <row r="788" customFormat="false" ht="15.75" hidden="false" customHeight="true" outlineLevel="0" collapsed="false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  <c r="AH788" s="8"/>
      <c r="AI788" s="8"/>
      <c r="AJ788" s="8"/>
      <c r="AK788" s="8"/>
      <c r="AL788" s="8"/>
      <c r="AM788" s="8"/>
      <c r="AN788" s="8"/>
      <c r="AO788" s="8"/>
      <c r="AP788" s="8"/>
      <c r="AQ788" s="8"/>
      <c r="AR788" s="8"/>
      <c r="AS788" s="8"/>
      <c r="AT788" s="8"/>
      <c r="AU788" s="8"/>
      <c r="AV788" s="8"/>
      <c r="AW788" s="8"/>
    </row>
    <row r="789" customFormat="false" ht="15.75" hidden="false" customHeight="true" outlineLevel="0" collapsed="false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  <c r="AG789" s="8"/>
      <c r="AH789" s="8"/>
      <c r="AI789" s="8"/>
      <c r="AJ789" s="8"/>
      <c r="AK789" s="8"/>
      <c r="AL789" s="8"/>
      <c r="AM789" s="8"/>
      <c r="AN789" s="8"/>
      <c r="AO789" s="8"/>
      <c r="AP789" s="8"/>
      <c r="AQ789" s="8"/>
      <c r="AR789" s="8"/>
      <c r="AS789" s="8"/>
      <c r="AT789" s="8"/>
      <c r="AU789" s="8"/>
      <c r="AV789" s="8"/>
      <c r="AW789" s="8"/>
    </row>
    <row r="790" customFormat="false" ht="15.75" hidden="false" customHeight="true" outlineLevel="0" collapsed="false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  <c r="AG790" s="8"/>
      <c r="AH790" s="8"/>
      <c r="AI790" s="8"/>
      <c r="AJ790" s="8"/>
      <c r="AK790" s="8"/>
      <c r="AL790" s="8"/>
      <c r="AM790" s="8"/>
      <c r="AN790" s="8"/>
      <c r="AO790" s="8"/>
      <c r="AP790" s="8"/>
      <c r="AQ790" s="8"/>
      <c r="AR790" s="8"/>
      <c r="AS790" s="8"/>
      <c r="AT790" s="8"/>
      <c r="AU790" s="8"/>
      <c r="AV790" s="8"/>
      <c r="AW790" s="8"/>
    </row>
    <row r="791" customFormat="false" ht="15.75" hidden="false" customHeight="true" outlineLevel="0" collapsed="false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  <c r="AG791" s="8"/>
      <c r="AH791" s="8"/>
      <c r="AI791" s="8"/>
      <c r="AJ791" s="8"/>
      <c r="AK791" s="8"/>
      <c r="AL791" s="8"/>
      <c r="AM791" s="8"/>
      <c r="AN791" s="8"/>
      <c r="AO791" s="8"/>
      <c r="AP791" s="8"/>
      <c r="AQ791" s="8"/>
      <c r="AR791" s="8"/>
      <c r="AS791" s="8"/>
      <c r="AT791" s="8"/>
      <c r="AU791" s="8"/>
      <c r="AV791" s="8"/>
      <c r="AW791" s="8"/>
    </row>
    <row r="792" customFormat="false" ht="15.75" hidden="false" customHeight="true" outlineLevel="0" collapsed="false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/>
      <c r="AG792" s="8"/>
      <c r="AH792" s="8"/>
      <c r="AI792" s="8"/>
      <c r="AJ792" s="8"/>
      <c r="AK792" s="8"/>
      <c r="AL792" s="8"/>
      <c r="AM792" s="8"/>
      <c r="AN792" s="8"/>
      <c r="AO792" s="8"/>
      <c r="AP792" s="8"/>
      <c r="AQ792" s="8"/>
      <c r="AR792" s="8"/>
      <c r="AS792" s="8"/>
      <c r="AT792" s="8"/>
      <c r="AU792" s="8"/>
      <c r="AV792" s="8"/>
      <c r="AW792" s="8"/>
    </row>
    <row r="793" customFormat="false" ht="15.75" hidden="false" customHeight="true" outlineLevel="0" collapsed="false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/>
      <c r="AG793" s="8"/>
      <c r="AH793" s="8"/>
      <c r="AI793" s="8"/>
      <c r="AJ793" s="8"/>
      <c r="AK793" s="8"/>
      <c r="AL793" s="8"/>
      <c r="AM793" s="8"/>
      <c r="AN793" s="8"/>
      <c r="AO793" s="8"/>
      <c r="AP793" s="8"/>
      <c r="AQ793" s="8"/>
      <c r="AR793" s="8"/>
      <c r="AS793" s="8"/>
      <c r="AT793" s="8"/>
      <c r="AU793" s="8"/>
      <c r="AV793" s="8"/>
      <c r="AW793" s="8"/>
    </row>
    <row r="794" customFormat="false" ht="15.75" hidden="false" customHeight="true" outlineLevel="0" collapsed="false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  <c r="AG794" s="8"/>
      <c r="AH794" s="8"/>
      <c r="AI794" s="8"/>
      <c r="AJ794" s="8"/>
      <c r="AK794" s="8"/>
      <c r="AL794" s="8"/>
      <c r="AM794" s="8"/>
      <c r="AN794" s="8"/>
      <c r="AO794" s="8"/>
      <c r="AP794" s="8"/>
      <c r="AQ794" s="8"/>
      <c r="AR794" s="8"/>
      <c r="AS794" s="8"/>
      <c r="AT794" s="8"/>
      <c r="AU794" s="8"/>
      <c r="AV794" s="8"/>
      <c r="AW794" s="8"/>
    </row>
    <row r="795" customFormat="false" ht="15.75" hidden="false" customHeight="true" outlineLevel="0" collapsed="false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  <c r="AF795" s="8"/>
      <c r="AG795" s="8"/>
      <c r="AH795" s="8"/>
      <c r="AI795" s="8"/>
      <c r="AJ795" s="8"/>
      <c r="AK795" s="8"/>
      <c r="AL795" s="8"/>
      <c r="AM795" s="8"/>
      <c r="AN795" s="8"/>
      <c r="AO795" s="8"/>
      <c r="AP795" s="8"/>
      <c r="AQ795" s="8"/>
      <c r="AR795" s="8"/>
      <c r="AS795" s="8"/>
      <c r="AT795" s="8"/>
      <c r="AU795" s="8"/>
      <c r="AV795" s="8"/>
      <c r="AW795" s="8"/>
    </row>
    <row r="796" customFormat="false" ht="15.75" hidden="false" customHeight="true" outlineLevel="0" collapsed="false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  <c r="AG796" s="8"/>
      <c r="AH796" s="8"/>
      <c r="AI796" s="8"/>
      <c r="AJ796" s="8"/>
      <c r="AK796" s="8"/>
      <c r="AL796" s="8"/>
      <c r="AM796" s="8"/>
      <c r="AN796" s="8"/>
      <c r="AO796" s="8"/>
      <c r="AP796" s="8"/>
      <c r="AQ796" s="8"/>
      <c r="AR796" s="8"/>
      <c r="AS796" s="8"/>
      <c r="AT796" s="8"/>
      <c r="AU796" s="8"/>
      <c r="AV796" s="8"/>
      <c r="AW796" s="8"/>
    </row>
    <row r="797" customFormat="false" ht="15.75" hidden="false" customHeight="true" outlineLevel="0" collapsed="false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/>
      <c r="AG797" s="8"/>
      <c r="AH797" s="8"/>
      <c r="AI797" s="8"/>
      <c r="AJ797" s="8"/>
      <c r="AK797" s="8"/>
      <c r="AL797" s="8"/>
      <c r="AM797" s="8"/>
      <c r="AN797" s="8"/>
      <c r="AO797" s="8"/>
      <c r="AP797" s="8"/>
      <c r="AQ797" s="8"/>
      <c r="AR797" s="8"/>
      <c r="AS797" s="8"/>
      <c r="AT797" s="8"/>
      <c r="AU797" s="8"/>
      <c r="AV797" s="8"/>
      <c r="AW797" s="8"/>
    </row>
    <row r="798" customFormat="false" ht="15.75" hidden="false" customHeight="true" outlineLevel="0" collapsed="false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/>
      <c r="AG798" s="8"/>
      <c r="AH798" s="8"/>
      <c r="AI798" s="8"/>
      <c r="AJ798" s="8"/>
      <c r="AK798" s="8"/>
      <c r="AL798" s="8"/>
      <c r="AM798" s="8"/>
      <c r="AN798" s="8"/>
      <c r="AO798" s="8"/>
      <c r="AP798" s="8"/>
      <c r="AQ798" s="8"/>
      <c r="AR798" s="8"/>
      <c r="AS798" s="8"/>
      <c r="AT798" s="8"/>
      <c r="AU798" s="8"/>
      <c r="AV798" s="8"/>
      <c r="AW798" s="8"/>
    </row>
    <row r="799" customFormat="false" ht="15.75" hidden="false" customHeight="true" outlineLevel="0" collapsed="false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  <c r="AG799" s="8"/>
      <c r="AH799" s="8"/>
      <c r="AI799" s="8"/>
      <c r="AJ799" s="8"/>
      <c r="AK799" s="8"/>
      <c r="AL799" s="8"/>
      <c r="AM799" s="8"/>
      <c r="AN799" s="8"/>
      <c r="AO799" s="8"/>
      <c r="AP799" s="8"/>
      <c r="AQ799" s="8"/>
      <c r="AR799" s="8"/>
      <c r="AS799" s="8"/>
      <c r="AT799" s="8"/>
      <c r="AU799" s="8"/>
      <c r="AV799" s="8"/>
      <c r="AW799" s="8"/>
    </row>
    <row r="800" customFormat="false" ht="15.75" hidden="false" customHeight="true" outlineLevel="0" collapsed="false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  <c r="AG800" s="8"/>
      <c r="AH800" s="8"/>
      <c r="AI800" s="8"/>
      <c r="AJ800" s="8"/>
      <c r="AK800" s="8"/>
      <c r="AL800" s="8"/>
      <c r="AM800" s="8"/>
      <c r="AN800" s="8"/>
      <c r="AO800" s="8"/>
      <c r="AP800" s="8"/>
      <c r="AQ800" s="8"/>
      <c r="AR800" s="8"/>
      <c r="AS800" s="8"/>
      <c r="AT800" s="8"/>
      <c r="AU800" s="8"/>
      <c r="AV800" s="8"/>
      <c r="AW800" s="8"/>
    </row>
    <row r="801" customFormat="false" ht="15.75" hidden="false" customHeight="true" outlineLevel="0" collapsed="false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  <c r="AH801" s="8"/>
      <c r="AI801" s="8"/>
      <c r="AJ801" s="8"/>
      <c r="AK801" s="8"/>
      <c r="AL801" s="8"/>
      <c r="AM801" s="8"/>
      <c r="AN801" s="8"/>
      <c r="AO801" s="8"/>
      <c r="AP801" s="8"/>
      <c r="AQ801" s="8"/>
      <c r="AR801" s="8"/>
      <c r="AS801" s="8"/>
      <c r="AT801" s="8"/>
      <c r="AU801" s="8"/>
      <c r="AV801" s="8"/>
      <c r="AW801" s="8"/>
    </row>
    <row r="802" customFormat="false" ht="15.75" hidden="false" customHeight="true" outlineLevel="0" collapsed="false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  <c r="AG802" s="8"/>
      <c r="AH802" s="8"/>
      <c r="AI802" s="8"/>
      <c r="AJ802" s="8"/>
      <c r="AK802" s="8"/>
      <c r="AL802" s="8"/>
      <c r="AM802" s="8"/>
      <c r="AN802" s="8"/>
      <c r="AO802" s="8"/>
      <c r="AP802" s="8"/>
      <c r="AQ802" s="8"/>
      <c r="AR802" s="8"/>
      <c r="AS802" s="8"/>
      <c r="AT802" s="8"/>
      <c r="AU802" s="8"/>
      <c r="AV802" s="8"/>
      <c r="AW802" s="8"/>
    </row>
    <row r="803" customFormat="false" ht="15.75" hidden="false" customHeight="true" outlineLevel="0" collapsed="false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  <c r="AG803" s="8"/>
      <c r="AH803" s="8"/>
      <c r="AI803" s="8"/>
      <c r="AJ803" s="8"/>
      <c r="AK803" s="8"/>
      <c r="AL803" s="8"/>
      <c r="AM803" s="8"/>
      <c r="AN803" s="8"/>
      <c r="AO803" s="8"/>
      <c r="AP803" s="8"/>
      <c r="AQ803" s="8"/>
      <c r="AR803" s="8"/>
      <c r="AS803" s="8"/>
      <c r="AT803" s="8"/>
      <c r="AU803" s="8"/>
      <c r="AV803" s="8"/>
      <c r="AW803" s="8"/>
    </row>
    <row r="804" customFormat="false" ht="15.75" hidden="false" customHeight="true" outlineLevel="0" collapsed="false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  <c r="AF804" s="8"/>
      <c r="AG804" s="8"/>
      <c r="AH804" s="8"/>
      <c r="AI804" s="8"/>
      <c r="AJ804" s="8"/>
      <c r="AK804" s="8"/>
      <c r="AL804" s="8"/>
      <c r="AM804" s="8"/>
      <c r="AN804" s="8"/>
      <c r="AO804" s="8"/>
      <c r="AP804" s="8"/>
      <c r="AQ804" s="8"/>
      <c r="AR804" s="8"/>
      <c r="AS804" s="8"/>
      <c r="AT804" s="8"/>
      <c r="AU804" s="8"/>
      <c r="AV804" s="8"/>
      <c r="AW804" s="8"/>
    </row>
    <row r="805" customFormat="false" ht="15.75" hidden="false" customHeight="true" outlineLevel="0" collapsed="false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  <c r="AF805" s="8"/>
      <c r="AG805" s="8"/>
      <c r="AH805" s="8"/>
      <c r="AI805" s="8"/>
      <c r="AJ805" s="8"/>
      <c r="AK805" s="8"/>
      <c r="AL805" s="8"/>
      <c r="AM805" s="8"/>
      <c r="AN805" s="8"/>
      <c r="AO805" s="8"/>
      <c r="AP805" s="8"/>
      <c r="AQ805" s="8"/>
      <c r="AR805" s="8"/>
      <c r="AS805" s="8"/>
      <c r="AT805" s="8"/>
      <c r="AU805" s="8"/>
      <c r="AV805" s="8"/>
      <c r="AW805" s="8"/>
    </row>
    <row r="806" customFormat="false" ht="15.75" hidden="false" customHeight="true" outlineLevel="0" collapsed="false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  <c r="AF806" s="8"/>
      <c r="AG806" s="8"/>
      <c r="AH806" s="8"/>
      <c r="AI806" s="8"/>
      <c r="AJ806" s="8"/>
      <c r="AK806" s="8"/>
      <c r="AL806" s="8"/>
      <c r="AM806" s="8"/>
      <c r="AN806" s="8"/>
      <c r="AO806" s="8"/>
      <c r="AP806" s="8"/>
      <c r="AQ806" s="8"/>
      <c r="AR806" s="8"/>
      <c r="AS806" s="8"/>
      <c r="AT806" s="8"/>
      <c r="AU806" s="8"/>
      <c r="AV806" s="8"/>
      <c r="AW806" s="8"/>
    </row>
    <row r="807" customFormat="false" ht="15.75" hidden="false" customHeight="true" outlineLevel="0" collapsed="false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  <c r="AF807" s="8"/>
      <c r="AG807" s="8"/>
      <c r="AH807" s="8"/>
      <c r="AI807" s="8"/>
      <c r="AJ807" s="8"/>
      <c r="AK807" s="8"/>
      <c r="AL807" s="8"/>
      <c r="AM807" s="8"/>
      <c r="AN807" s="8"/>
      <c r="AO807" s="8"/>
      <c r="AP807" s="8"/>
      <c r="AQ807" s="8"/>
      <c r="AR807" s="8"/>
      <c r="AS807" s="8"/>
      <c r="AT807" s="8"/>
      <c r="AU807" s="8"/>
      <c r="AV807" s="8"/>
      <c r="AW807" s="8"/>
    </row>
    <row r="808" customFormat="false" ht="15.75" hidden="false" customHeight="true" outlineLevel="0" collapsed="false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  <c r="AF808" s="8"/>
      <c r="AG808" s="8"/>
      <c r="AH808" s="8"/>
      <c r="AI808" s="8"/>
      <c r="AJ808" s="8"/>
      <c r="AK808" s="8"/>
      <c r="AL808" s="8"/>
      <c r="AM808" s="8"/>
      <c r="AN808" s="8"/>
      <c r="AO808" s="8"/>
      <c r="AP808" s="8"/>
      <c r="AQ808" s="8"/>
      <c r="AR808" s="8"/>
      <c r="AS808" s="8"/>
      <c r="AT808" s="8"/>
      <c r="AU808" s="8"/>
      <c r="AV808" s="8"/>
      <c r="AW808" s="8"/>
    </row>
    <row r="809" customFormat="false" ht="15.75" hidden="false" customHeight="true" outlineLevel="0" collapsed="false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  <c r="AF809" s="8"/>
      <c r="AG809" s="8"/>
      <c r="AH809" s="8"/>
      <c r="AI809" s="8"/>
      <c r="AJ809" s="8"/>
      <c r="AK809" s="8"/>
      <c r="AL809" s="8"/>
      <c r="AM809" s="8"/>
      <c r="AN809" s="8"/>
      <c r="AO809" s="8"/>
      <c r="AP809" s="8"/>
      <c r="AQ809" s="8"/>
      <c r="AR809" s="8"/>
      <c r="AS809" s="8"/>
      <c r="AT809" s="8"/>
      <c r="AU809" s="8"/>
      <c r="AV809" s="8"/>
      <c r="AW809" s="8"/>
    </row>
    <row r="810" customFormat="false" ht="15.75" hidden="false" customHeight="true" outlineLevel="0" collapsed="false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  <c r="AF810" s="8"/>
      <c r="AG810" s="8"/>
      <c r="AH810" s="8"/>
      <c r="AI810" s="8"/>
      <c r="AJ810" s="8"/>
      <c r="AK810" s="8"/>
      <c r="AL810" s="8"/>
      <c r="AM810" s="8"/>
      <c r="AN810" s="8"/>
      <c r="AO810" s="8"/>
      <c r="AP810" s="8"/>
      <c r="AQ810" s="8"/>
      <c r="AR810" s="8"/>
      <c r="AS810" s="8"/>
      <c r="AT810" s="8"/>
      <c r="AU810" s="8"/>
      <c r="AV810" s="8"/>
      <c r="AW810" s="8"/>
    </row>
    <row r="811" customFormat="false" ht="15.75" hidden="false" customHeight="true" outlineLevel="0" collapsed="false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  <c r="AF811" s="8"/>
      <c r="AG811" s="8"/>
      <c r="AH811" s="8"/>
      <c r="AI811" s="8"/>
      <c r="AJ811" s="8"/>
      <c r="AK811" s="8"/>
      <c r="AL811" s="8"/>
      <c r="AM811" s="8"/>
      <c r="AN811" s="8"/>
      <c r="AO811" s="8"/>
      <c r="AP811" s="8"/>
      <c r="AQ811" s="8"/>
      <c r="AR811" s="8"/>
      <c r="AS811" s="8"/>
      <c r="AT811" s="8"/>
      <c r="AU811" s="8"/>
      <c r="AV811" s="8"/>
      <c r="AW811" s="8"/>
    </row>
    <row r="812" customFormat="false" ht="15.75" hidden="false" customHeight="true" outlineLevel="0" collapsed="false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  <c r="AF812" s="8"/>
      <c r="AG812" s="8"/>
      <c r="AH812" s="8"/>
      <c r="AI812" s="8"/>
      <c r="AJ812" s="8"/>
      <c r="AK812" s="8"/>
      <c r="AL812" s="8"/>
      <c r="AM812" s="8"/>
      <c r="AN812" s="8"/>
      <c r="AO812" s="8"/>
      <c r="AP812" s="8"/>
      <c r="AQ812" s="8"/>
      <c r="AR812" s="8"/>
      <c r="AS812" s="8"/>
      <c r="AT812" s="8"/>
      <c r="AU812" s="8"/>
      <c r="AV812" s="8"/>
      <c r="AW812" s="8"/>
    </row>
    <row r="813" customFormat="false" ht="15.75" hidden="false" customHeight="true" outlineLevel="0" collapsed="false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  <c r="AF813" s="8"/>
      <c r="AG813" s="8"/>
      <c r="AH813" s="8"/>
      <c r="AI813" s="8"/>
      <c r="AJ813" s="8"/>
      <c r="AK813" s="8"/>
      <c r="AL813" s="8"/>
      <c r="AM813" s="8"/>
      <c r="AN813" s="8"/>
      <c r="AO813" s="8"/>
      <c r="AP813" s="8"/>
      <c r="AQ813" s="8"/>
      <c r="AR813" s="8"/>
      <c r="AS813" s="8"/>
      <c r="AT813" s="8"/>
      <c r="AU813" s="8"/>
      <c r="AV813" s="8"/>
      <c r="AW813" s="8"/>
    </row>
    <row r="814" customFormat="false" ht="15.75" hidden="false" customHeight="true" outlineLevel="0" collapsed="false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  <c r="AF814" s="8"/>
      <c r="AG814" s="8"/>
      <c r="AH814" s="8"/>
      <c r="AI814" s="8"/>
      <c r="AJ814" s="8"/>
      <c r="AK814" s="8"/>
      <c r="AL814" s="8"/>
      <c r="AM814" s="8"/>
      <c r="AN814" s="8"/>
      <c r="AO814" s="8"/>
      <c r="AP814" s="8"/>
      <c r="AQ814" s="8"/>
      <c r="AR814" s="8"/>
      <c r="AS814" s="8"/>
      <c r="AT814" s="8"/>
      <c r="AU814" s="8"/>
      <c r="AV814" s="8"/>
      <c r="AW814" s="8"/>
    </row>
    <row r="815" customFormat="false" ht="15.75" hidden="false" customHeight="true" outlineLevel="0" collapsed="false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  <c r="AF815" s="8"/>
      <c r="AG815" s="8"/>
      <c r="AH815" s="8"/>
      <c r="AI815" s="8"/>
      <c r="AJ815" s="8"/>
      <c r="AK815" s="8"/>
      <c r="AL815" s="8"/>
      <c r="AM815" s="8"/>
      <c r="AN815" s="8"/>
      <c r="AO815" s="8"/>
      <c r="AP815" s="8"/>
      <c r="AQ815" s="8"/>
      <c r="AR815" s="8"/>
      <c r="AS815" s="8"/>
      <c r="AT815" s="8"/>
      <c r="AU815" s="8"/>
      <c r="AV815" s="8"/>
      <c r="AW815" s="8"/>
    </row>
    <row r="816" customFormat="false" ht="15.75" hidden="false" customHeight="true" outlineLevel="0" collapsed="false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  <c r="AF816" s="8"/>
      <c r="AG816" s="8"/>
      <c r="AH816" s="8"/>
      <c r="AI816" s="8"/>
      <c r="AJ816" s="8"/>
      <c r="AK816" s="8"/>
      <c r="AL816" s="8"/>
      <c r="AM816" s="8"/>
      <c r="AN816" s="8"/>
      <c r="AO816" s="8"/>
      <c r="AP816" s="8"/>
      <c r="AQ816" s="8"/>
      <c r="AR816" s="8"/>
      <c r="AS816" s="8"/>
      <c r="AT816" s="8"/>
      <c r="AU816" s="8"/>
      <c r="AV816" s="8"/>
      <c r="AW816" s="8"/>
    </row>
    <row r="817" customFormat="false" ht="15.75" hidden="false" customHeight="true" outlineLevel="0" collapsed="false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  <c r="AF817" s="8"/>
      <c r="AG817" s="8"/>
      <c r="AH817" s="8"/>
      <c r="AI817" s="8"/>
      <c r="AJ817" s="8"/>
      <c r="AK817" s="8"/>
      <c r="AL817" s="8"/>
      <c r="AM817" s="8"/>
      <c r="AN817" s="8"/>
      <c r="AO817" s="8"/>
      <c r="AP817" s="8"/>
      <c r="AQ817" s="8"/>
      <c r="AR817" s="8"/>
      <c r="AS817" s="8"/>
      <c r="AT817" s="8"/>
      <c r="AU817" s="8"/>
      <c r="AV817" s="8"/>
      <c r="AW817" s="8"/>
    </row>
    <row r="818" customFormat="false" ht="15.75" hidden="false" customHeight="true" outlineLevel="0" collapsed="false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  <c r="AF818" s="8"/>
      <c r="AG818" s="8"/>
      <c r="AH818" s="8"/>
      <c r="AI818" s="8"/>
      <c r="AJ818" s="8"/>
      <c r="AK818" s="8"/>
      <c r="AL818" s="8"/>
      <c r="AM818" s="8"/>
      <c r="AN818" s="8"/>
      <c r="AO818" s="8"/>
      <c r="AP818" s="8"/>
      <c r="AQ818" s="8"/>
      <c r="AR818" s="8"/>
      <c r="AS818" s="8"/>
      <c r="AT818" s="8"/>
      <c r="AU818" s="8"/>
      <c r="AV818" s="8"/>
      <c r="AW818" s="8"/>
    </row>
    <row r="819" customFormat="false" ht="15.75" hidden="false" customHeight="true" outlineLevel="0" collapsed="false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  <c r="AF819" s="8"/>
      <c r="AG819" s="8"/>
      <c r="AH819" s="8"/>
      <c r="AI819" s="8"/>
      <c r="AJ819" s="8"/>
      <c r="AK819" s="8"/>
      <c r="AL819" s="8"/>
      <c r="AM819" s="8"/>
      <c r="AN819" s="8"/>
      <c r="AO819" s="8"/>
      <c r="AP819" s="8"/>
      <c r="AQ819" s="8"/>
      <c r="AR819" s="8"/>
      <c r="AS819" s="8"/>
      <c r="AT819" s="8"/>
      <c r="AU819" s="8"/>
      <c r="AV819" s="8"/>
      <c r="AW819" s="8"/>
    </row>
    <row r="820" customFormat="false" ht="15.75" hidden="false" customHeight="true" outlineLevel="0" collapsed="false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  <c r="AF820" s="8"/>
      <c r="AG820" s="8"/>
      <c r="AH820" s="8"/>
      <c r="AI820" s="8"/>
      <c r="AJ820" s="8"/>
      <c r="AK820" s="8"/>
      <c r="AL820" s="8"/>
      <c r="AM820" s="8"/>
      <c r="AN820" s="8"/>
      <c r="AO820" s="8"/>
      <c r="AP820" s="8"/>
      <c r="AQ820" s="8"/>
      <c r="AR820" s="8"/>
      <c r="AS820" s="8"/>
      <c r="AT820" s="8"/>
      <c r="AU820" s="8"/>
      <c r="AV820" s="8"/>
      <c r="AW820" s="8"/>
    </row>
    <row r="821" customFormat="false" ht="15.75" hidden="false" customHeight="true" outlineLevel="0" collapsed="false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  <c r="AF821" s="8"/>
      <c r="AG821" s="8"/>
      <c r="AH821" s="8"/>
      <c r="AI821" s="8"/>
      <c r="AJ821" s="8"/>
      <c r="AK821" s="8"/>
      <c r="AL821" s="8"/>
      <c r="AM821" s="8"/>
      <c r="AN821" s="8"/>
      <c r="AO821" s="8"/>
      <c r="AP821" s="8"/>
      <c r="AQ821" s="8"/>
      <c r="AR821" s="8"/>
      <c r="AS821" s="8"/>
      <c r="AT821" s="8"/>
      <c r="AU821" s="8"/>
      <c r="AV821" s="8"/>
      <c r="AW821" s="8"/>
    </row>
    <row r="822" customFormat="false" ht="15.75" hidden="false" customHeight="true" outlineLevel="0" collapsed="false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  <c r="AF822" s="8"/>
      <c r="AG822" s="8"/>
      <c r="AH822" s="8"/>
      <c r="AI822" s="8"/>
      <c r="AJ822" s="8"/>
      <c r="AK822" s="8"/>
      <c r="AL822" s="8"/>
      <c r="AM822" s="8"/>
      <c r="AN822" s="8"/>
      <c r="AO822" s="8"/>
      <c r="AP822" s="8"/>
      <c r="AQ822" s="8"/>
      <c r="AR822" s="8"/>
      <c r="AS822" s="8"/>
      <c r="AT822" s="8"/>
      <c r="AU822" s="8"/>
      <c r="AV822" s="8"/>
      <c r="AW822" s="8"/>
    </row>
    <row r="823" customFormat="false" ht="15.75" hidden="false" customHeight="true" outlineLevel="0" collapsed="false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  <c r="AF823" s="8"/>
      <c r="AG823" s="8"/>
      <c r="AH823" s="8"/>
      <c r="AI823" s="8"/>
      <c r="AJ823" s="8"/>
      <c r="AK823" s="8"/>
      <c r="AL823" s="8"/>
      <c r="AM823" s="8"/>
      <c r="AN823" s="8"/>
      <c r="AO823" s="8"/>
      <c r="AP823" s="8"/>
      <c r="AQ823" s="8"/>
      <c r="AR823" s="8"/>
      <c r="AS823" s="8"/>
      <c r="AT823" s="8"/>
      <c r="AU823" s="8"/>
      <c r="AV823" s="8"/>
      <c r="AW823" s="8"/>
    </row>
    <row r="824" customFormat="false" ht="15.75" hidden="false" customHeight="true" outlineLevel="0" collapsed="false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  <c r="AF824" s="8"/>
      <c r="AG824" s="8"/>
      <c r="AH824" s="8"/>
      <c r="AI824" s="8"/>
      <c r="AJ824" s="8"/>
      <c r="AK824" s="8"/>
      <c r="AL824" s="8"/>
      <c r="AM824" s="8"/>
      <c r="AN824" s="8"/>
      <c r="AO824" s="8"/>
      <c r="AP824" s="8"/>
      <c r="AQ824" s="8"/>
      <c r="AR824" s="8"/>
      <c r="AS824" s="8"/>
      <c r="AT824" s="8"/>
      <c r="AU824" s="8"/>
      <c r="AV824" s="8"/>
      <c r="AW824" s="8"/>
    </row>
    <row r="825" customFormat="false" ht="15.75" hidden="false" customHeight="true" outlineLevel="0" collapsed="false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  <c r="AF825" s="8"/>
      <c r="AG825" s="8"/>
      <c r="AH825" s="8"/>
      <c r="AI825" s="8"/>
      <c r="AJ825" s="8"/>
      <c r="AK825" s="8"/>
      <c r="AL825" s="8"/>
      <c r="AM825" s="8"/>
      <c r="AN825" s="8"/>
      <c r="AO825" s="8"/>
      <c r="AP825" s="8"/>
      <c r="AQ825" s="8"/>
      <c r="AR825" s="8"/>
      <c r="AS825" s="8"/>
      <c r="AT825" s="8"/>
      <c r="AU825" s="8"/>
      <c r="AV825" s="8"/>
      <c r="AW825" s="8"/>
    </row>
    <row r="826" customFormat="false" ht="15.75" hidden="false" customHeight="true" outlineLevel="0" collapsed="false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  <c r="AF826" s="8"/>
      <c r="AG826" s="8"/>
      <c r="AH826" s="8"/>
      <c r="AI826" s="8"/>
      <c r="AJ826" s="8"/>
      <c r="AK826" s="8"/>
      <c r="AL826" s="8"/>
      <c r="AM826" s="8"/>
      <c r="AN826" s="8"/>
      <c r="AO826" s="8"/>
      <c r="AP826" s="8"/>
      <c r="AQ826" s="8"/>
      <c r="AR826" s="8"/>
      <c r="AS826" s="8"/>
      <c r="AT826" s="8"/>
      <c r="AU826" s="8"/>
      <c r="AV826" s="8"/>
      <c r="AW826" s="8"/>
    </row>
    <row r="827" customFormat="false" ht="15.75" hidden="false" customHeight="true" outlineLevel="0" collapsed="false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  <c r="AF827" s="8"/>
      <c r="AG827" s="8"/>
      <c r="AH827" s="8"/>
      <c r="AI827" s="8"/>
      <c r="AJ827" s="8"/>
      <c r="AK827" s="8"/>
      <c r="AL827" s="8"/>
      <c r="AM827" s="8"/>
      <c r="AN827" s="8"/>
      <c r="AO827" s="8"/>
      <c r="AP827" s="8"/>
      <c r="AQ827" s="8"/>
      <c r="AR827" s="8"/>
      <c r="AS827" s="8"/>
      <c r="AT827" s="8"/>
      <c r="AU827" s="8"/>
      <c r="AV827" s="8"/>
      <c r="AW827" s="8"/>
    </row>
    <row r="828" customFormat="false" ht="15.75" hidden="false" customHeight="true" outlineLevel="0" collapsed="false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  <c r="AF828" s="8"/>
      <c r="AG828" s="8"/>
      <c r="AH828" s="8"/>
      <c r="AI828" s="8"/>
      <c r="AJ828" s="8"/>
      <c r="AK828" s="8"/>
      <c r="AL828" s="8"/>
      <c r="AM828" s="8"/>
      <c r="AN828" s="8"/>
      <c r="AO828" s="8"/>
      <c r="AP828" s="8"/>
      <c r="AQ828" s="8"/>
      <c r="AR828" s="8"/>
      <c r="AS828" s="8"/>
      <c r="AT828" s="8"/>
      <c r="AU828" s="8"/>
      <c r="AV828" s="8"/>
      <c r="AW828" s="8"/>
    </row>
    <row r="829" customFormat="false" ht="15.75" hidden="false" customHeight="true" outlineLevel="0" collapsed="false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  <c r="AF829" s="8"/>
      <c r="AG829" s="8"/>
      <c r="AH829" s="8"/>
      <c r="AI829" s="8"/>
      <c r="AJ829" s="8"/>
      <c r="AK829" s="8"/>
      <c r="AL829" s="8"/>
      <c r="AM829" s="8"/>
      <c r="AN829" s="8"/>
      <c r="AO829" s="8"/>
      <c r="AP829" s="8"/>
      <c r="AQ829" s="8"/>
      <c r="AR829" s="8"/>
      <c r="AS829" s="8"/>
      <c r="AT829" s="8"/>
      <c r="AU829" s="8"/>
      <c r="AV829" s="8"/>
      <c r="AW829" s="8"/>
    </row>
    <row r="830" customFormat="false" ht="15.75" hidden="false" customHeight="true" outlineLevel="0" collapsed="false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  <c r="AF830" s="8"/>
      <c r="AG830" s="8"/>
      <c r="AH830" s="8"/>
      <c r="AI830" s="8"/>
      <c r="AJ830" s="8"/>
      <c r="AK830" s="8"/>
      <c r="AL830" s="8"/>
      <c r="AM830" s="8"/>
      <c r="AN830" s="8"/>
      <c r="AO830" s="8"/>
      <c r="AP830" s="8"/>
      <c r="AQ830" s="8"/>
      <c r="AR830" s="8"/>
      <c r="AS830" s="8"/>
      <c r="AT830" s="8"/>
      <c r="AU830" s="8"/>
      <c r="AV830" s="8"/>
      <c r="AW830" s="8"/>
    </row>
    <row r="831" customFormat="false" ht="15.75" hidden="false" customHeight="true" outlineLevel="0" collapsed="false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  <c r="AF831" s="8"/>
      <c r="AG831" s="8"/>
      <c r="AH831" s="8"/>
      <c r="AI831" s="8"/>
      <c r="AJ831" s="8"/>
      <c r="AK831" s="8"/>
      <c r="AL831" s="8"/>
      <c r="AM831" s="8"/>
      <c r="AN831" s="8"/>
      <c r="AO831" s="8"/>
      <c r="AP831" s="8"/>
      <c r="AQ831" s="8"/>
      <c r="AR831" s="8"/>
      <c r="AS831" s="8"/>
      <c r="AT831" s="8"/>
      <c r="AU831" s="8"/>
      <c r="AV831" s="8"/>
      <c r="AW831" s="8"/>
    </row>
    <row r="832" customFormat="false" ht="15.75" hidden="false" customHeight="true" outlineLevel="0" collapsed="false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  <c r="AF832" s="8"/>
      <c r="AG832" s="8"/>
      <c r="AH832" s="8"/>
      <c r="AI832" s="8"/>
      <c r="AJ832" s="8"/>
      <c r="AK832" s="8"/>
      <c r="AL832" s="8"/>
      <c r="AM832" s="8"/>
      <c r="AN832" s="8"/>
      <c r="AO832" s="8"/>
      <c r="AP832" s="8"/>
      <c r="AQ832" s="8"/>
      <c r="AR832" s="8"/>
      <c r="AS832" s="8"/>
      <c r="AT832" s="8"/>
      <c r="AU832" s="8"/>
      <c r="AV832" s="8"/>
      <c r="AW832" s="8"/>
    </row>
    <row r="833" customFormat="false" ht="15.75" hidden="false" customHeight="true" outlineLevel="0" collapsed="false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  <c r="AF833" s="8"/>
      <c r="AG833" s="8"/>
      <c r="AH833" s="8"/>
      <c r="AI833" s="8"/>
      <c r="AJ833" s="8"/>
      <c r="AK833" s="8"/>
      <c r="AL833" s="8"/>
      <c r="AM833" s="8"/>
      <c r="AN833" s="8"/>
      <c r="AO833" s="8"/>
      <c r="AP833" s="8"/>
      <c r="AQ833" s="8"/>
      <c r="AR833" s="8"/>
      <c r="AS833" s="8"/>
      <c r="AT833" s="8"/>
      <c r="AU833" s="8"/>
      <c r="AV833" s="8"/>
      <c r="AW833" s="8"/>
    </row>
    <row r="834" customFormat="false" ht="15.75" hidden="false" customHeight="true" outlineLevel="0" collapsed="false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  <c r="AF834" s="8"/>
      <c r="AG834" s="8"/>
      <c r="AH834" s="8"/>
      <c r="AI834" s="8"/>
      <c r="AJ834" s="8"/>
      <c r="AK834" s="8"/>
      <c r="AL834" s="8"/>
      <c r="AM834" s="8"/>
      <c r="AN834" s="8"/>
      <c r="AO834" s="8"/>
      <c r="AP834" s="8"/>
      <c r="AQ834" s="8"/>
      <c r="AR834" s="8"/>
      <c r="AS834" s="8"/>
      <c r="AT834" s="8"/>
      <c r="AU834" s="8"/>
      <c r="AV834" s="8"/>
      <c r="AW834" s="8"/>
    </row>
    <row r="835" customFormat="false" ht="15.75" hidden="false" customHeight="true" outlineLevel="0" collapsed="false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  <c r="AF835" s="8"/>
      <c r="AG835" s="8"/>
      <c r="AH835" s="8"/>
      <c r="AI835" s="8"/>
      <c r="AJ835" s="8"/>
      <c r="AK835" s="8"/>
      <c r="AL835" s="8"/>
      <c r="AM835" s="8"/>
      <c r="AN835" s="8"/>
      <c r="AO835" s="8"/>
      <c r="AP835" s="8"/>
      <c r="AQ835" s="8"/>
      <c r="AR835" s="8"/>
      <c r="AS835" s="8"/>
      <c r="AT835" s="8"/>
      <c r="AU835" s="8"/>
      <c r="AV835" s="8"/>
      <c r="AW835" s="8"/>
    </row>
    <row r="836" customFormat="false" ht="15.75" hidden="false" customHeight="true" outlineLevel="0" collapsed="false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  <c r="AF836" s="8"/>
      <c r="AG836" s="8"/>
      <c r="AH836" s="8"/>
      <c r="AI836" s="8"/>
      <c r="AJ836" s="8"/>
      <c r="AK836" s="8"/>
      <c r="AL836" s="8"/>
      <c r="AM836" s="8"/>
      <c r="AN836" s="8"/>
      <c r="AO836" s="8"/>
      <c r="AP836" s="8"/>
      <c r="AQ836" s="8"/>
      <c r="AR836" s="8"/>
      <c r="AS836" s="8"/>
      <c r="AT836" s="8"/>
      <c r="AU836" s="8"/>
      <c r="AV836" s="8"/>
      <c r="AW836" s="8"/>
    </row>
    <row r="837" customFormat="false" ht="15.75" hidden="false" customHeight="true" outlineLevel="0" collapsed="false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  <c r="AF837" s="8"/>
      <c r="AG837" s="8"/>
      <c r="AH837" s="8"/>
      <c r="AI837" s="8"/>
      <c r="AJ837" s="8"/>
      <c r="AK837" s="8"/>
      <c r="AL837" s="8"/>
      <c r="AM837" s="8"/>
      <c r="AN837" s="8"/>
      <c r="AO837" s="8"/>
      <c r="AP837" s="8"/>
      <c r="AQ837" s="8"/>
      <c r="AR837" s="8"/>
      <c r="AS837" s="8"/>
      <c r="AT837" s="8"/>
      <c r="AU837" s="8"/>
      <c r="AV837" s="8"/>
      <c r="AW837" s="8"/>
    </row>
    <row r="838" customFormat="false" ht="15.75" hidden="false" customHeight="true" outlineLevel="0" collapsed="false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  <c r="AF838" s="8"/>
      <c r="AG838" s="8"/>
      <c r="AH838" s="8"/>
      <c r="AI838" s="8"/>
      <c r="AJ838" s="8"/>
      <c r="AK838" s="8"/>
      <c r="AL838" s="8"/>
      <c r="AM838" s="8"/>
      <c r="AN838" s="8"/>
      <c r="AO838" s="8"/>
      <c r="AP838" s="8"/>
      <c r="AQ838" s="8"/>
      <c r="AR838" s="8"/>
      <c r="AS838" s="8"/>
      <c r="AT838" s="8"/>
      <c r="AU838" s="8"/>
      <c r="AV838" s="8"/>
      <c r="AW838" s="8"/>
    </row>
    <row r="839" customFormat="false" ht="15.75" hidden="false" customHeight="true" outlineLevel="0" collapsed="false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  <c r="AF839" s="8"/>
      <c r="AG839" s="8"/>
      <c r="AH839" s="8"/>
      <c r="AI839" s="8"/>
      <c r="AJ839" s="8"/>
      <c r="AK839" s="8"/>
      <c r="AL839" s="8"/>
      <c r="AM839" s="8"/>
      <c r="AN839" s="8"/>
      <c r="AO839" s="8"/>
      <c r="AP839" s="8"/>
      <c r="AQ839" s="8"/>
      <c r="AR839" s="8"/>
      <c r="AS839" s="8"/>
      <c r="AT839" s="8"/>
      <c r="AU839" s="8"/>
      <c r="AV839" s="8"/>
      <c r="AW839" s="8"/>
    </row>
    <row r="840" customFormat="false" ht="15.75" hidden="false" customHeight="true" outlineLevel="0" collapsed="false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  <c r="AF840" s="8"/>
      <c r="AG840" s="8"/>
      <c r="AH840" s="8"/>
      <c r="AI840" s="8"/>
      <c r="AJ840" s="8"/>
      <c r="AK840" s="8"/>
      <c r="AL840" s="8"/>
      <c r="AM840" s="8"/>
      <c r="AN840" s="8"/>
      <c r="AO840" s="8"/>
      <c r="AP840" s="8"/>
      <c r="AQ840" s="8"/>
      <c r="AR840" s="8"/>
      <c r="AS840" s="8"/>
      <c r="AT840" s="8"/>
      <c r="AU840" s="8"/>
      <c r="AV840" s="8"/>
      <c r="AW840" s="8"/>
    </row>
    <row r="841" customFormat="false" ht="15.75" hidden="false" customHeight="true" outlineLevel="0" collapsed="false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  <c r="AF841" s="8"/>
      <c r="AG841" s="8"/>
      <c r="AH841" s="8"/>
      <c r="AI841" s="8"/>
      <c r="AJ841" s="8"/>
      <c r="AK841" s="8"/>
      <c r="AL841" s="8"/>
      <c r="AM841" s="8"/>
      <c r="AN841" s="8"/>
      <c r="AO841" s="8"/>
      <c r="AP841" s="8"/>
      <c r="AQ841" s="8"/>
      <c r="AR841" s="8"/>
      <c r="AS841" s="8"/>
      <c r="AT841" s="8"/>
      <c r="AU841" s="8"/>
      <c r="AV841" s="8"/>
      <c r="AW841" s="8"/>
    </row>
    <row r="842" customFormat="false" ht="15.75" hidden="false" customHeight="true" outlineLevel="0" collapsed="false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  <c r="AF842" s="8"/>
      <c r="AG842" s="8"/>
      <c r="AH842" s="8"/>
      <c r="AI842" s="8"/>
      <c r="AJ842" s="8"/>
      <c r="AK842" s="8"/>
      <c r="AL842" s="8"/>
      <c r="AM842" s="8"/>
      <c r="AN842" s="8"/>
      <c r="AO842" s="8"/>
      <c r="AP842" s="8"/>
      <c r="AQ842" s="8"/>
      <c r="AR842" s="8"/>
      <c r="AS842" s="8"/>
      <c r="AT842" s="8"/>
      <c r="AU842" s="8"/>
      <c r="AV842" s="8"/>
      <c r="AW842" s="8"/>
    </row>
    <row r="843" customFormat="false" ht="15.75" hidden="false" customHeight="true" outlineLevel="0" collapsed="false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  <c r="AF843" s="8"/>
      <c r="AG843" s="8"/>
      <c r="AH843" s="8"/>
      <c r="AI843" s="8"/>
      <c r="AJ843" s="8"/>
      <c r="AK843" s="8"/>
      <c r="AL843" s="8"/>
      <c r="AM843" s="8"/>
      <c r="AN843" s="8"/>
      <c r="AO843" s="8"/>
      <c r="AP843" s="8"/>
      <c r="AQ843" s="8"/>
      <c r="AR843" s="8"/>
      <c r="AS843" s="8"/>
      <c r="AT843" s="8"/>
      <c r="AU843" s="8"/>
      <c r="AV843" s="8"/>
      <c r="AW843" s="8"/>
    </row>
    <row r="844" customFormat="false" ht="15.75" hidden="false" customHeight="true" outlineLevel="0" collapsed="false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  <c r="AF844" s="8"/>
      <c r="AG844" s="8"/>
      <c r="AH844" s="8"/>
      <c r="AI844" s="8"/>
      <c r="AJ844" s="8"/>
      <c r="AK844" s="8"/>
      <c r="AL844" s="8"/>
      <c r="AM844" s="8"/>
      <c r="AN844" s="8"/>
      <c r="AO844" s="8"/>
      <c r="AP844" s="8"/>
      <c r="AQ844" s="8"/>
      <c r="AR844" s="8"/>
      <c r="AS844" s="8"/>
      <c r="AT844" s="8"/>
      <c r="AU844" s="8"/>
      <c r="AV844" s="8"/>
      <c r="AW844" s="8"/>
    </row>
    <row r="845" customFormat="false" ht="15.75" hidden="false" customHeight="true" outlineLevel="0" collapsed="false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  <c r="AF845" s="8"/>
      <c r="AG845" s="8"/>
      <c r="AH845" s="8"/>
      <c r="AI845" s="8"/>
      <c r="AJ845" s="8"/>
      <c r="AK845" s="8"/>
      <c r="AL845" s="8"/>
      <c r="AM845" s="8"/>
      <c r="AN845" s="8"/>
      <c r="AO845" s="8"/>
      <c r="AP845" s="8"/>
      <c r="AQ845" s="8"/>
      <c r="AR845" s="8"/>
      <c r="AS845" s="8"/>
      <c r="AT845" s="8"/>
      <c r="AU845" s="8"/>
      <c r="AV845" s="8"/>
      <c r="AW845" s="8"/>
    </row>
    <row r="846" customFormat="false" ht="15.75" hidden="false" customHeight="true" outlineLevel="0" collapsed="false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  <c r="AF846" s="8"/>
      <c r="AG846" s="8"/>
      <c r="AH846" s="8"/>
      <c r="AI846" s="8"/>
      <c r="AJ846" s="8"/>
      <c r="AK846" s="8"/>
      <c r="AL846" s="8"/>
      <c r="AM846" s="8"/>
      <c r="AN846" s="8"/>
      <c r="AO846" s="8"/>
      <c r="AP846" s="8"/>
      <c r="AQ846" s="8"/>
      <c r="AR846" s="8"/>
      <c r="AS846" s="8"/>
      <c r="AT846" s="8"/>
      <c r="AU846" s="8"/>
      <c r="AV846" s="8"/>
      <c r="AW846" s="8"/>
    </row>
    <row r="847" customFormat="false" ht="15.75" hidden="false" customHeight="true" outlineLevel="0" collapsed="false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  <c r="AF847" s="8"/>
      <c r="AG847" s="8"/>
      <c r="AH847" s="8"/>
      <c r="AI847" s="8"/>
      <c r="AJ847" s="8"/>
      <c r="AK847" s="8"/>
      <c r="AL847" s="8"/>
      <c r="AM847" s="8"/>
      <c r="AN847" s="8"/>
      <c r="AO847" s="8"/>
      <c r="AP847" s="8"/>
      <c r="AQ847" s="8"/>
      <c r="AR847" s="8"/>
      <c r="AS847" s="8"/>
      <c r="AT847" s="8"/>
      <c r="AU847" s="8"/>
      <c r="AV847" s="8"/>
      <c r="AW847" s="8"/>
    </row>
    <row r="848" customFormat="false" ht="15.75" hidden="false" customHeight="true" outlineLevel="0" collapsed="false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  <c r="AF848" s="8"/>
      <c r="AG848" s="8"/>
      <c r="AH848" s="8"/>
      <c r="AI848" s="8"/>
      <c r="AJ848" s="8"/>
      <c r="AK848" s="8"/>
      <c r="AL848" s="8"/>
      <c r="AM848" s="8"/>
      <c r="AN848" s="8"/>
      <c r="AO848" s="8"/>
      <c r="AP848" s="8"/>
      <c r="AQ848" s="8"/>
      <c r="AR848" s="8"/>
      <c r="AS848" s="8"/>
      <c r="AT848" s="8"/>
      <c r="AU848" s="8"/>
      <c r="AV848" s="8"/>
      <c r="AW848" s="8"/>
    </row>
    <row r="849" customFormat="false" ht="15.75" hidden="false" customHeight="true" outlineLevel="0" collapsed="false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  <c r="AF849" s="8"/>
      <c r="AG849" s="8"/>
      <c r="AH849" s="8"/>
      <c r="AI849" s="8"/>
      <c r="AJ849" s="8"/>
      <c r="AK849" s="8"/>
      <c r="AL849" s="8"/>
      <c r="AM849" s="8"/>
      <c r="AN849" s="8"/>
      <c r="AO849" s="8"/>
      <c r="AP849" s="8"/>
      <c r="AQ849" s="8"/>
      <c r="AR849" s="8"/>
      <c r="AS849" s="8"/>
      <c r="AT849" s="8"/>
      <c r="AU849" s="8"/>
      <c r="AV849" s="8"/>
      <c r="AW849" s="8"/>
    </row>
    <row r="850" customFormat="false" ht="15.75" hidden="false" customHeight="true" outlineLevel="0" collapsed="false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  <c r="AF850" s="8"/>
      <c r="AG850" s="8"/>
      <c r="AH850" s="8"/>
      <c r="AI850" s="8"/>
      <c r="AJ850" s="8"/>
      <c r="AK850" s="8"/>
      <c r="AL850" s="8"/>
      <c r="AM850" s="8"/>
      <c r="AN850" s="8"/>
      <c r="AO850" s="8"/>
      <c r="AP850" s="8"/>
      <c r="AQ850" s="8"/>
      <c r="AR850" s="8"/>
      <c r="AS850" s="8"/>
      <c r="AT850" s="8"/>
      <c r="AU850" s="8"/>
      <c r="AV850" s="8"/>
      <c r="AW850" s="8"/>
    </row>
    <row r="851" customFormat="false" ht="15.75" hidden="false" customHeight="true" outlineLevel="0" collapsed="false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  <c r="AF851" s="8"/>
      <c r="AG851" s="8"/>
      <c r="AH851" s="8"/>
      <c r="AI851" s="8"/>
      <c r="AJ851" s="8"/>
      <c r="AK851" s="8"/>
      <c r="AL851" s="8"/>
      <c r="AM851" s="8"/>
      <c r="AN851" s="8"/>
      <c r="AO851" s="8"/>
      <c r="AP851" s="8"/>
      <c r="AQ851" s="8"/>
      <c r="AR851" s="8"/>
      <c r="AS851" s="8"/>
      <c r="AT851" s="8"/>
      <c r="AU851" s="8"/>
      <c r="AV851" s="8"/>
      <c r="AW851" s="8"/>
    </row>
    <row r="852" customFormat="false" ht="15.75" hidden="false" customHeight="true" outlineLevel="0" collapsed="false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  <c r="AF852" s="8"/>
      <c r="AG852" s="8"/>
      <c r="AH852" s="8"/>
      <c r="AI852" s="8"/>
      <c r="AJ852" s="8"/>
      <c r="AK852" s="8"/>
      <c r="AL852" s="8"/>
      <c r="AM852" s="8"/>
      <c r="AN852" s="8"/>
      <c r="AO852" s="8"/>
      <c r="AP852" s="8"/>
      <c r="AQ852" s="8"/>
      <c r="AR852" s="8"/>
      <c r="AS852" s="8"/>
      <c r="AT852" s="8"/>
      <c r="AU852" s="8"/>
      <c r="AV852" s="8"/>
      <c r="AW852" s="8"/>
    </row>
    <row r="853" customFormat="false" ht="15.75" hidden="false" customHeight="true" outlineLevel="0" collapsed="false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  <c r="AF853" s="8"/>
      <c r="AG853" s="8"/>
      <c r="AH853" s="8"/>
      <c r="AI853" s="8"/>
      <c r="AJ853" s="8"/>
      <c r="AK853" s="8"/>
      <c r="AL853" s="8"/>
      <c r="AM853" s="8"/>
      <c r="AN853" s="8"/>
      <c r="AO853" s="8"/>
      <c r="AP853" s="8"/>
      <c r="AQ853" s="8"/>
      <c r="AR853" s="8"/>
      <c r="AS853" s="8"/>
      <c r="AT853" s="8"/>
      <c r="AU853" s="8"/>
      <c r="AV853" s="8"/>
      <c r="AW853" s="8"/>
    </row>
    <row r="854" customFormat="false" ht="15.75" hidden="false" customHeight="true" outlineLevel="0" collapsed="false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  <c r="AF854" s="8"/>
      <c r="AG854" s="8"/>
      <c r="AH854" s="8"/>
      <c r="AI854" s="8"/>
      <c r="AJ854" s="8"/>
      <c r="AK854" s="8"/>
      <c r="AL854" s="8"/>
      <c r="AM854" s="8"/>
      <c r="AN854" s="8"/>
      <c r="AO854" s="8"/>
      <c r="AP854" s="8"/>
      <c r="AQ854" s="8"/>
      <c r="AR854" s="8"/>
      <c r="AS854" s="8"/>
      <c r="AT854" s="8"/>
      <c r="AU854" s="8"/>
      <c r="AV854" s="8"/>
      <c r="AW854" s="8"/>
    </row>
    <row r="855" customFormat="false" ht="15.75" hidden="false" customHeight="true" outlineLevel="0" collapsed="false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  <c r="AF855" s="8"/>
      <c r="AG855" s="8"/>
      <c r="AH855" s="8"/>
      <c r="AI855" s="8"/>
      <c r="AJ855" s="8"/>
      <c r="AK855" s="8"/>
      <c r="AL855" s="8"/>
      <c r="AM855" s="8"/>
      <c r="AN855" s="8"/>
      <c r="AO855" s="8"/>
      <c r="AP855" s="8"/>
      <c r="AQ855" s="8"/>
      <c r="AR855" s="8"/>
      <c r="AS855" s="8"/>
      <c r="AT855" s="8"/>
      <c r="AU855" s="8"/>
      <c r="AV855" s="8"/>
      <c r="AW855" s="8"/>
    </row>
    <row r="856" customFormat="false" ht="15.75" hidden="false" customHeight="true" outlineLevel="0" collapsed="false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  <c r="AF856" s="8"/>
      <c r="AG856" s="8"/>
      <c r="AH856" s="8"/>
      <c r="AI856" s="8"/>
      <c r="AJ856" s="8"/>
      <c r="AK856" s="8"/>
      <c r="AL856" s="8"/>
      <c r="AM856" s="8"/>
      <c r="AN856" s="8"/>
      <c r="AO856" s="8"/>
      <c r="AP856" s="8"/>
      <c r="AQ856" s="8"/>
      <c r="AR856" s="8"/>
      <c r="AS856" s="8"/>
      <c r="AT856" s="8"/>
      <c r="AU856" s="8"/>
      <c r="AV856" s="8"/>
      <c r="AW856" s="8"/>
    </row>
    <row r="857" customFormat="false" ht="15.75" hidden="false" customHeight="true" outlineLevel="0" collapsed="false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  <c r="AF857" s="8"/>
      <c r="AG857" s="8"/>
      <c r="AH857" s="8"/>
      <c r="AI857" s="8"/>
      <c r="AJ857" s="8"/>
      <c r="AK857" s="8"/>
      <c r="AL857" s="8"/>
      <c r="AM857" s="8"/>
      <c r="AN857" s="8"/>
      <c r="AO857" s="8"/>
      <c r="AP857" s="8"/>
      <c r="AQ857" s="8"/>
      <c r="AR857" s="8"/>
      <c r="AS857" s="8"/>
      <c r="AT857" s="8"/>
      <c r="AU857" s="8"/>
      <c r="AV857" s="8"/>
      <c r="AW857" s="8"/>
    </row>
    <row r="858" customFormat="false" ht="15.75" hidden="false" customHeight="true" outlineLevel="0" collapsed="false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  <c r="AF858" s="8"/>
      <c r="AG858" s="8"/>
      <c r="AH858" s="8"/>
      <c r="AI858" s="8"/>
      <c r="AJ858" s="8"/>
      <c r="AK858" s="8"/>
      <c r="AL858" s="8"/>
      <c r="AM858" s="8"/>
      <c r="AN858" s="8"/>
      <c r="AO858" s="8"/>
      <c r="AP858" s="8"/>
      <c r="AQ858" s="8"/>
      <c r="AR858" s="8"/>
      <c r="AS858" s="8"/>
      <c r="AT858" s="8"/>
      <c r="AU858" s="8"/>
      <c r="AV858" s="8"/>
      <c r="AW858" s="8"/>
    </row>
    <row r="859" customFormat="false" ht="15.75" hidden="false" customHeight="true" outlineLevel="0" collapsed="false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  <c r="AF859" s="8"/>
      <c r="AG859" s="8"/>
      <c r="AH859" s="8"/>
      <c r="AI859" s="8"/>
      <c r="AJ859" s="8"/>
      <c r="AK859" s="8"/>
      <c r="AL859" s="8"/>
      <c r="AM859" s="8"/>
      <c r="AN859" s="8"/>
      <c r="AO859" s="8"/>
      <c r="AP859" s="8"/>
      <c r="AQ859" s="8"/>
      <c r="AR859" s="8"/>
      <c r="AS859" s="8"/>
      <c r="AT859" s="8"/>
      <c r="AU859" s="8"/>
      <c r="AV859" s="8"/>
      <c r="AW859" s="8"/>
    </row>
    <row r="860" customFormat="false" ht="15.75" hidden="false" customHeight="true" outlineLevel="0" collapsed="false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  <c r="AF860" s="8"/>
      <c r="AG860" s="8"/>
      <c r="AH860" s="8"/>
      <c r="AI860" s="8"/>
      <c r="AJ860" s="8"/>
      <c r="AK860" s="8"/>
      <c r="AL860" s="8"/>
      <c r="AM860" s="8"/>
      <c r="AN860" s="8"/>
      <c r="AO860" s="8"/>
      <c r="AP860" s="8"/>
      <c r="AQ860" s="8"/>
      <c r="AR860" s="8"/>
      <c r="AS860" s="8"/>
      <c r="AT860" s="8"/>
      <c r="AU860" s="8"/>
      <c r="AV860" s="8"/>
      <c r="AW860" s="8"/>
    </row>
    <row r="861" customFormat="false" ht="15.75" hidden="false" customHeight="true" outlineLevel="0" collapsed="false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  <c r="AF861" s="8"/>
      <c r="AG861" s="8"/>
      <c r="AH861" s="8"/>
      <c r="AI861" s="8"/>
      <c r="AJ861" s="8"/>
      <c r="AK861" s="8"/>
      <c r="AL861" s="8"/>
      <c r="AM861" s="8"/>
      <c r="AN861" s="8"/>
      <c r="AO861" s="8"/>
      <c r="AP861" s="8"/>
      <c r="AQ861" s="8"/>
      <c r="AR861" s="8"/>
      <c r="AS861" s="8"/>
      <c r="AT861" s="8"/>
      <c r="AU861" s="8"/>
      <c r="AV861" s="8"/>
      <c r="AW861" s="8"/>
    </row>
    <row r="862" customFormat="false" ht="15.75" hidden="false" customHeight="true" outlineLevel="0" collapsed="false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  <c r="AF862" s="8"/>
      <c r="AG862" s="8"/>
      <c r="AH862" s="8"/>
      <c r="AI862" s="8"/>
      <c r="AJ862" s="8"/>
      <c r="AK862" s="8"/>
      <c r="AL862" s="8"/>
      <c r="AM862" s="8"/>
      <c r="AN862" s="8"/>
      <c r="AO862" s="8"/>
      <c r="AP862" s="8"/>
      <c r="AQ862" s="8"/>
      <c r="AR862" s="8"/>
      <c r="AS862" s="8"/>
      <c r="AT862" s="8"/>
      <c r="AU862" s="8"/>
      <c r="AV862" s="8"/>
      <c r="AW862" s="8"/>
    </row>
    <row r="863" customFormat="false" ht="15.75" hidden="false" customHeight="true" outlineLevel="0" collapsed="false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  <c r="AF863" s="8"/>
      <c r="AG863" s="8"/>
      <c r="AH863" s="8"/>
      <c r="AI863" s="8"/>
      <c r="AJ863" s="8"/>
      <c r="AK863" s="8"/>
      <c r="AL863" s="8"/>
      <c r="AM863" s="8"/>
      <c r="AN863" s="8"/>
      <c r="AO863" s="8"/>
      <c r="AP863" s="8"/>
      <c r="AQ863" s="8"/>
      <c r="AR863" s="8"/>
      <c r="AS863" s="8"/>
      <c r="AT863" s="8"/>
      <c r="AU863" s="8"/>
      <c r="AV863" s="8"/>
      <c r="AW863" s="8"/>
    </row>
    <row r="864" customFormat="false" ht="15.75" hidden="false" customHeight="true" outlineLevel="0" collapsed="false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  <c r="AF864" s="8"/>
      <c r="AG864" s="8"/>
      <c r="AH864" s="8"/>
      <c r="AI864" s="8"/>
      <c r="AJ864" s="8"/>
      <c r="AK864" s="8"/>
      <c r="AL864" s="8"/>
      <c r="AM864" s="8"/>
      <c r="AN864" s="8"/>
      <c r="AO864" s="8"/>
      <c r="AP864" s="8"/>
      <c r="AQ864" s="8"/>
      <c r="AR864" s="8"/>
      <c r="AS864" s="8"/>
      <c r="AT864" s="8"/>
      <c r="AU864" s="8"/>
      <c r="AV864" s="8"/>
      <c r="AW864" s="8"/>
    </row>
    <row r="865" customFormat="false" ht="15.75" hidden="false" customHeight="true" outlineLevel="0" collapsed="false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  <c r="AF865" s="8"/>
      <c r="AG865" s="8"/>
      <c r="AH865" s="8"/>
      <c r="AI865" s="8"/>
      <c r="AJ865" s="8"/>
      <c r="AK865" s="8"/>
      <c r="AL865" s="8"/>
      <c r="AM865" s="8"/>
      <c r="AN865" s="8"/>
      <c r="AO865" s="8"/>
      <c r="AP865" s="8"/>
      <c r="AQ865" s="8"/>
      <c r="AR865" s="8"/>
      <c r="AS865" s="8"/>
      <c r="AT865" s="8"/>
      <c r="AU865" s="8"/>
      <c r="AV865" s="8"/>
      <c r="AW865" s="8"/>
    </row>
    <row r="866" customFormat="false" ht="15.75" hidden="false" customHeight="true" outlineLevel="0" collapsed="false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  <c r="AF866" s="8"/>
      <c r="AG866" s="8"/>
      <c r="AH866" s="8"/>
      <c r="AI866" s="8"/>
      <c r="AJ866" s="8"/>
      <c r="AK866" s="8"/>
      <c r="AL866" s="8"/>
      <c r="AM866" s="8"/>
      <c r="AN866" s="8"/>
      <c r="AO866" s="8"/>
      <c r="AP866" s="8"/>
      <c r="AQ866" s="8"/>
      <c r="AR866" s="8"/>
      <c r="AS866" s="8"/>
      <c r="AT866" s="8"/>
      <c r="AU866" s="8"/>
      <c r="AV866" s="8"/>
      <c r="AW866" s="8"/>
    </row>
    <row r="867" customFormat="false" ht="15.75" hidden="false" customHeight="true" outlineLevel="0" collapsed="false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  <c r="AF867" s="8"/>
      <c r="AG867" s="8"/>
      <c r="AH867" s="8"/>
      <c r="AI867" s="8"/>
      <c r="AJ867" s="8"/>
      <c r="AK867" s="8"/>
      <c r="AL867" s="8"/>
      <c r="AM867" s="8"/>
      <c r="AN867" s="8"/>
      <c r="AO867" s="8"/>
      <c r="AP867" s="8"/>
      <c r="AQ867" s="8"/>
      <c r="AR867" s="8"/>
      <c r="AS867" s="8"/>
      <c r="AT867" s="8"/>
      <c r="AU867" s="8"/>
      <c r="AV867" s="8"/>
      <c r="AW867" s="8"/>
    </row>
    <row r="868" customFormat="false" ht="15.75" hidden="false" customHeight="true" outlineLevel="0" collapsed="false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  <c r="AF868" s="8"/>
      <c r="AG868" s="8"/>
      <c r="AH868" s="8"/>
      <c r="AI868" s="8"/>
      <c r="AJ868" s="8"/>
      <c r="AK868" s="8"/>
      <c r="AL868" s="8"/>
      <c r="AM868" s="8"/>
      <c r="AN868" s="8"/>
      <c r="AO868" s="8"/>
      <c r="AP868" s="8"/>
      <c r="AQ868" s="8"/>
      <c r="AR868" s="8"/>
      <c r="AS868" s="8"/>
      <c r="AT868" s="8"/>
      <c r="AU868" s="8"/>
      <c r="AV868" s="8"/>
      <c r="AW868" s="8"/>
    </row>
    <row r="869" customFormat="false" ht="15.75" hidden="false" customHeight="true" outlineLevel="0" collapsed="false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  <c r="AF869" s="8"/>
      <c r="AG869" s="8"/>
      <c r="AH869" s="8"/>
      <c r="AI869" s="8"/>
      <c r="AJ869" s="8"/>
      <c r="AK869" s="8"/>
      <c r="AL869" s="8"/>
      <c r="AM869" s="8"/>
      <c r="AN869" s="8"/>
      <c r="AO869" s="8"/>
      <c r="AP869" s="8"/>
      <c r="AQ869" s="8"/>
      <c r="AR869" s="8"/>
      <c r="AS869" s="8"/>
      <c r="AT869" s="8"/>
      <c r="AU869" s="8"/>
      <c r="AV869" s="8"/>
      <c r="AW869" s="8"/>
    </row>
    <row r="870" customFormat="false" ht="15.75" hidden="false" customHeight="true" outlineLevel="0" collapsed="false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  <c r="AF870" s="8"/>
      <c r="AG870" s="8"/>
      <c r="AH870" s="8"/>
      <c r="AI870" s="8"/>
      <c r="AJ870" s="8"/>
      <c r="AK870" s="8"/>
      <c r="AL870" s="8"/>
      <c r="AM870" s="8"/>
      <c r="AN870" s="8"/>
      <c r="AO870" s="8"/>
      <c r="AP870" s="8"/>
      <c r="AQ870" s="8"/>
      <c r="AR870" s="8"/>
      <c r="AS870" s="8"/>
      <c r="AT870" s="8"/>
      <c r="AU870" s="8"/>
      <c r="AV870" s="8"/>
      <c r="AW870" s="8"/>
    </row>
    <row r="871" customFormat="false" ht="15.75" hidden="false" customHeight="true" outlineLevel="0" collapsed="false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  <c r="AF871" s="8"/>
      <c r="AG871" s="8"/>
      <c r="AH871" s="8"/>
      <c r="AI871" s="8"/>
      <c r="AJ871" s="8"/>
      <c r="AK871" s="8"/>
      <c r="AL871" s="8"/>
      <c r="AM871" s="8"/>
      <c r="AN871" s="8"/>
      <c r="AO871" s="8"/>
      <c r="AP871" s="8"/>
      <c r="AQ871" s="8"/>
      <c r="AR871" s="8"/>
      <c r="AS871" s="8"/>
      <c r="AT871" s="8"/>
      <c r="AU871" s="8"/>
      <c r="AV871" s="8"/>
      <c r="AW871" s="8"/>
    </row>
    <row r="872" customFormat="false" ht="15.75" hidden="false" customHeight="true" outlineLevel="0" collapsed="false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  <c r="AF872" s="8"/>
      <c r="AG872" s="8"/>
      <c r="AH872" s="8"/>
      <c r="AI872" s="8"/>
      <c r="AJ872" s="8"/>
      <c r="AK872" s="8"/>
      <c r="AL872" s="8"/>
      <c r="AM872" s="8"/>
      <c r="AN872" s="8"/>
      <c r="AO872" s="8"/>
      <c r="AP872" s="8"/>
      <c r="AQ872" s="8"/>
      <c r="AR872" s="8"/>
      <c r="AS872" s="8"/>
      <c r="AT872" s="8"/>
      <c r="AU872" s="8"/>
      <c r="AV872" s="8"/>
      <c r="AW872" s="8"/>
    </row>
    <row r="873" customFormat="false" ht="15.75" hidden="false" customHeight="true" outlineLevel="0" collapsed="false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  <c r="AF873" s="8"/>
      <c r="AG873" s="8"/>
      <c r="AH873" s="8"/>
      <c r="AI873" s="8"/>
      <c r="AJ873" s="8"/>
      <c r="AK873" s="8"/>
      <c r="AL873" s="8"/>
      <c r="AM873" s="8"/>
      <c r="AN873" s="8"/>
      <c r="AO873" s="8"/>
      <c r="AP873" s="8"/>
      <c r="AQ873" s="8"/>
      <c r="AR873" s="8"/>
      <c r="AS873" s="8"/>
      <c r="AT873" s="8"/>
      <c r="AU873" s="8"/>
      <c r="AV873" s="8"/>
      <c r="AW873" s="8"/>
    </row>
    <row r="874" customFormat="false" ht="15.75" hidden="false" customHeight="true" outlineLevel="0" collapsed="false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  <c r="AF874" s="8"/>
      <c r="AG874" s="8"/>
      <c r="AH874" s="8"/>
      <c r="AI874" s="8"/>
      <c r="AJ874" s="8"/>
      <c r="AK874" s="8"/>
      <c r="AL874" s="8"/>
      <c r="AM874" s="8"/>
      <c r="AN874" s="8"/>
      <c r="AO874" s="8"/>
      <c r="AP874" s="8"/>
      <c r="AQ874" s="8"/>
      <c r="AR874" s="8"/>
      <c r="AS874" s="8"/>
      <c r="AT874" s="8"/>
      <c r="AU874" s="8"/>
      <c r="AV874" s="8"/>
      <c r="AW874" s="8"/>
    </row>
    <row r="875" customFormat="false" ht="15.75" hidden="false" customHeight="true" outlineLevel="0" collapsed="false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  <c r="AF875" s="8"/>
      <c r="AG875" s="8"/>
      <c r="AH875" s="8"/>
      <c r="AI875" s="8"/>
      <c r="AJ875" s="8"/>
      <c r="AK875" s="8"/>
      <c r="AL875" s="8"/>
      <c r="AM875" s="8"/>
      <c r="AN875" s="8"/>
      <c r="AO875" s="8"/>
      <c r="AP875" s="8"/>
      <c r="AQ875" s="8"/>
      <c r="AR875" s="8"/>
      <c r="AS875" s="8"/>
      <c r="AT875" s="8"/>
      <c r="AU875" s="8"/>
      <c r="AV875" s="8"/>
      <c r="AW875" s="8"/>
    </row>
    <row r="876" customFormat="false" ht="15.75" hidden="false" customHeight="true" outlineLevel="0" collapsed="false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  <c r="AF876" s="8"/>
      <c r="AG876" s="8"/>
      <c r="AH876" s="8"/>
      <c r="AI876" s="8"/>
      <c r="AJ876" s="8"/>
      <c r="AK876" s="8"/>
      <c r="AL876" s="8"/>
      <c r="AM876" s="8"/>
      <c r="AN876" s="8"/>
      <c r="AO876" s="8"/>
      <c r="AP876" s="8"/>
      <c r="AQ876" s="8"/>
      <c r="AR876" s="8"/>
      <c r="AS876" s="8"/>
      <c r="AT876" s="8"/>
      <c r="AU876" s="8"/>
      <c r="AV876" s="8"/>
      <c r="AW876" s="8"/>
    </row>
    <row r="877" customFormat="false" ht="15.75" hidden="false" customHeight="true" outlineLevel="0" collapsed="false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  <c r="AF877" s="8"/>
      <c r="AG877" s="8"/>
      <c r="AH877" s="8"/>
      <c r="AI877" s="8"/>
      <c r="AJ877" s="8"/>
      <c r="AK877" s="8"/>
      <c r="AL877" s="8"/>
      <c r="AM877" s="8"/>
      <c r="AN877" s="8"/>
      <c r="AO877" s="8"/>
      <c r="AP877" s="8"/>
      <c r="AQ877" s="8"/>
      <c r="AR877" s="8"/>
      <c r="AS877" s="8"/>
      <c r="AT877" s="8"/>
      <c r="AU877" s="8"/>
      <c r="AV877" s="8"/>
      <c r="AW877" s="8"/>
    </row>
    <row r="878" customFormat="false" ht="15.75" hidden="false" customHeight="true" outlineLevel="0" collapsed="false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  <c r="AF878" s="8"/>
      <c r="AG878" s="8"/>
      <c r="AH878" s="8"/>
      <c r="AI878" s="8"/>
      <c r="AJ878" s="8"/>
      <c r="AK878" s="8"/>
      <c r="AL878" s="8"/>
      <c r="AM878" s="8"/>
      <c r="AN878" s="8"/>
      <c r="AO878" s="8"/>
      <c r="AP878" s="8"/>
      <c r="AQ878" s="8"/>
      <c r="AR878" s="8"/>
      <c r="AS878" s="8"/>
      <c r="AT878" s="8"/>
      <c r="AU878" s="8"/>
      <c r="AV878" s="8"/>
      <c r="AW878" s="8"/>
    </row>
    <row r="879" customFormat="false" ht="15.75" hidden="false" customHeight="true" outlineLevel="0" collapsed="false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  <c r="AF879" s="8"/>
      <c r="AG879" s="8"/>
      <c r="AH879" s="8"/>
      <c r="AI879" s="8"/>
      <c r="AJ879" s="8"/>
      <c r="AK879" s="8"/>
      <c r="AL879" s="8"/>
      <c r="AM879" s="8"/>
      <c r="AN879" s="8"/>
      <c r="AO879" s="8"/>
      <c r="AP879" s="8"/>
      <c r="AQ879" s="8"/>
      <c r="AR879" s="8"/>
      <c r="AS879" s="8"/>
      <c r="AT879" s="8"/>
      <c r="AU879" s="8"/>
      <c r="AV879" s="8"/>
      <c r="AW879" s="8"/>
    </row>
    <row r="880" customFormat="false" ht="15.75" hidden="false" customHeight="true" outlineLevel="0" collapsed="false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  <c r="AF880" s="8"/>
      <c r="AG880" s="8"/>
      <c r="AH880" s="8"/>
      <c r="AI880" s="8"/>
      <c r="AJ880" s="8"/>
      <c r="AK880" s="8"/>
      <c r="AL880" s="8"/>
      <c r="AM880" s="8"/>
      <c r="AN880" s="8"/>
      <c r="AO880" s="8"/>
      <c r="AP880" s="8"/>
      <c r="AQ880" s="8"/>
      <c r="AR880" s="8"/>
      <c r="AS880" s="8"/>
      <c r="AT880" s="8"/>
      <c r="AU880" s="8"/>
      <c r="AV880" s="8"/>
      <c r="AW880" s="8"/>
    </row>
    <row r="881" customFormat="false" ht="15.75" hidden="false" customHeight="true" outlineLevel="0" collapsed="false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  <c r="AF881" s="8"/>
      <c r="AG881" s="8"/>
      <c r="AH881" s="8"/>
      <c r="AI881" s="8"/>
      <c r="AJ881" s="8"/>
      <c r="AK881" s="8"/>
      <c r="AL881" s="8"/>
      <c r="AM881" s="8"/>
      <c r="AN881" s="8"/>
      <c r="AO881" s="8"/>
      <c r="AP881" s="8"/>
      <c r="AQ881" s="8"/>
      <c r="AR881" s="8"/>
      <c r="AS881" s="8"/>
      <c r="AT881" s="8"/>
      <c r="AU881" s="8"/>
      <c r="AV881" s="8"/>
      <c r="AW881" s="8"/>
    </row>
    <row r="882" customFormat="false" ht="15.75" hidden="false" customHeight="true" outlineLevel="0" collapsed="false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  <c r="AF882" s="8"/>
      <c r="AG882" s="8"/>
      <c r="AH882" s="8"/>
      <c r="AI882" s="8"/>
      <c r="AJ882" s="8"/>
      <c r="AK882" s="8"/>
      <c r="AL882" s="8"/>
      <c r="AM882" s="8"/>
      <c r="AN882" s="8"/>
      <c r="AO882" s="8"/>
      <c r="AP882" s="8"/>
      <c r="AQ882" s="8"/>
      <c r="AR882" s="8"/>
      <c r="AS882" s="8"/>
      <c r="AT882" s="8"/>
      <c r="AU882" s="8"/>
      <c r="AV882" s="8"/>
      <c r="AW882" s="8"/>
    </row>
    <row r="883" customFormat="false" ht="15.75" hidden="false" customHeight="true" outlineLevel="0" collapsed="false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  <c r="AF883" s="8"/>
      <c r="AG883" s="8"/>
      <c r="AH883" s="8"/>
      <c r="AI883" s="8"/>
      <c r="AJ883" s="8"/>
      <c r="AK883" s="8"/>
      <c r="AL883" s="8"/>
      <c r="AM883" s="8"/>
      <c r="AN883" s="8"/>
      <c r="AO883" s="8"/>
      <c r="AP883" s="8"/>
      <c r="AQ883" s="8"/>
      <c r="AR883" s="8"/>
      <c r="AS883" s="8"/>
      <c r="AT883" s="8"/>
      <c r="AU883" s="8"/>
      <c r="AV883" s="8"/>
      <c r="AW883" s="8"/>
    </row>
    <row r="884" customFormat="false" ht="15.75" hidden="false" customHeight="true" outlineLevel="0" collapsed="false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  <c r="AF884" s="8"/>
      <c r="AG884" s="8"/>
      <c r="AH884" s="8"/>
      <c r="AI884" s="8"/>
      <c r="AJ884" s="8"/>
      <c r="AK884" s="8"/>
      <c r="AL884" s="8"/>
      <c r="AM884" s="8"/>
      <c r="AN884" s="8"/>
      <c r="AO884" s="8"/>
      <c r="AP884" s="8"/>
      <c r="AQ884" s="8"/>
      <c r="AR884" s="8"/>
      <c r="AS884" s="8"/>
      <c r="AT884" s="8"/>
      <c r="AU884" s="8"/>
      <c r="AV884" s="8"/>
      <c r="AW884" s="8"/>
    </row>
    <row r="885" customFormat="false" ht="15.75" hidden="false" customHeight="true" outlineLevel="0" collapsed="false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  <c r="AF885" s="8"/>
      <c r="AG885" s="8"/>
      <c r="AH885" s="8"/>
      <c r="AI885" s="8"/>
      <c r="AJ885" s="8"/>
      <c r="AK885" s="8"/>
      <c r="AL885" s="8"/>
      <c r="AM885" s="8"/>
      <c r="AN885" s="8"/>
      <c r="AO885" s="8"/>
      <c r="AP885" s="8"/>
      <c r="AQ885" s="8"/>
      <c r="AR885" s="8"/>
      <c r="AS885" s="8"/>
      <c r="AT885" s="8"/>
      <c r="AU885" s="8"/>
      <c r="AV885" s="8"/>
      <c r="AW885" s="8"/>
    </row>
    <row r="886" customFormat="false" ht="15.75" hidden="false" customHeight="true" outlineLevel="0" collapsed="false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  <c r="AF886" s="8"/>
      <c r="AG886" s="8"/>
      <c r="AH886" s="8"/>
      <c r="AI886" s="8"/>
      <c r="AJ886" s="8"/>
      <c r="AK886" s="8"/>
      <c r="AL886" s="8"/>
      <c r="AM886" s="8"/>
      <c r="AN886" s="8"/>
      <c r="AO886" s="8"/>
      <c r="AP886" s="8"/>
      <c r="AQ886" s="8"/>
      <c r="AR886" s="8"/>
      <c r="AS886" s="8"/>
      <c r="AT886" s="8"/>
      <c r="AU886" s="8"/>
      <c r="AV886" s="8"/>
      <c r="AW886" s="8"/>
    </row>
    <row r="887" customFormat="false" ht="15.75" hidden="false" customHeight="true" outlineLevel="0" collapsed="false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  <c r="AF887" s="8"/>
      <c r="AG887" s="8"/>
      <c r="AH887" s="8"/>
      <c r="AI887" s="8"/>
      <c r="AJ887" s="8"/>
      <c r="AK887" s="8"/>
      <c r="AL887" s="8"/>
      <c r="AM887" s="8"/>
      <c r="AN887" s="8"/>
      <c r="AO887" s="8"/>
      <c r="AP887" s="8"/>
      <c r="AQ887" s="8"/>
      <c r="AR887" s="8"/>
      <c r="AS887" s="8"/>
      <c r="AT887" s="8"/>
      <c r="AU887" s="8"/>
      <c r="AV887" s="8"/>
      <c r="AW887" s="8"/>
    </row>
    <row r="888" customFormat="false" ht="15.75" hidden="false" customHeight="true" outlineLevel="0" collapsed="false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  <c r="AF888" s="8"/>
      <c r="AG888" s="8"/>
      <c r="AH888" s="8"/>
      <c r="AI888" s="8"/>
      <c r="AJ888" s="8"/>
      <c r="AK888" s="8"/>
      <c r="AL888" s="8"/>
      <c r="AM888" s="8"/>
      <c r="AN888" s="8"/>
      <c r="AO888" s="8"/>
      <c r="AP888" s="8"/>
      <c r="AQ888" s="8"/>
      <c r="AR888" s="8"/>
      <c r="AS888" s="8"/>
      <c r="AT888" s="8"/>
      <c r="AU888" s="8"/>
      <c r="AV888" s="8"/>
      <c r="AW888" s="8"/>
    </row>
    <row r="889" customFormat="false" ht="15.75" hidden="false" customHeight="true" outlineLevel="0" collapsed="false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  <c r="AF889" s="8"/>
      <c r="AG889" s="8"/>
      <c r="AH889" s="8"/>
      <c r="AI889" s="8"/>
      <c r="AJ889" s="8"/>
      <c r="AK889" s="8"/>
      <c r="AL889" s="8"/>
      <c r="AM889" s="8"/>
      <c r="AN889" s="8"/>
      <c r="AO889" s="8"/>
      <c r="AP889" s="8"/>
      <c r="AQ889" s="8"/>
      <c r="AR889" s="8"/>
      <c r="AS889" s="8"/>
      <c r="AT889" s="8"/>
      <c r="AU889" s="8"/>
      <c r="AV889" s="8"/>
      <c r="AW889" s="8"/>
    </row>
    <row r="890" customFormat="false" ht="15.75" hidden="false" customHeight="true" outlineLevel="0" collapsed="false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  <c r="AE890" s="8"/>
      <c r="AF890" s="8"/>
      <c r="AG890" s="8"/>
      <c r="AH890" s="8"/>
      <c r="AI890" s="8"/>
      <c r="AJ890" s="8"/>
      <c r="AK890" s="8"/>
      <c r="AL890" s="8"/>
      <c r="AM890" s="8"/>
      <c r="AN890" s="8"/>
      <c r="AO890" s="8"/>
      <c r="AP890" s="8"/>
      <c r="AQ890" s="8"/>
      <c r="AR890" s="8"/>
      <c r="AS890" s="8"/>
      <c r="AT890" s="8"/>
      <c r="AU890" s="8"/>
      <c r="AV890" s="8"/>
      <c r="AW890" s="8"/>
    </row>
    <row r="891" customFormat="false" ht="15.75" hidden="false" customHeight="true" outlineLevel="0" collapsed="false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  <c r="AE891" s="8"/>
      <c r="AF891" s="8"/>
      <c r="AG891" s="8"/>
      <c r="AH891" s="8"/>
      <c r="AI891" s="8"/>
      <c r="AJ891" s="8"/>
      <c r="AK891" s="8"/>
      <c r="AL891" s="8"/>
      <c r="AM891" s="8"/>
      <c r="AN891" s="8"/>
      <c r="AO891" s="8"/>
      <c r="AP891" s="8"/>
      <c r="AQ891" s="8"/>
      <c r="AR891" s="8"/>
      <c r="AS891" s="8"/>
      <c r="AT891" s="8"/>
      <c r="AU891" s="8"/>
      <c r="AV891" s="8"/>
      <c r="AW891" s="8"/>
    </row>
    <row r="892" customFormat="false" ht="15.75" hidden="false" customHeight="true" outlineLevel="0" collapsed="false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  <c r="AE892" s="8"/>
      <c r="AF892" s="8"/>
      <c r="AG892" s="8"/>
      <c r="AH892" s="8"/>
      <c r="AI892" s="8"/>
      <c r="AJ892" s="8"/>
      <c r="AK892" s="8"/>
      <c r="AL892" s="8"/>
      <c r="AM892" s="8"/>
      <c r="AN892" s="8"/>
      <c r="AO892" s="8"/>
      <c r="AP892" s="8"/>
      <c r="AQ892" s="8"/>
      <c r="AR892" s="8"/>
      <c r="AS892" s="8"/>
      <c r="AT892" s="8"/>
      <c r="AU892" s="8"/>
      <c r="AV892" s="8"/>
      <c r="AW892" s="8"/>
    </row>
    <row r="893" customFormat="false" ht="15.75" hidden="false" customHeight="true" outlineLevel="0" collapsed="false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  <c r="AE893" s="8"/>
      <c r="AF893" s="8"/>
      <c r="AG893" s="8"/>
      <c r="AH893" s="8"/>
      <c r="AI893" s="8"/>
      <c r="AJ893" s="8"/>
      <c r="AK893" s="8"/>
      <c r="AL893" s="8"/>
      <c r="AM893" s="8"/>
      <c r="AN893" s="8"/>
      <c r="AO893" s="8"/>
      <c r="AP893" s="8"/>
      <c r="AQ893" s="8"/>
      <c r="AR893" s="8"/>
      <c r="AS893" s="8"/>
      <c r="AT893" s="8"/>
      <c r="AU893" s="8"/>
      <c r="AV893" s="8"/>
      <c r="AW893" s="8"/>
    </row>
    <row r="894" customFormat="false" ht="15.75" hidden="false" customHeight="true" outlineLevel="0" collapsed="false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  <c r="AE894" s="8"/>
      <c r="AF894" s="8"/>
      <c r="AG894" s="8"/>
      <c r="AH894" s="8"/>
      <c r="AI894" s="8"/>
      <c r="AJ894" s="8"/>
      <c r="AK894" s="8"/>
      <c r="AL894" s="8"/>
      <c r="AM894" s="8"/>
      <c r="AN894" s="8"/>
      <c r="AO894" s="8"/>
      <c r="AP894" s="8"/>
      <c r="AQ894" s="8"/>
      <c r="AR894" s="8"/>
      <c r="AS894" s="8"/>
      <c r="AT894" s="8"/>
      <c r="AU894" s="8"/>
      <c r="AV894" s="8"/>
      <c r="AW894" s="8"/>
    </row>
    <row r="895" customFormat="false" ht="15.75" hidden="false" customHeight="true" outlineLevel="0" collapsed="false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  <c r="AE895" s="8"/>
      <c r="AF895" s="8"/>
      <c r="AG895" s="8"/>
      <c r="AH895" s="8"/>
      <c r="AI895" s="8"/>
      <c r="AJ895" s="8"/>
      <c r="AK895" s="8"/>
      <c r="AL895" s="8"/>
      <c r="AM895" s="8"/>
      <c r="AN895" s="8"/>
      <c r="AO895" s="8"/>
      <c r="AP895" s="8"/>
      <c r="AQ895" s="8"/>
      <c r="AR895" s="8"/>
      <c r="AS895" s="8"/>
      <c r="AT895" s="8"/>
      <c r="AU895" s="8"/>
      <c r="AV895" s="8"/>
      <c r="AW895" s="8"/>
    </row>
    <row r="896" customFormat="false" ht="15.75" hidden="false" customHeight="true" outlineLevel="0" collapsed="false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  <c r="AE896" s="8"/>
      <c r="AF896" s="8"/>
      <c r="AG896" s="8"/>
      <c r="AH896" s="8"/>
      <c r="AI896" s="8"/>
      <c r="AJ896" s="8"/>
      <c r="AK896" s="8"/>
      <c r="AL896" s="8"/>
      <c r="AM896" s="8"/>
      <c r="AN896" s="8"/>
      <c r="AO896" s="8"/>
      <c r="AP896" s="8"/>
      <c r="AQ896" s="8"/>
      <c r="AR896" s="8"/>
      <c r="AS896" s="8"/>
      <c r="AT896" s="8"/>
      <c r="AU896" s="8"/>
      <c r="AV896" s="8"/>
      <c r="AW896" s="8"/>
    </row>
    <row r="897" customFormat="false" ht="15.75" hidden="false" customHeight="true" outlineLevel="0" collapsed="false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  <c r="AE897" s="8"/>
      <c r="AF897" s="8"/>
      <c r="AG897" s="8"/>
      <c r="AH897" s="8"/>
      <c r="AI897" s="8"/>
      <c r="AJ897" s="8"/>
      <c r="AK897" s="8"/>
      <c r="AL897" s="8"/>
      <c r="AM897" s="8"/>
      <c r="AN897" s="8"/>
      <c r="AO897" s="8"/>
      <c r="AP897" s="8"/>
      <c r="AQ897" s="8"/>
      <c r="AR897" s="8"/>
      <c r="AS897" s="8"/>
      <c r="AT897" s="8"/>
      <c r="AU897" s="8"/>
      <c r="AV897" s="8"/>
      <c r="AW897" s="8"/>
    </row>
    <row r="898" customFormat="false" ht="15.75" hidden="false" customHeight="true" outlineLevel="0" collapsed="false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  <c r="AE898" s="8"/>
      <c r="AF898" s="8"/>
      <c r="AG898" s="8"/>
      <c r="AH898" s="8"/>
      <c r="AI898" s="8"/>
      <c r="AJ898" s="8"/>
      <c r="AK898" s="8"/>
      <c r="AL898" s="8"/>
      <c r="AM898" s="8"/>
      <c r="AN898" s="8"/>
      <c r="AO898" s="8"/>
      <c r="AP898" s="8"/>
      <c r="AQ898" s="8"/>
      <c r="AR898" s="8"/>
      <c r="AS898" s="8"/>
      <c r="AT898" s="8"/>
      <c r="AU898" s="8"/>
      <c r="AV898" s="8"/>
      <c r="AW898" s="8"/>
    </row>
    <row r="899" customFormat="false" ht="15.75" hidden="false" customHeight="true" outlineLevel="0" collapsed="false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  <c r="AE899" s="8"/>
      <c r="AF899" s="8"/>
      <c r="AG899" s="8"/>
      <c r="AH899" s="8"/>
      <c r="AI899" s="8"/>
      <c r="AJ899" s="8"/>
      <c r="AK899" s="8"/>
      <c r="AL899" s="8"/>
      <c r="AM899" s="8"/>
      <c r="AN899" s="8"/>
      <c r="AO899" s="8"/>
      <c r="AP899" s="8"/>
      <c r="AQ899" s="8"/>
      <c r="AR899" s="8"/>
      <c r="AS899" s="8"/>
      <c r="AT899" s="8"/>
      <c r="AU899" s="8"/>
      <c r="AV899" s="8"/>
      <c r="AW899" s="8"/>
    </row>
    <row r="900" customFormat="false" ht="15.75" hidden="false" customHeight="true" outlineLevel="0" collapsed="false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  <c r="AE900" s="8"/>
      <c r="AF900" s="8"/>
      <c r="AG900" s="8"/>
      <c r="AH900" s="8"/>
      <c r="AI900" s="8"/>
      <c r="AJ900" s="8"/>
      <c r="AK900" s="8"/>
      <c r="AL900" s="8"/>
      <c r="AM900" s="8"/>
      <c r="AN900" s="8"/>
      <c r="AO900" s="8"/>
      <c r="AP900" s="8"/>
      <c r="AQ900" s="8"/>
      <c r="AR900" s="8"/>
      <c r="AS900" s="8"/>
      <c r="AT900" s="8"/>
      <c r="AU900" s="8"/>
      <c r="AV900" s="8"/>
      <c r="AW900" s="8"/>
    </row>
    <row r="901" customFormat="false" ht="15.75" hidden="false" customHeight="true" outlineLevel="0" collapsed="false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  <c r="AE901" s="8"/>
      <c r="AF901" s="8"/>
      <c r="AG901" s="8"/>
      <c r="AH901" s="8"/>
      <c r="AI901" s="8"/>
      <c r="AJ901" s="8"/>
      <c r="AK901" s="8"/>
      <c r="AL901" s="8"/>
      <c r="AM901" s="8"/>
      <c r="AN901" s="8"/>
      <c r="AO901" s="8"/>
      <c r="AP901" s="8"/>
      <c r="AQ901" s="8"/>
      <c r="AR901" s="8"/>
      <c r="AS901" s="8"/>
      <c r="AT901" s="8"/>
      <c r="AU901" s="8"/>
      <c r="AV901" s="8"/>
      <c r="AW901" s="8"/>
    </row>
    <row r="902" customFormat="false" ht="15.75" hidden="false" customHeight="true" outlineLevel="0" collapsed="false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  <c r="AE902" s="8"/>
      <c r="AF902" s="8"/>
      <c r="AG902" s="8"/>
      <c r="AH902" s="8"/>
      <c r="AI902" s="8"/>
      <c r="AJ902" s="8"/>
      <c r="AK902" s="8"/>
      <c r="AL902" s="8"/>
      <c r="AM902" s="8"/>
      <c r="AN902" s="8"/>
      <c r="AO902" s="8"/>
      <c r="AP902" s="8"/>
      <c r="AQ902" s="8"/>
      <c r="AR902" s="8"/>
      <c r="AS902" s="8"/>
      <c r="AT902" s="8"/>
      <c r="AU902" s="8"/>
      <c r="AV902" s="8"/>
      <c r="AW902" s="8"/>
    </row>
    <row r="903" customFormat="false" ht="15.75" hidden="false" customHeight="true" outlineLevel="0" collapsed="false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  <c r="AE903" s="8"/>
      <c r="AF903" s="8"/>
      <c r="AG903" s="8"/>
      <c r="AH903" s="8"/>
      <c r="AI903" s="8"/>
      <c r="AJ903" s="8"/>
      <c r="AK903" s="8"/>
      <c r="AL903" s="8"/>
      <c r="AM903" s="8"/>
      <c r="AN903" s="8"/>
      <c r="AO903" s="8"/>
      <c r="AP903" s="8"/>
      <c r="AQ903" s="8"/>
      <c r="AR903" s="8"/>
      <c r="AS903" s="8"/>
      <c r="AT903" s="8"/>
      <c r="AU903" s="8"/>
      <c r="AV903" s="8"/>
      <c r="AW903" s="8"/>
    </row>
    <row r="904" customFormat="false" ht="15.75" hidden="false" customHeight="true" outlineLevel="0" collapsed="false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  <c r="AE904" s="8"/>
      <c r="AF904" s="8"/>
      <c r="AG904" s="8"/>
      <c r="AH904" s="8"/>
      <c r="AI904" s="8"/>
      <c r="AJ904" s="8"/>
      <c r="AK904" s="8"/>
      <c r="AL904" s="8"/>
      <c r="AM904" s="8"/>
      <c r="AN904" s="8"/>
      <c r="AO904" s="8"/>
      <c r="AP904" s="8"/>
      <c r="AQ904" s="8"/>
      <c r="AR904" s="8"/>
      <c r="AS904" s="8"/>
      <c r="AT904" s="8"/>
      <c r="AU904" s="8"/>
      <c r="AV904" s="8"/>
      <c r="AW904" s="8"/>
    </row>
    <row r="905" customFormat="false" ht="15.75" hidden="false" customHeight="true" outlineLevel="0" collapsed="false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  <c r="AE905" s="8"/>
      <c r="AF905" s="8"/>
      <c r="AG905" s="8"/>
      <c r="AH905" s="8"/>
      <c r="AI905" s="8"/>
      <c r="AJ905" s="8"/>
      <c r="AK905" s="8"/>
      <c r="AL905" s="8"/>
      <c r="AM905" s="8"/>
      <c r="AN905" s="8"/>
      <c r="AO905" s="8"/>
      <c r="AP905" s="8"/>
      <c r="AQ905" s="8"/>
      <c r="AR905" s="8"/>
      <c r="AS905" s="8"/>
      <c r="AT905" s="8"/>
      <c r="AU905" s="8"/>
      <c r="AV905" s="8"/>
      <c r="AW905" s="8"/>
    </row>
    <row r="906" customFormat="false" ht="15.75" hidden="false" customHeight="true" outlineLevel="0" collapsed="false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  <c r="AE906" s="8"/>
      <c r="AF906" s="8"/>
      <c r="AG906" s="8"/>
      <c r="AH906" s="8"/>
      <c r="AI906" s="8"/>
      <c r="AJ906" s="8"/>
      <c r="AK906" s="8"/>
      <c r="AL906" s="8"/>
      <c r="AM906" s="8"/>
      <c r="AN906" s="8"/>
      <c r="AO906" s="8"/>
      <c r="AP906" s="8"/>
      <c r="AQ906" s="8"/>
      <c r="AR906" s="8"/>
      <c r="AS906" s="8"/>
      <c r="AT906" s="8"/>
      <c r="AU906" s="8"/>
      <c r="AV906" s="8"/>
      <c r="AW906" s="8"/>
    </row>
    <row r="907" customFormat="false" ht="15.75" hidden="false" customHeight="true" outlineLevel="0" collapsed="false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  <c r="AE907" s="8"/>
      <c r="AF907" s="8"/>
      <c r="AG907" s="8"/>
      <c r="AH907" s="8"/>
      <c r="AI907" s="8"/>
      <c r="AJ907" s="8"/>
      <c r="AK907" s="8"/>
      <c r="AL907" s="8"/>
      <c r="AM907" s="8"/>
      <c r="AN907" s="8"/>
      <c r="AO907" s="8"/>
      <c r="AP907" s="8"/>
      <c r="AQ907" s="8"/>
      <c r="AR907" s="8"/>
      <c r="AS907" s="8"/>
      <c r="AT907" s="8"/>
      <c r="AU907" s="8"/>
      <c r="AV907" s="8"/>
      <c r="AW907" s="8"/>
    </row>
    <row r="908" customFormat="false" ht="15.75" hidden="false" customHeight="true" outlineLevel="0" collapsed="false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  <c r="AE908" s="8"/>
      <c r="AF908" s="8"/>
      <c r="AG908" s="8"/>
      <c r="AH908" s="8"/>
      <c r="AI908" s="8"/>
      <c r="AJ908" s="8"/>
      <c r="AK908" s="8"/>
      <c r="AL908" s="8"/>
      <c r="AM908" s="8"/>
      <c r="AN908" s="8"/>
      <c r="AO908" s="8"/>
      <c r="AP908" s="8"/>
      <c r="AQ908" s="8"/>
      <c r="AR908" s="8"/>
      <c r="AS908" s="8"/>
      <c r="AT908" s="8"/>
      <c r="AU908" s="8"/>
      <c r="AV908" s="8"/>
      <c r="AW908" s="8"/>
    </row>
    <row r="909" customFormat="false" ht="15.75" hidden="false" customHeight="true" outlineLevel="0" collapsed="false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  <c r="AE909" s="8"/>
      <c r="AF909" s="8"/>
      <c r="AG909" s="8"/>
      <c r="AH909" s="8"/>
      <c r="AI909" s="8"/>
      <c r="AJ909" s="8"/>
      <c r="AK909" s="8"/>
      <c r="AL909" s="8"/>
      <c r="AM909" s="8"/>
      <c r="AN909" s="8"/>
      <c r="AO909" s="8"/>
      <c r="AP909" s="8"/>
      <c r="AQ909" s="8"/>
      <c r="AR909" s="8"/>
      <c r="AS909" s="8"/>
      <c r="AT909" s="8"/>
      <c r="AU909" s="8"/>
      <c r="AV909" s="8"/>
      <c r="AW909" s="8"/>
    </row>
    <row r="910" customFormat="false" ht="15.75" hidden="false" customHeight="true" outlineLevel="0" collapsed="false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  <c r="AE910" s="8"/>
      <c r="AF910" s="8"/>
      <c r="AG910" s="8"/>
      <c r="AH910" s="8"/>
      <c r="AI910" s="8"/>
      <c r="AJ910" s="8"/>
      <c r="AK910" s="8"/>
      <c r="AL910" s="8"/>
      <c r="AM910" s="8"/>
      <c r="AN910" s="8"/>
      <c r="AO910" s="8"/>
      <c r="AP910" s="8"/>
      <c r="AQ910" s="8"/>
      <c r="AR910" s="8"/>
      <c r="AS910" s="8"/>
      <c r="AT910" s="8"/>
      <c r="AU910" s="8"/>
      <c r="AV910" s="8"/>
      <c r="AW910" s="8"/>
    </row>
    <row r="911" customFormat="false" ht="15.75" hidden="false" customHeight="true" outlineLevel="0" collapsed="false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  <c r="AE911" s="8"/>
      <c r="AF911" s="8"/>
      <c r="AG911" s="8"/>
      <c r="AH911" s="8"/>
      <c r="AI911" s="8"/>
      <c r="AJ911" s="8"/>
      <c r="AK911" s="8"/>
      <c r="AL911" s="8"/>
      <c r="AM911" s="8"/>
      <c r="AN911" s="8"/>
      <c r="AO911" s="8"/>
      <c r="AP911" s="8"/>
      <c r="AQ911" s="8"/>
      <c r="AR911" s="8"/>
      <c r="AS911" s="8"/>
      <c r="AT911" s="8"/>
      <c r="AU911" s="8"/>
      <c r="AV911" s="8"/>
      <c r="AW911" s="8"/>
    </row>
    <row r="912" customFormat="false" ht="15.75" hidden="false" customHeight="true" outlineLevel="0" collapsed="false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  <c r="AE912" s="8"/>
      <c r="AF912" s="8"/>
      <c r="AG912" s="8"/>
      <c r="AH912" s="8"/>
      <c r="AI912" s="8"/>
      <c r="AJ912" s="8"/>
      <c r="AK912" s="8"/>
      <c r="AL912" s="8"/>
      <c r="AM912" s="8"/>
      <c r="AN912" s="8"/>
      <c r="AO912" s="8"/>
      <c r="AP912" s="8"/>
      <c r="AQ912" s="8"/>
      <c r="AR912" s="8"/>
      <c r="AS912" s="8"/>
      <c r="AT912" s="8"/>
      <c r="AU912" s="8"/>
      <c r="AV912" s="8"/>
      <c r="AW912" s="8"/>
    </row>
    <row r="913" customFormat="false" ht="15.75" hidden="false" customHeight="true" outlineLevel="0" collapsed="false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  <c r="AE913" s="8"/>
      <c r="AF913" s="8"/>
      <c r="AG913" s="8"/>
      <c r="AH913" s="8"/>
      <c r="AI913" s="8"/>
      <c r="AJ913" s="8"/>
      <c r="AK913" s="8"/>
      <c r="AL913" s="8"/>
      <c r="AM913" s="8"/>
      <c r="AN913" s="8"/>
      <c r="AO913" s="8"/>
      <c r="AP913" s="8"/>
      <c r="AQ913" s="8"/>
      <c r="AR913" s="8"/>
      <c r="AS913" s="8"/>
      <c r="AT913" s="8"/>
      <c r="AU913" s="8"/>
      <c r="AV913" s="8"/>
      <c r="AW913" s="8"/>
    </row>
    <row r="914" customFormat="false" ht="15.75" hidden="false" customHeight="true" outlineLevel="0" collapsed="false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  <c r="AE914" s="8"/>
      <c r="AF914" s="8"/>
      <c r="AG914" s="8"/>
      <c r="AH914" s="8"/>
      <c r="AI914" s="8"/>
      <c r="AJ914" s="8"/>
      <c r="AK914" s="8"/>
      <c r="AL914" s="8"/>
      <c r="AM914" s="8"/>
      <c r="AN914" s="8"/>
      <c r="AO914" s="8"/>
      <c r="AP914" s="8"/>
      <c r="AQ914" s="8"/>
      <c r="AR914" s="8"/>
      <c r="AS914" s="8"/>
      <c r="AT914" s="8"/>
      <c r="AU914" s="8"/>
      <c r="AV914" s="8"/>
      <c r="AW914" s="8"/>
    </row>
    <row r="915" customFormat="false" ht="15.75" hidden="false" customHeight="true" outlineLevel="0" collapsed="false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  <c r="AE915" s="8"/>
      <c r="AF915" s="8"/>
      <c r="AG915" s="8"/>
      <c r="AH915" s="8"/>
      <c r="AI915" s="8"/>
      <c r="AJ915" s="8"/>
      <c r="AK915" s="8"/>
      <c r="AL915" s="8"/>
      <c r="AM915" s="8"/>
      <c r="AN915" s="8"/>
      <c r="AO915" s="8"/>
      <c r="AP915" s="8"/>
      <c r="AQ915" s="8"/>
      <c r="AR915" s="8"/>
      <c r="AS915" s="8"/>
      <c r="AT915" s="8"/>
      <c r="AU915" s="8"/>
      <c r="AV915" s="8"/>
      <c r="AW915" s="8"/>
    </row>
    <row r="916" customFormat="false" ht="15.75" hidden="false" customHeight="true" outlineLevel="0" collapsed="false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  <c r="AE916" s="8"/>
      <c r="AF916" s="8"/>
      <c r="AG916" s="8"/>
      <c r="AH916" s="8"/>
      <c r="AI916" s="8"/>
      <c r="AJ916" s="8"/>
      <c r="AK916" s="8"/>
      <c r="AL916" s="8"/>
      <c r="AM916" s="8"/>
      <c r="AN916" s="8"/>
      <c r="AO916" s="8"/>
      <c r="AP916" s="8"/>
      <c r="AQ916" s="8"/>
      <c r="AR916" s="8"/>
      <c r="AS916" s="8"/>
      <c r="AT916" s="8"/>
      <c r="AU916" s="8"/>
      <c r="AV916" s="8"/>
      <c r="AW916" s="8"/>
    </row>
    <row r="917" customFormat="false" ht="15.75" hidden="false" customHeight="true" outlineLevel="0" collapsed="false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  <c r="AE917" s="8"/>
      <c r="AF917" s="8"/>
      <c r="AG917" s="8"/>
      <c r="AH917" s="8"/>
      <c r="AI917" s="8"/>
      <c r="AJ917" s="8"/>
      <c r="AK917" s="8"/>
      <c r="AL917" s="8"/>
      <c r="AM917" s="8"/>
      <c r="AN917" s="8"/>
      <c r="AO917" s="8"/>
      <c r="AP917" s="8"/>
      <c r="AQ917" s="8"/>
      <c r="AR917" s="8"/>
      <c r="AS917" s="8"/>
      <c r="AT917" s="8"/>
      <c r="AU917" s="8"/>
      <c r="AV917" s="8"/>
      <c r="AW917" s="8"/>
    </row>
    <row r="918" customFormat="false" ht="15.75" hidden="false" customHeight="true" outlineLevel="0" collapsed="false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  <c r="AE918" s="8"/>
      <c r="AF918" s="8"/>
      <c r="AG918" s="8"/>
      <c r="AH918" s="8"/>
      <c r="AI918" s="8"/>
      <c r="AJ918" s="8"/>
      <c r="AK918" s="8"/>
      <c r="AL918" s="8"/>
      <c r="AM918" s="8"/>
      <c r="AN918" s="8"/>
      <c r="AO918" s="8"/>
      <c r="AP918" s="8"/>
      <c r="AQ918" s="8"/>
      <c r="AR918" s="8"/>
      <c r="AS918" s="8"/>
      <c r="AT918" s="8"/>
      <c r="AU918" s="8"/>
      <c r="AV918" s="8"/>
      <c r="AW918" s="8"/>
    </row>
    <row r="919" customFormat="false" ht="15.75" hidden="false" customHeight="true" outlineLevel="0" collapsed="false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  <c r="AE919" s="8"/>
      <c r="AF919" s="8"/>
      <c r="AG919" s="8"/>
      <c r="AH919" s="8"/>
      <c r="AI919" s="8"/>
      <c r="AJ919" s="8"/>
      <c r="AK919" s="8"/>
      <c r="AL919" s="8"/>
      <c r="AM919" s="8"/>
      <c r="AN919" s="8"/>
      <c r="AO919" s="8"/>
      <c r="AP919" s="8"/>
      <c r="AQ919" s="8"/>
      <c r="AR919" s="8"/>
      <c r="AS919" s="8"/>
      <c r="AT919" s="8"/>
      <c r="AU919" s="8"/>
      <c r="AV919" s="8"/>
      <c r="AW919" s="8"/>
    </row>
    <row r="920" customFormat="false" ht="15.75" hidden="false" customHeight="true" outlineLevel="0" collapsed="false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  <c r="AE920" s="8"/>
      <c r="AF920" s="8"/>
      <c r="AG920" s="8"/>
      <c r="AH920" s="8"/>
      <c r="AI920" s="8"/>
      <c r="AJ920" s="8"/>
      <c r="AK920" s="8"/>
      <c r="AL920" s="8"/>
      <c r="AM920" s="8"/>
      <c r="AN920" s="8"/>
      <c r="AO920" s="8"/>
      <c r="AP920" s="8"/>
      <c r="AQ920" s="8"/>
      <c r="AR920" s="8"/>
      <c r="AS920" s="8"/>
      <c r="AT920" s="8"/>
      <c r="AU920" s="8"/>
      <c r="AV920" s="8"/>
      <c r="AW920" s="8"/>
    </row>
    <row r="921" customFormat="false" ht="15.75" hidden="false" customHeight="true" outlineLevel="0" collapsed="false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  <c r="AE921" s="8"/>
      <c r="AF921" s="8"/>
      <c r="AG921" s="8"/>
      <c r="AH921" s="8"/>
      <c r="AI921" s="8"/>
      <c r="AJ921" s="8"/>
      <c r="AK921" s="8"/>
      <c r="AL921" s="8"/>
      <c r="AM921" s="8"/>
      <c r="AN921" s="8"/>
      <c r="AO921" s="8"/>
      <c r="AP921" s="8"/>
      <c r="AQ921" s="8"/>
      <c r="AR921" s="8"/>
      <c r="AS921" s="8"/>
      <c r="AT921" s="8"/>
      <c r="AU921" s="8"/>
      <c r="AV921" s="8"/>
      <c r="AW921" s="8"/>
    </row>
    <row r="922" customFormat="false" ht="15.75" hidden="false" customHeight="true" outlineLevel="0" collapsed="false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  <c r="AE922" s="8"/>
      <c r="AF922" s="8"/>
      <c r="AG922" s="8"/>
      <c r="AH922" s="8"/>
      <c r="AI922" s="8"/>
      <c r="AJ922" s="8"/>
      <c r="AK922" s="8"/>
      <c r="AL922" s="8"/>
      <c r="AM922" s="8"/>
      <c r="AN922" s="8"/>
      <c r="AO922" s="8"/>
      <c r="AP922" s="8"/>
      <c r="AQ922" s="8"/>
      <c r="AR922" s="8"/>
      <c r="AS922" s="8"/>
      <c r="AT922" s="8"/>
      <c r="AU922" s="8"/>
      <c r="AV922" s="8"/>
      <c r="AW922" s="8"/>
    </row>
    <row r="923" customFormat="false" ht="15.75" hidden="false" customHeight="true" outlineLevel="0" collapsed="false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  <c r="AE923" s="8"/>
      <c r="AF923" s="8"/>
      <c r="AG923" s="8"/>
      <c r="AH923" s="8"/>
      <c r="AI923" s="8"/>
      <c r="AJ923" s="8"/>
      <c r="AK923" s="8"/>
      <c r="AL923" s="8"/>
      <c r="AM923" s="8"/>
      <c r="AN923" s="8"/>
      <c r="AO923" s="8"/>
      <c r="AP923" s="8"/>
      <c r="AQ923" s="8"/>
      <c r="AR923" s="8"/>
      <c r="AS923" s="8"/>
      <c r="AT923" s="8"/>
      <c r="AU923" s="8"/>
      <c r="AV923" s="8"/>
      <c r="AW923" s="8"/>
    </row>
    <row r="924" customFormat="false" ht="15.75" hidden="false" customHeight="true" outlineLevel="0" collapsed="false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  <c r="AE924" s="8"/>
      <c r="AF924" s="8"/>
      <c r="AG924" s="8"/>
      <c r="AH924" s="8"/>
      <c r="AI924" s="8"/>
      <c r="AJ924" s="8"/>
      <c r="AK924" s="8"/>
      <c r="AL924" s="8"/>
      <c r="AM924" s="8"/>
      <c r="AN924" s="8"/>
      <c r="AO924" s="8"/>
      <c r="AP924" s="8"/>
      <c r="AQ924" s="8"/>
      <c r="AR924" s="8"/>
      <c r="AS924" s="8"/>
      <c r="AT924" s="8"/>
      <c r="AU924" s="8"/>
      <c r="AV924" s="8"/>
      <c r="AW924" s="8"/>
    </row>
    <row r="925" customFormat="false" ht="15.75" hidden="false" customHeight="true" outlineLevel="0" collapsed="false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  <c r="AE925" s="8"/>
      <c r="AF925" s="8"/>
      <c r="AG925" s="8"/>
      <c r="AH925" s="8"/>
      <c r="AI925" s="8"/>
      <c r="AJ925" s="8"/>
      <c r="AK925" s="8"/>
      <c r="AL925" s="8"/>
      <c r="AM925" s="8"/>
      <c r="AN925" s="8"/>
      <c r="AO925" s="8"/>
      <c r="AP925" s="8"/>
      <c r="AQ925" s="8"/>
      <c r="AR925" s="8"/>
      <c r="AS925" s="8"/>
      <c r="AT925" s="8"/>
      <c r="AU925" s="8"/>
      <c r="AV925" s="8"/>
      <c r="AW925" s="8"/>
    </row>
    <row r="926" customFormat="false" ht="15.75" hidden="false" customHeight="true" outlineLevel="0" collapsed="false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  <c r="AE926" s="8"/>
      <c r="AF926" s="8"/>
      <c r="AG926" s="8"/>
      <c r="AH926" s="8"/>
      <c r="AI926" s="8"/>
      <c r="AJ926" s="8"/>
      <c r="AK926" s="8"/>
      <c r="AL926" s="8"/>
      <c r="AM926" s="8"/>
      <c r="AN926" s="8"/>
      <c r="AO926" s="8"/>
      <c r="AP926" s="8"/>
      <c r="AQ926" s="8"/>
      <c r="AR926" s="8"/>
      <c r="AS926" s="8"/>
      <c r="AT926" s="8"/>
      <c r="AU926" s="8"/>
      <c r="AV926" s="8"/>
      <c r="AW926" s="8"/>
    </row>
    <row r="927" customFormat="false" ht="15.75" hidden="false" customHeight="true" outlineLevel="0" collapsed="false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  <c r="AE927" s="8"/>
      <c r="AF927" s="8"/>
      <c r="AG927" s="8"/>
      <c r="AH927" s="8"/>
      <c r="AI927" s="8"/>
      <c r="AJ927" s="8"/>
      <c r="AK927" s="8"/>
      <c r="AL927" s="8"/>
      <c r="AM927" s="8"/>
      <c r="AN927" s="8"/>
      <c r="AO927" s="8"/>
      <c r="AP927" s="8"/>
      <c r="AQ927" s="8"/>
      <c r="AR927" s="8"/>
      <c r="AS927" s="8"/>
      <c r="AT927" s="8"/>
      <c r="AU927" s="8"/>
      <c r="AV927" s="8"/>
      <c r="AW927" s="8"/>
    </row>
    <row r="928" customFormat="false" ht="15.75" hidden="false" customHeight="true" outlineLevel="0" collapsed="false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  <c r="AE928" s="8"/>
      <c r="AF928" s="8"/>
      <c r="AG928" s="8"/>
      <c r="AH928" s="8"/>
      <c r="AI928" s="8"/>
      <c r="AJ928" s="8"/>
      <c r="AK928" s="8"/>
      <c r="AL928" s="8"/>
      <c r="AM928" s="8"/>
      <c r="AN928" s="8"/>
      <c r="AO928" s="8"/>
      <c r="AP928" s="8"/>
      <c r="AQ928" s="8"/>
      <c r="AR928" s="8"/>
      <c r="AS928" s="8"/>
      <c r="AT928" s="8"/>
      <c r="AU928" s="8"/>
      <c r="AV928" s="8"/>
      <c r="AW928" s="8"/>
    </row>
    <row r="929" customFormat="false" ht="15.75" hidden="false" customHeight="true" outlineLevel="0" collapsed="false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  <c r="AE929" s="8"/>
      <c r="AF929" s="8"/>
      <c r="AG929" s="8"/>
      <c r="AH929" s="8"/>
      <c r="AI929" s="8"/>
      <c r="AJ929" s="8"/>
      <c r="AK929" s="8"/>
      <c r="AL929" s="8"/>
      <c r="AM929" s="8"/>
      <c r="AN929" s="8"/>
      <c r="AO929" s="8"/>
      <c r="AP929" s="8"/>
      <c r="AQ929" s="8"/>
      <c r="AR929" s="8"/>
      <c r="AS929" s="8"/>
      <c r="AT929" s="8"/>
      <c r="AU929" s="8"/>
      <c r="AV929" s="8"/>
      <c r="AW929" s="8"/>
    </row>
    <row r="930" customFormat="false" ht="15.75" hidden="false" customHeight="true" outlineLevel="0" collapsed="false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  <c r="AE930" s="8"/>
      <c r="AF930" s="8"/>
      <c r="AG930" s="8"/>
      <c r="AH930" s="8"/>
      <c r="AI930" s="8"/>
      <c r="AJ930" s="8"/>
      <c r="AK930" s="8"/>
      <c r="AL930" s="8"/>
      <c r="AM930" s="8"/>
      <c r="AN930" s="8"/>
      <c r="AO930" s="8"/>
      <c r="AP930" s="8"/>
      <c r="AQ930" s="8"/>
      <c r="AR930" s="8"/>
      <c r="AS930" s="8"/>
      <c r="AT930" s="8"/>
      <c r="AU930" s="8"/>
      <c r="AV930" s="8"/>
      <c r="AW930" s="8"/>
    </row>
    <row r="931" customFormat="false" ht="15.75" hidden="false" customHeight="true" outlineLevel="0" collapsed="false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  <c r="AE931" s="8"/>
      <c r="AF931" s="8"/>
      <c r="AG931" s="8"/>
      <c r="AH931" s="8"/>
      <c r="AI931" s="8"/>
      <c r="AJ931" s="8"/>
      <c r="AK931" s="8"/>
      <c r="AL931" s="8"/>
      <c r="AM931" s="8"/>
      <c r="AN931" s="8"/>
      <c r="AO931" s="8"/>
      <c r="AP931" s="8"/>
      <c r="AQ931" s="8"/>
      <c r="AR931" s="8"/>
      <c r="AS931" s="8"/>
      <c r="AT931" s="8"/>
      <c r="AU931" s="8"/>
      <c r="AV931" s="8"/>
      <c r="AW931" s="8"/>
    </row>
    <row r="932" customFormat="false" ht="15.75" hidden="false" customHeight="true" outlineLevel="0" collapsed="false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  <c r="AE932" s="8"/>
      <c r="AF932" s="8"/>
      <c r="AG932" s="8"/>
      <c r="AH932" s="8"/>
      <c r="AI932" s="8"/>
      <c r="AJ932" s="8"/>
      <c r="AK932" s="8"/>
      <c r="AL932" s="8"/>
      <c r="AM932" s="8"/>
      <c r="AN932" s="8"/>
      <c r="AO932" s="8"/>
      <c r="AP932" s="8"/>
      <c r="AQ932" s="8"/>
      <c r="AR932" s="8"/>
      <c r="AS932" s="8"/>
      <c r="AT932" s="8"/>
      <c r="AU932" s="8"/>
      <c r="AV932" s="8"/>
      <c r="AW932" s="8"/>
    </row>
    <row r="933" customFormat="false" ht="15.75" hidden="false" customHeight="true" outlineLevel="0" collapsed="false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  <c r="AE933" s="8"/>
      <c r="AF933" s="8"/>
      <c r="AG933" s="8"/>
      <c r="AH933" s="8"/>
      <c r="AI933" s="8"/>
      <c r="AJ933" s="8"/>
      <c r="AK933" s="8"/>
      <c r="AL933" s="8"/>
      <c r="AM933" s="8"/>
      <c r="AN933" s="8"/>
      <c r="AO933" s="8"/>
      <c r="AP933" s="8"/>
      <c r="AQ933" s="8"/>
      <c r="AR933" s="8"/>
      <c r="AS933" s="8"/>
      <c r="AT933" s="8"/>
      <c r="AU933" s="8"/>
      <c r="AV933" s="8"/>
      <c r="AW933" s="8"/>
    </row>
    <row r="934" customFormat="false" ht="15.75" hidden="false" customHeight="true" outlineLevel="0" collapsed="false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  <c r="AE934" s="8"/>
      <c r="AF934" s="8"/>
      <c r="AG934" s="8"/>
      <c r="AH934" s="8"/>
      <c r="AI934" s="8"/>
      <c r="AJ934" s="8"/>
      <c r="AK934" s="8"/>
      <c r="AL934" s="8"/>
      <c r="AM934" s="8"/>
      <c r="AN934" s="8"/>
      <c r="AO934" s="8"/>
      <c r="AP934" s="8"/>
      <c r="AQ934" s="8"/>
      <c r="AR934" s="8"/>
      <c r="AS934" s="8"/>
      <c r="AT934" s="8"/>
      <c r="AU934" s="8"/>
      <c r="AV934" s="8"/>
      <c r="AW934" s="8"/>
    </row>
    <row r="935" customFormat="false" ht="15.75" hidden="false" customHeight="true" outlineLevel="0" collapsed="false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  <c r="AE935" s="8"/>
      <c r="AF935" s="8"/>
      <c r="AG935" s="8"/>
      <c r="AH935" s="8"/>
      <c r="AI935" s="8"/>
      <c r="AJ935" s="8"/>
      <c r="AK935" s="8"/>
      <c r="AL935" s="8"/>
      <c r="AM935" s="8"/>
      <c r="AN935" s="8"/>
      <c r="AO935" s="8"/>
      <c r="AP935" s="8"/>
      <c r="AQ935" s="8"/>
      <c r="AR935" s="8"/>
      <c r="AS935" s="8"/>
      <c r="AT935" s="8"/>
      <c r="AU935" s="8"/>
      <c r="AV935" s="8"/>
      <c r="AW935" s="8"/>
    </row>
    <row r="936" customFormat="false" ht="15.75" hidden="false" customHeight="true" outlineLevel="0" collapsed="false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  <c r="AE936" s="8"/>
      <c r="AF936" s="8"/>
      <c r="AG936" s="8"/>
      <c r="AH936" s="8"/>
      <c r="AI936" s="8"/>
      <c r="AJ936" s="8"/>
      <c r="AK936" s="8"/>
      <c r="AL936" s="8"/>
      <c r="AM936" s="8"/>
      <c r="AN936" s="8"/>
      <c r="AO936" s="8"/>
      <c r="AP936" s="8"/>
      <c r="AQ936" s="8"/>
      <c r="AR936" s="8"/>
      <c r="AS936" s="8"/>
      <c r="AT936" s="8"/>
      <c r="AU936" s="8"/>
      <c r="AV936" s="8"/>
      <c r="AW936" s="8"/>
    </row>
    <row r="937" customFormat="false" ht="15.75" hidden="false" customHeight="true" outlineLevel="0" collapsed="false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  <c r="AE937" s="8"/>
      <c r="AF937" s="8"/>
      <c r="AG937" s="8"/>
      <c r="AH937" s="8"/>
      <c r="AI937" s="8"/>
      <c r="AJ937" s="8"/>
      <c r="AK937" s="8"/>
      <c r="AL937" s="8"/>
      <c r="AM937" s="8"/>
      <c r="AN937" s="8"/>
      <c r="AO937" s="8"/>
      <c r="AP937" s="8"/>
      <c r="AQ937" s="8"/>
      <c r="AR937" s="8"/>
      <c r="AS937" s="8"/>
      <c r="AT937" s="8"/>
      <c r="AU937" s="8"/>
      <c r="AV937" s="8"/>
      <c r="AW937" s="8"/>
    </row>
    <row r="938" customFormat="false" ht="15.75" hidden="false" customHeight="true" outlineLevel="0" collapsed="false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  <c r="AE938" s="8"/>
      <c r="AF938" s="8"/>
      <c r="AG938" s="8"/>
      <c r="AH938" s="8"/>
      <c r="AI938" s="8"/>
      <c r="AJ938" s="8"/>
      <c r="AK938" s="8"/>
      <c r="AL938" s="8"/>
      <c r="AM938" s="8"/>
      <c r="AN938" s="8"/>
      <c r="AO938" s="8"/>
      <c r="AP938" s="8"/>
      <c r="AQ938" s="8"/>
      <c r="AR938" s="8"/>
      <c r="AS938" s="8"/>
      <c r="AT938" s="8"/>
      <c r="AU938" s="8"/>
      <c r="AV938" s="8"/>
      <c r="AW938" s="8"/>
    </row>
    <row r="939" customFormat="false" ht="15.75" hidden="false" customHeight="true" outlineLevel="0" collapsed="false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  <c r="AE939" s="8"/>
      <c r="AF939" s="8"/>
      <c r="AG939" s="8"/>
      <c r="AH939" s="8"/>
      <c r="AI939" s="8"/>
      <c r="AJ939" s="8"/>
      <c r="AK939" s="8"/>
      <c r="AL939" s="8"/>
      <c r="AM939" s="8"/>
      <c r="AN939" s="8"/>
      <c r="AO939" s="8"/>
      <c r="AP939" s="8"/>
      <c r="AQ939" s="8"/>
      <c r="AR939" s="8"/>
      <c r="AS939" s="8"/>
      <c r="AT939" s="8"/>
      <c r="AU939" s="8"/>
      <c r="AV939" s="8"/>
      <c r="AW939" s="8"/>
    </row>
    <row r="940" customFormat="false" ht="15.75" hidden="false" customHeight="true" outlineLevel="0" collapsed="false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  <c r="AE940" s="8"/>
      <c r="AF940" s="8"/>
      <c r="AG940" s="8"/>
      <c r="AH940" s="8"/>
      <c r="AI940" s="8"/>
      <c r="AJ940" s="8"/>
      <c r="AK940" s="8"/>
      <c r="AL940" s="8"/>
      <c r="AM940" s="8"/>
      <c r="AN940" s="8"/>
      <c r="AO940" s="8"/>
      <c r="AP940" s="8"/>
      <c r="AQ940" s="8"/>
      <c r="AR940" s="8"/>
      <c r="AS940" s="8"/>
      <c r="AT940" s="8"/>
      <c r="AU940" s="8"/>
      <c r="AV940" s="8"/>
      <c r="AW940" s="8"/>
    </row>
    <row r="941" customFormat="false" ht="15.75" hidden="false" customHeight="true" outlineLevel="0" collapsed="false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  <c r="AE941" s="8"/>
      <c r="AF941" s="8"/>
      <c r="AG941" s="8"/>
      <c r="AH941" s="8"/>
      <c r="AI941" s="8"/>
      <c r="AJ941" s="8"/>
      <c r="AK941" s="8"/>
      <c r="AL941" s="8"/>
      <c r="AM941" s="8"/>
      <c r="AN941" s="8"/>
      <c r="AO941" s="8"/>
      <c r="AP941" s="8"/>
      <c r="AQ941" s="8"/>
      <c r="AR941" s="8"/>
      <c r="AS941" s="8"/>
      <c r="AT941" s="8"/>
      <c r="AU941" s="8"/>
      <c r="AV941" s="8"/>
      <c r="AW941" s="8"/>
    </row>
    <row r="942" customFormat="false" ht="15.75" hidden="false" customHeight="true" outlineLevel="0" collapsed="false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  <c r="AE942" s="8"/>
      <c r="AF942" s="8"/>
      <c r="AG942" s="8"/>
      <c r="AH942" s="8"/>
      <c r="AI942" s="8"/>
      <c r="AJ942" s="8"/>
      <c r="AK942" s="8"/>
      <c r="AL942" s="8"/>
      <c r="AM942" s="8"/>
      <c r="AN942" s="8"/>
      <c r="AO942" s="8"/>
      <c r="AP942" s="8"/>
      <c r="AQ942" s="8"/>
      <c r="AR942" s="8"/>
      <c r="AS942" s="8"/>
      <c r="AT942" s="8"/>
      <c r="AU942" s="8"/>
      <c r="AV942" s="8"/>
      <c r="AW942" s="8"/>
    </row>
    <row r="943" customFormat="false" ht="15.75" hidden="false" customHeight="true" outlineLevel="0" collapsed="false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  <c r="AE943" s="8"/>
      <c r="AF943" s="8"/>
      <c r="AG943" s="8"/>
      <c r="AH943" s="8"/>
      <c r="AI943" s="8"/>
      <c r="AJ943" s="8"/>
      <c r="AK943" s="8"/>
      <c r="AL943" s="8"/>
      <c r="AM943" s="8"/>
      <c r="AN943" s="8"/>
      <c r="AO943" s="8"/>
      <c r="AP943" s="8"/>
      <c r="AQ943" s="8"/>
      <c r="AR943" s="8"/>
      <c r="AS943" s="8"/>
      <c r="AT943" s="8"/>
      <c r="AU943" s="8"/>
      <c r="AV943" s="8"/>
      <c r="AW943" s="8"/>
    </row>
    <row r="944" customFormat="false" ht="15.75" hidden="false" customHeight="true" outlineLevel="0" collapsed="false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  <c r="AE944" s="8"/>
      <c r="AF944" s="8"/>
      <c r="AG944" s="8"/>
      <c r="AH944" s="8"/>
      <c r="AI944" s="8"/>
      <c r="AJ944" s="8"/>
      <c r="AK944" s="8"/>
      <c r="AL944" s="8"/>
      <c r="AM944" s="8"/>
      <c r="AN944" s="8"/>
      <c r="AO944" s="8"/>
      <c r="AP944" s="8"/>
      <c r="AQ944" s="8"/>
      <c r="AR944" s="8"/>
      <c r="AS944" s="8"/>
      <c r="AT944" s="8"/>
      <c r="AU944" s="8"/>
      <c r="AV944" s="8"/>
      <c r="AW944" s="8"/>
    </row>
    <row r="945" customFormat="false" ht="15.75" hidden="false" customHeight="true" outlineLevel="0" collapsed="false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  <c r="AE945" s="8"/>
      <c r="AF945" s="8"/>
      <c r="AG945" s="8"/>
      <c r="AH945" s="8"/>
      <c r="AI945" s="8"/>
      <c r="AJ945" s="8"/>
      <c r="AK945" s="8"/>
      <c r="AL945" s="8"/>
      <c r="AM945" s="8"/>
      <c r="AN945" s="8"/>
      <c r="AO945" s="8"/>
      <c r="AP945" s="8"/>
      <c r="AQ945" s="8"/>
      <c r="AR945" s="8"/>
      <c r="AS945" s="8"/>
      <c r="AT945" s="8"/>
      <c r="AU945" s="8"/>
      <c r="AV945" s="8"/>
      <c r="AW945" s="8"/>
    </row>
    <row r="946" customFormat="false" ht="15.75" hidden="false" customHeight="true" outlineLevel="0" collapsed="false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  <c r="AE946" s="8"/>
      <c r="AF946" s="8"/>
      <c r="AG946" s="8"/>
      <c r="AH946" s="8"/>
      <c r="AI946" s="8"/>
      <c r="AJ946" s="8"/>
      <c r="AK946" s="8"/>
      <c r="AL946" s="8"/>
      <c r="AM946" s="8"/>
      <c r="AN946" s="8"/>
      <c r="AO946" s="8"/>
      <c r="AP946" s="8"/>
      <c r="AQ946" s="8"/>
      <c r="AR946" s="8"/>
      <c r="AS946" s="8"/>
      <c r="AT946" s="8"/>
      <c r="AU946" s="8"/>
      <c r="AV946" s="8"/>
      <c r="AW946" s="8"/>
    </row>
    <row r="947" customFormat="false" ht="15.75" hidden="false" customHeight="true" outlineLevel="0" collapsed="false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  <c r="AE947" s="8"/>
      <c r="AF947" s="8"/>
      <c r="AG947" s="8"/>
      <c r="AH947" s="8"/>
      <c r="AI947" s="8"/>
      <c r="AJ947" s="8"/>
      <c r="AK947" s="8"/>
      <c r="AL947" s="8"/>
      <c r="AM947" s="8"/>
      <c r="AN947" s="8"/>
      <c r="AO947" s="8"/>
      <c r="AP947" s="8"/>
      <c r="AQ947" s="8"/>
      <c r="AR947" s="8"/>
      <c r="AS947" s="8"/>
      <c r="AT947" s="8"/>
      <c r="AU947" s="8"/>
      <c r="AV947" s="8"/>
      <c r="AW947" s="8"/>
    </row>
    <row r="948" customFormat="false" ht="15.75" hidden="false" customHeight="true" outlineLevel="0" collapsed="false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  <c r="AE948" s="8"/>
      <c r="AF948" s="8"/>
      <c r="AG948" s="8"/>
      <c r="AH948" s="8"/>
      <c r="AI948" s="8"/>
      <c r="AJ948" s="8"/>
      <c r="AK948" s="8"/>
      <c r="AL948" s="8"/>
      <c r="AM948" s="8"/>
      <c r="AN948" s="8"/>
      <c r="AO948" s="8"/>
      <c r="AP948" s="8"/>
      <c r="AQ948" s="8"/>
      <c r="AR948" s="8"/>
      <c r="AS948" s="8"/>
      <c r="AT948" s="8"/>
      <c r="AU948" s="8"/>
      <c r="AV948" s="8"/>
      <c r="AW948" s="8"/>
    </row>
    <row r="949" customFormat="false" ht="15.75" hidden="false" customHeight="true" outlineLevel="0" collapsed="false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  <c r="AE949" s="8"/>
      <c r="AF949" s="8"/>
      <c r="AG949" s="8"/>
      <c r="AH949" s="8"/>
      <c r="AI949" s="8"/>
      <c r="AJ949" s="8"/>
      <c r="AK949" s="8"/>
      <c r="AL949" s="8"/>
      <c r="AM949" s="8"/>
      <c r="AN949" s="8"/>
      <c r="AO949" s="8"/>
      <c r="AP949" s="8"/>
      <c r="AQ949" s="8"/>
      <c r="AR949" s="8"/>
      <c r="AS949" s="8"/>
      <c r="AT949" s="8"/>
      <c r="AU949" s="8"/>
      <c r="AV949" s="8"/>
      <c r="AW949" s="8"/>
    </row>
    <row r="950" customFormat="false" ht="15.75" hidden="false" customHeight="true" outlineLevel="0" collapsed="false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  <c r="AE950" s="8"/>
      <c r="AF950" s="8"/>
      <c r="AG950" s="8"/>
      <c r="AH950" s="8"/>
      <c r="AI950" s="8"/>
      <c r="AJ950" s="8"/>
      <c r="AK950" s="8"/>
      <c r="AL950" s="8"/>
      <c r="AM950" s="8"/>
      <c r="AN950" s="8"/>
      <c r="AO950" s="8"/>
      <c r="AP950" s="8"/>
      <c r="AQ950" s="8"/>
      <c r="AR950" s="8"/>
      <c r="AS950" s="8"/>
      <c r="AT950" s="8"/>
      <c r="AU950" s="8"/>
      <c r="AV950" s="8"/>
      <c r="AW950" s="8"/>
    </row>
    <row r="951" customFormat="false" ht="15.75" hidden="false" customHeight="true" outlineLevel="0" collapsed="false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  <c r="AE951" s="8"/>
      <c r="AF951" s="8"/>
      <c r="AG951" s="8"/>
      <c r="AH951" s="8"/>
      <c r="AI951" s="8"/>
      <c r="AJ951" s="8"/>
      <c r="AK951" s="8"/>
      <c r="AL951" s="8"/>
      <c r="AM951" s="8"/>
      <c r="AN951" s="8"/>
      <c r="AO951" s="8"/>
      <c r="AP951" s="8"/>
      <c r="AQ951" s="8"/>
      <c r="AR951" s="8"/>
      <c r="AS951" s="8"/>
      <c r="AT951" s="8"/>
      <c r="AU951" s="8"/>
      <c r="AV951" s="8"/>
      <c r="AW951" s="8"/>
    </row>
    <row r="952" customFormat="false" ht="15.75" hidden="false" customHeight="true" outlineLevel="0" collapsed="false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  <c r="AE952" s="8"/>
      <c r="AF952" s="8"/>
      <c r="AG952" s="8"/>
      <c r="AH952" s="8"/>
      <c r="AI952" s="8"/>
      <c r="AJ952" s="8"/>
      <c r="AK952" s="8"/>
      <c r="AL952" s="8"/>
      <c r="AM952" s="8"/>
      <c r="AN952" s="8"/>
      <c r="AO952" s="8"/>
      <c r="AP952" s="8"/>
      <c r="AQ952" s="8"/>
      <c r="AR952" s="8"/>
      <c r="AS952" s="8"/>
      <c r="AT952" s="8"/>
      <c r="AU952" s="8"/>
      <c r="AV952" s="8"/>
      <c r="AW952" s="8"/>
    </row>
    <row r="953" customFormat="false" ht="15.75" hidden="false" customHeight="true" outlineLevel="0" collapsed="false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  <c r="AE953" s="8"/>
      <c r="AF953" s="8"/>
      <c r="AG953" s="8"/>
      <c r="AH953" s="8"/>
      <c r="AI953" s="8"/>
      <c r="AJ953" s="8"/>
      <c r="AK953" s="8"/>
      <c r="AL953" s="8"/>
      <c r="AM953" s="8"/>
      <c r="AN953" s="8"/>
      <c r="AO953" s="8"/>
      <c r="AP953" s="8"/>
      <c r="AQ953" s="8"/>
      <c r="AR953" s="8"/>
      <c r="AS953" s="8"/>
      <c r="AT953" s="8"/>
      <c r="AU953" s="8"/>
      <c r="AV953" s="8"/>
      <c r="AW953" s="8"/>
    </row>
    <row r="954" customFormat="false" ht="15.75" hidden="false" customHeight="true" outlineLevel="0" collapsed="false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  <c r="AE954" s="8"/>
      <c r="AF954" s="8"/>
      <c r="AG954" s="8"/>
      <c r="AH954" s="8"/>
      <c r="AI954" s="8"/>
      <c r="AJ954" s="8"/>
      <c r="AK954" s="8"/>
      <c r="AL954" s="8"/>
      <c r="AM954" s="8"/>
      <c r="AN954" s="8"/>
      <c r="AO954" s="8"/>
      <c r="AP954" s="8"/>
      <c r="AQ954" s="8"/>
      <c r="AR954" s="8"/>
      <c r="AS954" s="8"/>
      <c r="AT954" s="8"/>
      <c r="AU954" s="8"/>
      <c r="AV954" s="8"/>
      <c r="AW954" s="8"/>
    </row>
    <row r="955" customFormat="false" ht="15.75" hidden="false" customHeight="true" outlineLevel="0" collapsed="false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  <c r="AE955" s="8"/>
      <c r="AF955" s="8"/>
      <c r="AG955" s="8"/>
      <c r="AH955" s="8"/>
      <c r="AI955" s="8"/>
      <c r="AJ955" s="8"/>
      <c r="AK955" s="8"/>
      <c r="AL955" s="8"/>
      <c r="AM955" s="8"/>
      <c r="AN955" s="8"/>
      <c r="AO955" s="8"/>
      <c r="AP955" s="8"/>
      <c r="AQ955" s="8"/>
      <c r="AR955" s="8"/>
      <c r="AS955" s="8"/>
      <c r="AT955" s="8"/>
      <c r="AU955" s="8"/>
      <c r="AV955" s="8"/>
      <c r="AW955" s="8"/>
    </row>
    <row r="956" customFormat="false" ht="15.75" hidden="false" customHeight="true" outlineLevel="0" collapsed="false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  <c r="AE956" s="8"/>
      <c r="AF956" s="8"/>
      <c r="AG956" s="8"/>
      <c r="AH956" s="8"/>
      <c r="AI956" s="8"/>
      <c r="AJ956" s="8"/>
      <c r="AK956" s="8"/>
      <c r="AL956" s="8"/>
      <c r="AM956" s="8"/>
      <c r="AN956" s="8"/>
      <c r="AO956" s="8"/>
      <c r="AP956" s="8"/>
      <c r="AQ956" s="8"/>
      <c r="AR956" s="8"/>
      <c r="AS956" s="8"/>
      <c r="AT956" s="8"/>
      <c r="AU956" s="8"/>
      <c r="AV956" s="8"/>
      <c r="AW956" s="8"/>
    </row>
    <row r="957" customFormat="false" ht="15.75" hidden="false" customHeight="true" outlineLevel="0" collapsed="false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  <c r="AE957" s="8"/>
      <c r="AF957" s="8"/>
      <c r="AG957" s="8"/>
      <c r="AH957" s="8"/>
      <c r="AI957" s="8"/>
      <c r="AJ957" s="8"/>
      <c r="AK957" s="8"/>
      <c r="AL957" s="8"/>
      <c r="AM957" s="8"/>
      <c r="AN957" s="8"/>
      <c r="AO957" s="8"/>
      <c r="AP957" s="8"/>
      <c r="AQ957" s="8"/>
      <c r="AR957" s="8"/>
      <c r="AS957" s="8"/>
      <c r="AT957" s="8"/>
      <c r="AU957" s="8"/>
      <c r="AV957" s="8"/>
      <c r="AW957" s="8"/>
    </row>
    <row r="958" customFormat="false" ht="15.75" hidden="false" customHeight="true" outlineLevel="0" collapsed="false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  <c r="AE958" s="8"/>
      <c r="AF958" s="8"/>
      <c r="AG958" s="8"/>
      <c r="AH958" s="8"/>
      <c r="AI958" s="8"/>
      <c r="AJ958" s="8"/>
      <c r="AK958" s="8"/>
      <c r="AL958" s="8"/>
      <c r="AM958" s="8"/>
      <c r="AN958" s="8"/>
      <c r="AO958" s="8"/>
      <c r="AP958" s="8"/>
      <c r="AQ958" s="8"/>
      <c r="AR958" s="8"/>
      <c r="AS958" s="8"/>
      <c r="AT958" s="8"/>
      <c r="AU958" s="8"/>
      <c r="AV958" s="8"/>
      <c r="AW958" s="8"/>
    </row>
    <row r="959" customFormat="false" ht="15.75" hidden="false" customHeight="true" outlineLevel="0" collapsed="false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  <c r="AE959" s="8"/>
      <c r="AF959" s="8"/>
      <c r="AG959" s="8"/>
      <c r="AH959" s="8"/>
      <c r="AI959" s="8"/>
      <c r="AJ959" s="8"/>
      <c r="AK959" s="8"/>
      <c r="AL959" s="8"/>
      <c r="AM959" s="8"/>
      <c r="AN959" s="8"/>
      <c r="AO959" s="8"/>
      <c r="AP959" s="8"/>
      <c r="AQ959" s="8"/>
      <c r="AR959" s="8"/>
      <c r="AS959" s="8"/>
      <c r="AT959" s="8"/>
      <c r="AU959" s="8"/>
      <c r="AV959" s="8"/>
      <c r="AW959" s="8"/>
    </row>
    <row r="960" customFormat="false" ht="15.75" hidden="false" customHeight="true" outlineLevel="0" collapsed="false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  <c r="AE960" s="8"/>
      <c r="AF960" s="8"/>
      <c r="AG960" s="8"/>
      <c r="AH960" s="8"/>
      <c r="AI960" s="8"/>
      <c r="AJ960" s="8"/>
      <c r="AK960" s="8"/>
      <c r="AL960" s="8"/>
      <c r="AM960" s="8"/>
      <c r="AN960" s="8"/>
      <c r="AO960" s="8"/>
      <c r="AP960" s="8"/>
      <c r="AQ960" s="8"/>
      <c r="AR960" s="8"/>
      <c r="AS960" s="8"/>
      <c r="AT960" s="8"/>
      <c r="AU960" s="8"/>
      <c r="AV960" s="8"/>
      <c r="AW960" s="8"/>
    </row>
    <row r="961" customFormat="false" ht="15.75" hidden="false" customHeight="true" outlineLevel="0" collapsed="false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  <c r="AE961" s="8"/>
      <c r="AF961" s="8"/>
      <c r="AG961" s="8"/>
      <c r="AH961" s="8"/>
      <c r="AI961" s="8"/>
      <c r="AJ961" s="8"/>
      <c r="AK961" s="8"/>
      <c r="AL961" s="8"/>
      <c r="AM961" s="8"/>
      <c r="AN961" s="8"/>
      <c r="AO961" s="8"/>
      <c r="AP961" s="8"/>
      <c r="AQ961" s="8"/>
      <c r="AR961" s="8"/>
      <c r="AS961" s="8"/>
      <c r="AT961" s="8"/>
      <c r="AU961" s="8"/>
      <c r="AV961" s="8"/>
      <c r="AW961" s="8"/>
    </row>
    <row r="962" customFormat="false" ht="15.75" hidden="false" customHeight="true" outlineLevel="0" collapsed="false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  <c r="AE962" s="8"/>
      <c r="AF962" s="8"/>
      <c r="AG962" s="8"/>
      <c r="AH962" s="8"/>
      <c r="AI962" s="8"/>
      <c r="AJ962" s="8"/>
      <c r="AK962" s="8"/>
      <c r="AL962" s="8"/>
      <c r="AM962" s="8"/>
      <c r="AN962" s="8"/>
      <c r="AO962" s="8"/>
      <c r="AP962" s="8"/>
      <c r="AQ962" s="8"/>
      <c r="AR962" s="8"/>
      <c r="AS962" s="8"/>
      <c r="AT962" s="8"/>
      <c r="AU962" s="8"/>
      <c r="AV962" s="8"/>
      <c r="AW962" s="8"/>
    </row>
    <row r="963" customFormat="false" ht="15.75" hidden="false" customHeight="true" outlineLevel="0" collapsed="false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  <c r="AE963" s="8"/>
      <c r="AF963" s="8"/>
      <c r="AG963" s="8"/>
      <c r="AH963" s="8"/>
      <c r="AI963" s="8"/>
      <c r="AJ963" s="8"/>
      <c r="AK963" s="8"/>
      <c r="AL963" s="8"/>
      <c r="AM963" s="8"/>
      <c r="AN963" s="8"/>
      <c r="AO963" s="8"/>
      <c r="AP963" s="8"/>
      <c r="AQ963" s="8"/>
      <c r="AR963" s="8"/>
      <c r="AS963" s="8"/>
      <c r="AT963" s="8"/>
      <c r="AU963" s="8"/>
      <c r="AV963" s="8"/>
      <c r="AW963" s="8"/>
    </row>
    <row r="964" customFormat="false" ht="15.75" hidden="false" customHeight="true" outlineLevel="0" collapsed="false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  <c r="AE964" s="8"/>
      <c r="AF964" s="8"/>
      <c r="AG964" s="8"/>
      <c r="AH964" s="8"/>
      <c r="AI964" s="8"/>
      <c r="AJ964" s="8"/>
      <c r="AK964" s="8"/>
      <c r="AL964" s="8"/>
      <c r="AM964" s="8"/>
      <c r="AN964" s="8"/>
      <c r="AO964" s="8"/>
      <c r="AP964" s="8"/>
      <c r="AQ964" s="8"/>
      <c r="AR964" s="8"/>
      <c r="AS964" s="8"/>
      <c r="AT964" s="8"/>
      <c r="AU964" s="8"/>
      <c r="AV964" s="8"/>
      <c r="AW964" s="8"/>
    </row>
    <row r="965" customFormat="false" ht="15.75" hidden="false" customHeight="true" outlineLevel="0" collapsed="false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  <c r="AE965" s="8"/>
      <c r="AF965" s="8"/>
      <c r="AG965" s="8"/>
      <c r="AH965" s="8"/>
      <c r="AI965" s="8"/>
      <c r="AJ965" s="8"/>
      <c r="AK965" s="8"/>
      <c r="AL965" s="8"/>
      <c r="AM965" s="8"/>
      <c r="AN965" s="8"/>
      <c r="AO965" s="8"/>
      <c r="AP965" s="8"/>
      <c r="AQ965" s="8"/>
      <c r="AR965" s="8"/>
      <c r="AS965" s="8"/>
      <c r="AT965" s="8"/>
      <c r="AU965" s="8"/>
      <c r="AV965" s="8"/>
      <c r="AW965" s="8"/>
    </row>
    <row r="966" customFormat="false" ht="15.75" hidden="false" customHeight="true" outlineLevel="0" collapsed="false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  <c r="AE966" s="8"/>
      <c r="AF966" s="8"/>
      <c r="AG966" s="8"/>
      <c r="AH966" s="8"/>
      <c r="AI966" s="8"/>
      <c r="AJ966" s="8"/>
      <c r="AK966" s="8"/>
      <c r="AL966" s="8"/>
      <c r="AM966" s="8"/>
      <c r="AN966" s="8"/>
      <c r="AO966" s="8"/>
      <c r="AP966" s="8"/>
      <c r="AQ966" s="8"/>
      <c r="AR966" s="8"/>
      <c r="AS966" s="8"/>
      <c r="AT966" s="8"/>
      <c r="AU966" s="8"/>
      <c r="AV966" s="8"/>
      <c r="AW966" s="8"/>
    </row>
    <row r="967" customFormat="false" ht="15.75" hidden="false" customHeight="true" outlineLevel="0" collapsed="false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  <c r="AE967" s="8"/>
      <c r="AF967" s="8"/>
      <c r="AG967" s="8"/>
      <c r="AH967" s="8"/>
      <c r="AI967" s="8"/>
      <c r="AJ967" s="8"/>
      <c r="AK967" s="8"/>
      <c r="AL967" s="8"/>
      <c r="AM967" s="8"/>
      <c r="AN967" s="8"/>
      <c r="AO967" s="8"/>
      <c r="AP967" s="8"/>
      <c r="AQ967" s="8"/>
      <c r="AR967" s="8"/>
      <c r="AS967" s="8"/>
      <c r="AT967" s="8"/>
      <c r="AU967" s="8"/>
      <c r="AV967" s="8"/>
      <c r="AW967" s="8"/>
    </row>
    <row r="968" customFormat="false" ht="15.75" hidden="false" customHeight="true" outlineLevel="0" collapsed="false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  <c r="AE968" s="8"/>
      <c r="AF968" s="8"/>
      <c r="AG968" s="8"/>
      <c r="AH968" s="8"/>
      <c r="AI968" s="8"/>
      <c r="AJ968" s="8"/>
      <c r="AK968" s="8"/>
      <c r="AL968" s="8"/>
      <c r="AM968" s="8"/>
      <c r="AN968" s="8"/>
      <c r="AO968" s="8"/>
      <c r="AP968" s="8"/>
      <c r="AQ968" s="8"/>
      <c r="AR968" s="8"/>
      <c r="AS968" s="8"/>
      <c r="AT968" s="8"/>
      <c r="AU968" s="8"/>
      <c r="AV968" s="8"/>
      <c r="AW968" s="8"/>
    </row>
    <row r="969" customFormat="false" ht="15.75" hidden="false" customHeight="true" outlineLevel="0" collapsed="false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  <c r="AE969" s="8"/>
      <c r="AF969" s="8"/>
      <c r="AG969" s="8"/>
      <c r="AH969" s="8"/>
      <c r="AI969" s="8"/>
      <c r="AJ969" s="8"/>
      <c r="AK969" s="8"/>
      <c r="AL969" s="8"/>
      <c r="AM969" s="8"/>
      <c r="AN969" s="8"/>
      <c r="AO969" s="8"/>
      <c r="AP969" s="8"/>
      <c r="AQ969" s="8"/>
      <c r="AR969" s="8"/>
      <c r="AS969" s="8"/>
      <c r="AT969" s="8"/>
      <c r="AU969" s="8"/>
      <c r="AV969" s="8"/>
      <c r="AW969" s="8"/>
    </row>
    <row r="970" customFormat="false" ht="15.75" hidden="false" customHeight="true" outlineLevel="0" collapsed="false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  <c r="AE970" s="8"/>
      <c r="AF970" s="8"/>
      <c r="AG970" s="8"/>
      <c r="AH970" s="8"/>
      <c r="AI970" s="8"/>
      <c r="AJ970" s="8"/>
      <c r="AK970" s="8"/>
      <c r="AL970" s="8"/>
      <c r="AM970" s="8"/>
      <c r="AN970" s="8"/>
      <c r="AO970" s="8"/>
      <c r="AP970" s="8"/>
      <c r="AQ970" s="8"/>
      <c r="AR970" s="8"/>
      <c r="AS970" s="8"/>
      <c r="AT970" s="8"/>
      <c r="AU970" s="8"/>
      <c r="AV970" s="8"/>
      <c r="AW970" s="8"/>
    </row>
    <row r="971" customFormat="false" ht="15.75" hidden="false" customHeight="true" outlineLevel="0" collapsed="false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  <c r="AE971" s="8"/>
      <c r="AF971" s="8"/>
      <c r="AG971" s="8"/>
      <c r="AH971" s="8"/>
      <c r="AI971" s="8"/>
      <c r="AJ971" s="8"/>
      <c r="AK971" s="8"/>
      <c r="AL971" s="8"/>
      <c r="AM971" s="8"/>
      <c r="AN971" s="8"/>
      <c r="AO971" s="8"/>
      <c r="AP971" s="8"/>
      <c r="AQ971" s="8"/>
      <c r="AR971" s="8"/>
      <c r="AS971" s="8"/>
      <c r="AT971" s="8"/>
      <c r="AU971" s="8"/>
      <c r="AV971" s="8"/>
      <c r="AW971" s="8"/>
    </row>
    <row r="972" customFormat="false" ht="15.75" hidden="false" customHeight="true" outlineLevel="0" collapsed="false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  <c r="AE972" s="8"/>
      <c r="AF972" s="8"/>
      <c r="AG972" s="8"/>
      <c r="AH972" s="8"/>
      <c r="AI972" s="8"/>
      <c r="AJ972" s="8"/>
      <c r="AK972" s="8"/>
      <c r="AL972" s="8"/>
      <c r="AM972" s="8"/>
      <c r="AN972" s="8"/>
      <c r="AO972" s="8"/>
      <c r="AP972" s="8"/>
      <c r="AQ972" s="8"/>
      <c r="AR972" s="8"/>
      <c r="AS972" s="8"/>
      <c r="AT972" s="8"/>
      <c r="AU972" s="8"/>
      <c r="AV972" s="8"/>
      <c r="AW972" s="8"/>
    </row>
    <row r="973" customFormat="false" ht="15.75" hidden="false" customHeight="true" outlineLevel="0" collapsed="false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  <c r="AE973" s="8"/>
      <c r="AF973" s="8"/>
      <c r="AG973" s="8"/>
      <c r="AH973" s="8"/>
      <c r="AI973" s="8"/>
      <c r="AJ973" s="8"/>
      <c r="AK973" s="8"/>
      <c r="AL973" s="8"/>
      <c r="AM973" s="8"/>
      <c r="AN973" s="8"/>
      <c r="AO973" s="8"/>
      <c r="AP973" s="8"/>
      <c r="AQ973" s="8"/>
      <c r="AR973" s="8"/>
      <c r="AS973" s="8"/>
      <c r="AT973" s="8"/>
      <c r="AU973" s="8"/>
      <c r="AV973" s="8"/>
      <c r="AW973" s="8"/>
    </row>
    <row r="974" customFormat="false" ht="15.75" hidden="false" customHeight="true" outlineLevel="0" collapsed="false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  <c r="AE974" s="8"/>
      <c r="AF974" s="8"/>
      <c r="AG974" s="8"/>
      <c r="AH974" s="8"/>
      <c r="AI974" s="8"/>
      <c r="AJ974" s="8"/>
      <c r="AK974" s="8"/>
      <c r="AL974" s="8"/>
      <c r="AM974" s="8"/>
      <c r="AN974" s="8"/>
      <c r="AO974" s="8"/>
      <c r="AP974" s="8"/>
      <c r="AQ974" s="8"/>
      <c r="AR974" s="8"/>
      <c r="AS974" s="8"/>
      <c r="AT974" s="8"/>
      <c r="AU974" s="8"/>
      <c r="AV974" s="8"/>
      <c r="AW974" s="8"/>
    </row>
    <row r="975" customFormat="false" ht="15.75" hidden="false" customHeight="true" outlineLevel="0" collapsed="false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  <c r="AE975" s="8"/>
      <c r="AF975" s="8"/>
      <c r="AG975" s="8"/>
      <c r="AH975" s="8"/>
      <c r="AI975" s="8"/>
      <c r="AJ975" s="8"/>
      <c r="AK975" s="8"/>
      <c r="AL975" s="8"/>
      <c r="AM975" s="8"/>
      <c r="AN975" s="8"/>
      <c r="AO975" s="8"/>
      <c r="AP975" s="8"/>
      <c r="AQ975" s="8"/>
      <c r="AR975" s="8"/>
      <c r="AS975" s="8"/>
      <c r="AT975" s="8"/>
      <c r="AU975" s="8"/>
      <c r="AV975" s="8"/>
      <c r="AW975" s="8"/>
    </row>
    <row r="976" customFormat="false" ht="15.75" hidden="false" customHeight="true" outlineLevel="0" collapsed="false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  <c r="AE976" s="8"/>
      <c r="AF976" s="8"/>
      <c r="AG976" s="8"/>
      <c r="AH976" s="8"/>
      <c r="AI976" s="8"/>
      <c r="AJ976" s="8"/>
      <c r="AK976" s="8"/>
      <c r="AL976" s="8"/>
      <c r="AM976" s="8"/>
      <c r="AN976" s="8"/>
      <c r="AO976" s="8"/>
      <c r="AP976" s="8"/>
      <c r="AQ976" s="8"/>
      <c r="AR976" s="8"/>
      <c r="AS976" s="8"/>
      <c r="AT976" s="8"/>
      <c r="AU976" s="8"/>
      <c r="AV976" s="8"/>
      <c r="AW976" s="8"/>
    </row>
    <row r="977" customFormat="false" ht="15.75" hidden="false" customHeight="true" outlineLevel="0" collapsed="false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  <c r="AE977" s="8"/>
      <c r="AF977" s="8"/>
      <c r="AG977" s="8"/>
      <c r="AH977" s="8"/>
      <c r="AI977" s="8"/>
      <c r="AJ977" s="8"/>
      <c r="AK977" s="8"/>
      <c r="AL977" s="8"/>
      <c r="AM977" s="8"/>
      <c r="AN977" s="8"/>
      <c r="AO977" s="8"/>
      <c r="AP977" s="8"/>
      <c r="AQ977" s="8"/>
      <c r="AR977" s="8"/>
      <c r="AS977" s="8"/>
      <c r="AT977" s="8"/>
      <c r="AU977" s="8"/>
      <c r="AV977" s="8"/>
      <c r="AW977" s="8"/>
    </row>
    <row r="978" customFormat="false" ht="15.75" hidden="false" customHeight="true" outlineLevel="0" collapsed="false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  <c r="AE978" s="8"/>
      <c r="AF978" s="8"/>
      <c r="AG978" s="8"/>
      <c r="AH978" s="8"/>
      <c r="AI978" s="8"/>
      <c r="AJ978" s="8"/>
      <c r="AK978" s="8"/>
      <c r="AL978" s="8"/>
      <c r="AM978" s="8"/>
      <c r="AN978" s="8"/>
      <c r="AO978" s="8"/>
      <c r="AP978" s="8"/>
      <c r="AQ978" s="8"/>
      <c r="AR978" s="8"/>
      <c r="AS978" s="8"/>
      <c r="AT978" s="8"/>
      <c r="AU978" s="8"/>
      <c r="AV978" s="8"/>
      <c r="AW978" s="8"/>
    </row>
    <row r="979" customFormat="false" ht="15.75" hidden="false" customHeight="true" outlineLevel="0" collapsed="false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  <c r="AE979" s="8"/>
      <c r="AF979" s="8"/>
      <c r="AG979" s="8"/>
      <c r="AH979" s="8"/>
      <c r="AI979" s="8"/>
      <c r="AJ979" s="8"/>
      <c r="AK979" s="8"/>
      <c r="AL979" s="8"/>
      <c r="AM979" s="8"/>
      <c r="AN979" s="8"/>
      <c r="AO979" s="8"/>
      <c r="AP979" s="8"/>
      <c r="AQ979" s="8"/>
      <c r="AR979" s="8"/>
      <c r="AS979" s="8"/>
      <c r="AT979" s="8"/>
      <c r="AU979" s="8"/>
      <c r="AV979" s="8"/>
      <c r="AW979" s="8"/>
    </row>
    <row r="980" customFormat="false" ht="15.75" hidden="false" customHeight="true" outlineLevel="0" collapsed="false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  <c r="AE980" s="8"/>
      <c r="AF980" s="8"/>
      <c r="AG980" s="8"/>
      <c r="AH980" s="8"/>
      <c r="AI980" s="8"/>
      <c r="AJ980" s="8"/>
      <c r="AK980" s="8"/>
      <c r="AL980" s="8"/>
      <c r="AM980" s="8"/>
      <c r="AN980" s="8"/>
      <c r="AO980" s="8"/>
      <c r="AP980" s="8"/>
      <c r="AQ980" s="8"/>
      <c r="AR980" s="8"/>
      <c r="AS980" s="8"/>
      <c r="AT980" s="8"/>
      <c r="AU980" s="8"/>
      <c r="AV980" s="8"/>
      <c r="AW980" s="8"/>
    </row>
    <row r="981" customFormat="false" ht="15.75" hidden="false" customHeight="true" outlineLevel="0" collapsed="false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  <c r="AE981" s="8"/>
      <c r="AF981" s="8"/>
      <c r="AG981" s="8"/>
      <c r="AH981" s="8"/>
      <c r="AI981" s="8"/>
      <c r="AJ981" s="8"/>
      <c r="AK981" s="8"/>
      <c r="AL981" s="8"/>
      <c r="AM981" s="8"/>
      <c r="AN981" s="8"/>
      <c r="AO981" s="8"/>
      <c r="AP981" s="8"/>
      <c r="AQ981" s="8"/>
      <c r="AR981" s="8"/>
      <c r="AS981" s="8"/>
      <c r="AT981" s="8"/>
      <c r="AU981" s="8"/>
      <c r="AV981" s="8"/>
      <c r="AW981" s="8"/>
    </row>
    <row r="982" customFormat="false" ht="15.75" hidden="false" customHeight="true" outlineLevel="0" collapsed="false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  <c r="AE982" s="8"/>
      <c r="AF982" s="8"/>
      <c r="AG982" s="8"/>
      <c r="AH982" s="8"/>
      <c r="AI982" s="8"/>
      <c r="AJ982" s="8"/>
      <c r="AK982" s="8"/>
      <c r="AL982" s="8"/>
      <c r="AM982" s="8"/>
      <c r="AN982" s="8"/>
      <c r="AO982" s="8"/>
      <c r="AP982" s="8"/>
      <c r="AQ982" s="8"/>
      <c r="AR982" s="8"/>
      <c r="AS982" s="8"/>
      <c r="AT982" s="8"/>
      <c r="AU982" s="8"/>
      <c r="AV982" s="8"/>
      <c r="AW982" s="8"/>
    </row>
    <row r="983" customFormat="false" ht="15.75" hidden="false" customHeight="true" outlineLevel="0" collapsed="false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  <c r="AE983" s="8"/>
      <c r="AF983" s="8"/>
      <c r="AG983" s="8"/>
      <c r="AH983" s="8"/>
      <c r="AI983" s="8"/>
      <c r="AJ983" s="8"/>
      <c r="AK983" s="8"/>
      <c r="AL983" s="8"/>
      <c r="AM983" s="8"/>
      <c r="AN983" s="8"/>
      <c r="AO983" s="8"/>
      <c r="AP983" s="8"/>
      <c r="AQ983" s="8"/>
      <c r="AR983" s="8"/>
      <c r="AS983" s="8"/>
      <c r="AT983" s="8"/>
      <c r="AU983" s="8"/>
      <c r="AV983" s="8"/>
      <c r="AW983" s="8"/>
    </row>
    <row r="984" customFormat="false" ht="15.75" hidden="false" customHeight="true" outlineLevel="0" collapsed="false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  <c r="AE984" s="8"/>
      <c r="AF984" s="8"/>
      <c r="AG984" s="8"/>
      <c r="AH984" s="8"/>
      <c r="AI984" s="8"/>
      <c r="AJ984" s="8"/>
      <c r="AK984" s="8"/>
      <c r="AL984" s="8"/>
      <c r="AM984" s="8"/>
      <c r="AN984" s="8"/>
      <c r="AO984" s="8"/>
      <c r="AP984" s="8"/>
      <c r="AQ984" s="8"/>
      <c r="AR984" s="8"/>
      <c r="AS984" s="8"/>
      <c r="AT984" s="8"/>
      <c r="AU984" s="8"/>
      <c r="AV984" s="8"/>
      <c r="AW984" s="8"/>
    </row>
    <row r="985" customFormat="false" ht="15.75" hidden="false" customHeight="true" outlineLevel="0" collapsed="false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  <c r="AE985" s="8"/>
      <c r="AF985" s="8"/>
      <c r="AG985" s="8"/>
      <c r="AH985" s="8"/>
      <c r="AI985" s="8"/>
      <c r="AJ985" s="8"/>
      <c r="AK985" s="8"/>
      <c r="AL985" s="8"/>
      <c r="AM985" s="8"/>
      <c r="AN985" s="8"/>
      <c r="AO985" s="8"/>
      <c r="AP985" s="8"/>
      <c r="AQ985" s="8"/>
      <c r="AR985" s="8"/>
      <c r="AS985" s="8"/>
      <c r="AT985" s="8"/>
      <c r="AU985" s="8"/>
      <c r="AV985" s="8"/>
      <c r="AW985" s="8"/>
    </row>
    <row r="986" customFormat="false" ht="15.75" hidden="false" customHeight="true" outlineLevel="0" collapsed="false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  <c r="AE986" s="8"/>
      <c r="AF986" s="8"/>
      <c r="AG986" s="8"/>
      <c r="AH986" s="8"/>
      <c r="AI986" s="8"/>
      <c r="AJ986" s="8"/>
      <c r="AK986" s="8"/>
      <c r="AL986" s="8"/>
      <c r="AM986" s="8"/>
      <c r="AN986" s="8"/>
      <c r="AO986" s="8"/>
      <c r="AP986" s="8"/>
      <c r="AQ986" s="8"/>
      <c r="AR986" s="8"/>
      <c r="AS986" s="8"/>
      <c r="AT986" s="8"/>
      <c r="AU986" s="8"/>
      <c r="AV986" s="8"/>
      <c r="AW986" s="8"/>
    </row>
    <row r="987" customFormat="false" ht="15.75" hidden="false" customHeight="true" outlineLevel="0" collapsed="false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  <c r="AE987" s="8"/>
      <c r="AF987" s="8"/>
      <c r="AG987" s="8"/>
      <c r="AH987" s="8"/>
      <c r="AI987" s="8"/>
      <c r="AJ987" s="8"/>
      <c r="AK987" s="8"/>
      <c r="AL987" s="8"/>
      <c r="AM987" s="8"/>
      <c r="AN987" s="8"/>
      <c r="AO987" s="8"/>
      <c r="AP987" s="8"/>
      <c r="AQ987" s="8"/>
      <c r="AR987" s="8"/>
      <c r="AS987" s="8"/>
      <c r="AT987" s="8"/>
      <c r="AU987" s="8"/>
      <c r="AV987" s="8"/>
      <c r="AW987" s="8"/>
    </row>
    <row r="988" customFormat="false" ht="15.75" hidden="false" customHeight="true" outlineLevel="0" collapsed="false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  <c r="AE988" s="8"/>
      <c r="AF988" s="8"/>
      <c r="AG988" s="8"/>
      <c r="AH988" s="8"/>
      <c r="AI988" s="8"/>
      <c r="AJ988" s="8"/>
      <c r="AK988" s="8"/>
      <c r="AL988" s="8"/>
      <c r="AM988" s="8"/>
      <c r="AN988" s="8"/>
      <c r="AO988" s="8"/>
      <c r="AP988" s="8"/>
      <c r="AQ988" s="8"/>
      <c r="AR988" s="8"/>
      <c r="AS988" s="8"/>
      <c r="AT988" s="8"/>
      <c r="AU988" s="8"/>
      <c r="AV988" s="8"/>
      <c r="AW988" s="8"/>
    </row>
    <row r="989" customFormat="false" ht="15.75" hidden="false" customHeight="true" outlineLevel="0" collapsed="false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  <c r="AE989" s="8"/>
      <c r="AF989" s="8"/>
      <c r="AG989" s="8"/>
      <c r="AH989" s="8"/>
      <c r="AI989" s="8"/>
      <c r="AJ989" s="8"/>
      <c r="AK989" s="8"/>
      <c r="AL989" s="8"/>
      <c r="AM989" s="8"/>
      <c r="AN989" s="8"/>
      <c r="AO989" s="8"/>
      <c r="AP989" s="8"/>
      <c r="AQ989" s="8"/>
      <c r="AR989" s="8"/>
      <c r="AS989" s="8"/>
      <c r="AT989" s="8"/>
      <c r="AU989" s="8"/>
      <c r="AV989" s="8"/>
      <c r="AW989" s="8"/>
    </row>
    <row r="990" customFormat="false" ht="15.75" hidden="false" customHeight="true" outlineLevel="0" collapsed="false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  <c r="AE990" s="8"/>
      <c r="AF990" s="8"/>
      <c r="AG990" s="8"/>
      <c r="AH990" s="8"/>
      <c r="AI990" s="8"/>
      <c r="AJ990" s="8"/>
      <c r="AK990" s="8"/>
      <c r="AL990" s="8"/>
      <c r="AM990" s="8"/>
      <c r="AN990" s="8"/>
      <c r="AO990" s="8"/>
      <c r="AP990" s="8"/>
      <c r="AQ990" s="8"/>
      <c r="AR990" s="8"/>
      <c r="AS990" s="8"/>
      <c r="AT990" s="8"/>
      <c r="AU990" s="8"/>
      <c r="AV990" s="8"/>
      <c r="AW990" s="8"/>
    </row>
    <row r="991" customFormat="false" ht="15.75" hidden="false" customHeight="true" outlineLevel="0" collapsed="false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  <c r="AE991" s="8"/>
      <c r="AF991" s="8"/>
      <c r="AG991" s="8"/>
      <c r="AH991" s="8"/>
      <c r="AI991" s="8"/>
      <c r="AJ991" s="8"/>
      <c r="AK991" s="8"/>
      <c r="AL991" s="8"/>
      <c r="AM991" s="8"/>
      <c r="AN991" s="8"/>
      <c r="AO991" s="8"/>
      <c r="AP991" s="8"/>
      <c r="AQ991" s="8"/>
      <c r="AR991" s="8"/>
      <c r="AS991" s="8"/>
      <c r="AT991" s="8"/>
      <c r="AU991" s="8"/>
      <c r="AV991" s="8"/>
      <c r="AW991" s="8"/>
    </row>
    <row r="992" customFormat="false" ht="15.75" hidden="false" customHeight="true" outlineLevel="0" collapsed="false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  <c r="AE992" s="8"/>
      <c r="AF992" s="8"/>
      <c r="AG992" s="8"/>
      <c r="AH992" s="8"/>
      <c r="AI992" s="8"/>
      <c r="AJ992" s="8"/>
      <c r="AK992" s="8"/>
      <c r="AL992" s="8"/>
      <c r="AM992" s="8"/>
      <c r="AN992" s="8"/>
      <c r="AO992" s="8"/>
      <c r="AP992" s="8"/>
      <c r="AQ992" s="8"/>
      <c r="AR992" s="8"/>
      <c r="AS992" s="8"/>
      <c r="AT992" s="8"/>
      <c r="AU992" s="8"/>
      <c r="AV992" s="8"/>
      <c r="AW992" s="8"/>
    </row>
    <row r="993" customFormat="false" ht="15.75" hidden="false" customHeight="true" outlineLevel="0" collapsed="false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  <c r="AE993" s="8"/>
      <c r="AF993" s="8"/>
      <c r="AG993" s="8"/>
      <c r="AH993" s="8"/>
      <c r="AI993" s="8"/>
      <c r="AJ993" s="8"/>
      <c r="AK993" s="8"/>
      <c r="AL993" s="8"/>
      <c r="AM993" s="8"/>
      <c r="AN993" s="8"/>
      <c r="AO993" s="8"/>
      <c r="AP993" s="8"/>
      <c r="AQ993" s="8"/>
      <c r="AR993" s="8"/>
      <c r="AS993" s="8"/>
      <c r="AT993" s="8"/>
      <c r="AU993" s="8"/>
      <c r="AV993" s="8"/>
      <c r="AW993" s="8"/>
    </row>
    <row r="994" customFormat="false" ht="15.75" hidden="false" customHeight="true" outlineLevel="0" collapsed="false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  <c r="AE994" s="8"/>
      <c r="AF994" s="8"/>
      <c r="AG994" s="8"/>
      <c r="AH994" s="8"/>
      <c r="AI994" s="8"/>
      <c r="AJ994" s="8"/>
      <c r="AK994" s="8"/>
      <c r="AL994" s="8"/>
      <c r="AM994" s="8"/>
      <c r="AN994" s="8"/>
      <c r="AO994" s="8"/>
      <c r="AP994" s="8"/>
      <c r="AQ994" s="8"/>
      <c r="AR994" s="8"/>
      <c r="AS994" s="8"/>
      <c r="AT994" s="8"/>
      <c r="AU994" s="8"/>
      <c r="AV994" s="8"/>
      <c r="AW994" s="8"/>
    </row>
    <row r="995" customFormat="false" ht="15.75" hidden="false" customHeight="true" outlineLevel="0" collapsed="false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  <c r="AE995" s="8"/>
      <c r="AF995" s="8"/>
      <c r="AG995" s="8"/>
      <c r="AH995" s="8"/>
      <c r="AI995" s="8"/>
      <c r="AJ995" s="8"/>
      <c r="AK995" s="8"/>
      <c r="AL995" s="8"/>
      <c r="AM995" s="8"/>
      <c r="AN995" s="8"/>
      <c r="AO995" s="8"/>
      <c r="AP995" s="8"/>
      <c r="AQ995" s="8"/>
      <c r="AR995" s="8"/>
      <c r="AS995" s="8"/>
      <c r="AT995" s="8"/>
      <c r="AU995" s="8"/>
      <c r="AV995" s="8"/>
      <c r="AW995" s="8"/>
    </row>
    <row r="996" customFormat="false" ht="15.75" hidden="false" customHeight="true" outlineLevel="0" collapsed="false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  <c r="AE996" s="8"/>
      <c r="AF996" s="8"/>
      <c r="AG996" s="8"/>
      <c r="AH996" s="8"/>
      <c r="AI996" s="8"/>
      <c r="AJ996" s="8"/>
      <c r="AK996" s="8"/>
      <c r="AL996" s="8"/>
      <c r="AM996" s="8"/>
      <c r="AN996" s="8"/>
      <c r="AO996" s="8"/>
      <c r="AP996" s="8"/>
      <c r="AQ996" s="8"/>
      <c r="AR996" s="8"/>
      <c r="AS996" s="8"/>
      <c r="AT996" s="8"/>
      <c r="AU996" s="8"/>
      <c r="AV996" s="8"/>
      <c r="AW996" s="8"/>
    </row>
    <row r="997" customFormat="false" ht="15.75" hidden="false" customHeight="true" outlineLevel="0" collapsed="false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  <c r="AE997" s="8"/>
      <c r="AF997" s="8"/>
      <c r="AG997" s="8"/>
      <c r="AH997" s="8"/>
      <c r="AI997" s="8"/>
      <c r="AJ997" s="8"/>
      <c r="AK997" s="8"/>
      <c r="AL997" s="8"/>
      <c r="AM997" s="8"/>
      <c r="AN997" s="8"/>
      <c r="AO997" s="8"/>
      <c r="AP997" s="8"/>
      <c r="AQ997" s="8"/>
      <c r="AR997" s="8"/>
      <c r="AS997" s="8"/>
      <c r="AT997" s="8"/>
      <c r="AU997" s="8"/>
      <c r="AV997" s="8"/>
      <c r="AW997" s="8"/>
    </row>
    <row r="998" customFormat="false" ht="15.75" hidden="false" customHeight="true" outlineLevel="0" collapsed="false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  <c r="AE998" s="8"/>
      <c r="AF998" s="8"/>
      <c r="AG998" s="8"/>
      <c r="AH998" s="8"/>
      <c r="AI998" s="8"/>
      <c r="AJ998" s="8"/>
      <c r="AK998" s="8"/>
      <c r="AL998" s="8"/>
      <c r="AM998" s="8"/>
      <c r="AN998" s="8"/>
      <c r="AO998" s="8"/>
      <c r="AP998" s="8"/>
      <c r="AQ998" s="8"/>
      <c r="AR998" s="8"/>
      <c r="AS998" s="8"/>
      <c r="AT998" s="8"/>
      <c r="AU998" s="8"/>
      <c r="AV998" s="8"/>
      <c r="AW998" s="8"/>
    </row>
    <row r="999" customFormat="false" ht="15.75" hidden="false" customHeight="true" outlineLevel="0" collapsed="false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  <c r="AE999" s="8"/>
      <c r="AF999" s="8"/>
      <c r="AG999" s="8"/>
      <c r="AH999" s="8"/>
      <c r="AI999" s="8"/>
      <c r="AJ999" s="8"/>
      <c r="AK999" s="8"/>
      <c r="AL999" s="8"/>
      <c r="AM999" s="8"/>
      <c r="AN999" s="8"/>
      <c r="AO999" s="8"/>
      <c r="AP999" s="8"/>
      <c r="AQ999" s="8"/>
      <c r="AR999" s="8"/>
      <c r="AS999" s="8"/>
      <c r="AT999" s="8"/>
      <c r="AU999" s="8"/>
      <c r="AV999" s="8"/>
      <c r="AW999" s="8"/>
    </row>
    <row r="1000" customFormat="false" ht="15.75" hidden="false" customHeight="true" outlineLevel="0" collapsed="false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  <c r="AE1000" s="8"/>
      <c r="AF1000" s="8"/>
      <c r="AG1000" s="8"/>
      <c r="AH1000" s="8"/>
      <c r="AI1000" s="8"/>
      <c r="AJ1000" s="8"/>
      <c r="AK1000" s="8"/>
      <c r="AL1000" s="8"/>
      <c r="AM1000" s="8"/>
      <c r="AN1000" s="8"/>
      <c r="AO1000" s="8"/>
      <c r="AP1000" s="8"/>
      <c r="AQ1000" s="8"/>
      <c r="AR1000" s="8"/>
      <c r="AS1000" s="8"/>
      <c r="AT1000" s="8"/>
      <c r="AU1000" s="8"/>
      <c r="AV1000" s="8"/>
      <c r="AW1000" s="8"/>
    </row>
  </sheetData>
  <autoFilter ref="A1:S27"/>
  <mergeCells count="1">
    <mergeCell ref="P2:Y2"/>
  </mergeCells>
  <conditionalFormatting sqref="A2:D44 I2:I44">
    <cfRule type="expression" priority="2" aboveAverage="0" equalAverage="0" bottom="0" percent="0" rank="0" text="" dxfId="12">
      <formula>$I2:$I27="Fail"</formula>
    </cfRule>
    <cfRule type="expression" priority="3" aboveAverage="0" equalAverage="0" bottom="0" percent="0" rank="0" text="" dxfId="13">
      <formula>$I2:$I27="Excellent"</formula>
    </cfRule>
  </conditionalFormatting>
  <conditionalFormatting sqref="A2:D44 I2:I44">
    <cfRule type="expression" priority="4" aboveAverage="0" equalAverage="0" bottom="0" percent="0" rank="0" text="" dxfId="14">
      <formula>$I2:$I27="Good"</formula>
    </cfRule>
  </conditionalFormatting>
  <conditionalFormatting sqref="Y27">
    <cfRule type="expression" priority="5" aboveAverage="0" equalAverage="0" bottom="0" percent="0" rank="0" text="" dxfId="15">
      <formula>LEN(TRIM(Y27))&gt;0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77" zoomScaleNormal="77" zoomScalePageLayoutView="100" workbookViewId="0">
      <selection pane="topLeft" activeCell="T17" activeCellId="0" sqref="T17"/>
    </sheetView>
  </sheetViews>
  <sheetFormatPr defaultColWidth="12.63671875" defaultRowHeight="15" zeroHeight="false" outlineLevelRow="0" outlineLevelCol="0"/>
  <cols>
    <col collapsed="false" customWidth="true" hidden="false" outlineLevel="0" max="1" min="1" style="42" width="4.25"/>
    <col collapsed="false" customWidth="true" hidden="false" outlineLevel="0" max="2" min="2" style="42" width="7.38"/>
    <col collapsed="false" customWidth="true" hidden="false" outlineLevel="0" max="3" min="3" style="42" width="11"/>
    <col collapsed="false" customWidth="true" hidden="false" outlineLevel="0" max="4" min="4" style="42" width="23.38"/>
    <col collapsed="false" customWidth="true" hidden="false" outlineLevel="0" max="5" min="5" style="42" width="8.38"/>
    <col collapsed="false" customWidth="true" hidden="false" outlineLevel="0" max="15" min="6" style="42" width="14.73"/>
    <col collapsed="false" customWidth="true" hidden="false" outlineLevel="0" max="17" min="16" style="42" width="14"/>
    <col collapsed="false" customWidth="true" hidden="false" outlineLevel="0" max="18" min="18" style="42" width="12.75"/>
    <col collapsed="false" customWidth="true" hidden="false" outlineLevel="0" max="19" min="19" style="42" width="12.38"/>
    <col collapsed="false" customWidth="true" hidden="false" outlineLevel="0" max="20" min="20" style="42" width="11.12"/>
    <col collapsed="false" customWidth="true" hidden="false" outlineLevel="0" max="21" min="21" style="42" width="11.75"/>
    <col collapsed="false" customWidth="true" hidden="false" outlineLevel="0" max="22" min="22" style="0" width="16"/>
    <col collapsed="false" customWidth="true" hidden="false" outlineLevel="0" max="27" min="23" style="0" width="7.63"/>
  </cols>
  <sheetData>
    <row r="1" customFormat="false" ht="46.5" hidden="false" customHeight="true" outlineLevel="0" collapsed="false">
      <c r="A1" s="43" t="s">
        <v>11</v>
      </c>
      <c r="B1" s="44" t="s">
        <v>0</v>
      </c>
      <c r="C1" s="44" t="s">
        <v>1</v>
      </c>
      <c r="D1" s="44" t="s">
        <v>2</v>
      </c>
      <c r="E1" s="44" t="s">
        <v>3</v>
      </c>
      <c r="F1" s="45" t="s">
        <v>111</v>
      </c>
      <c r="G1" s="46" t="s">
        <v>112</v>
      </c>
      <c r="H1" s="46" t="s">
        <v>113</v>
      </c>
      <c r="I1" s="46" t="s">
        <v>114</v>
      </c>
      <c r="J1" s="47" t="s">
        <v>115</v>
      </c>
      <c r="K1" s="45" t="s">
        <v>116</v>
      </c>
      <c r="L1" s="46" t="s">
        <v>117</v>
      </c>
      <c r="M1" s="46" t="s">
        <v>118</v>
      </c>
      <c r="N1" s="46" t="s">
        <v>119</v>
      </c>
      <c r="O1" s="47" t="s">
        <v>120</v>
      </c>
      <c r="P1" s="48" t="s">
        <v>121</v>
      </c>
      <c r="Q1" s="49" t="s">
        <v>122</v>
      </c>
      <c r="R1" s="50" t="s">
        <v>123</v>
      </c>
      <c r="S1" s="51" t="s">
        <v>92</v>
      </c>
      <c r="T1" s="51" t="s">
        <v>93</v>
      </c>
      <c r="U1" s="6" t="s">
        <v>124</v>
      </c>
      <c r="W1" s="1"/>
      <c r="X1" s="1"/>
      <c r="Y1" s="1"/>
      <c r="Z1" s="1"/>
      <c r="AA1" s="1"/>
    </row>
    <row r="2" customFormat="false" ht="26.25" hidden="false" customHeight="true" outlineLevel="0" collapsed="false">
      <c r="A2" s="43"/>
      <c r="B2" s="42" t="str">
        <f aca="false" t="array" ref="B2:E14">_xlfn._xlws.FILTER(StudendEnroll!A2:D44,StudendEnroll!D2:D44=$A$1)</f>
        <v>John</v>
      </c>
      <c r="C2" s="42" t="str">
        <v>Makaron</v>
      </c>
      <c r="D2" s="42" t="str">
        <v>Johnak@gmail.com</v>
      </c>
      <c r="E2" s="42" t="str">
        <v>Physics1</v>
      </c>
      <c r="F2" s="52" t="s">
        <v>125</v>
      </c>
      <c r="G2" s="42" t="s">
        <v>125</v>
      </c>
      <c r="H2" s="42" t="s">
        <v>125</v>
      </c>
      <c r="I2" s="42" t="s">
        <v>126</v>
      </c>
      <c r="J2" s="53" t="s">
        <v>125</v>
      </c>
      <c r="K2" s="52" t="s">
        <v>125</v>
      </c>
      <c r="L2" s="42" t="s">
        <v>125</v>
      </c>
      <c r="M2" s="42" t="s">
        <v>125</v>
      </c>
      <c r="N2" s="42" t="s">
        <v>126</v>
      </c>
      <c r="O2" s="53" t="s">
        <v>125</v>
      </c>
      <c r="P2" s="54" t="n">
        <f aca="false">COUNTIF(F2:J2,"P")/COUNTA(F2:J2)</f>
        <v>0.8</v>
      </c>
      <c r="Q2" s="55" t="n">
        <f aca="false">COUNTIF(K2:O2,"P")/COUNTA(K2:O2)</f>
        <v>0.8</v>
      </c>
      <c r="R2" s="56" t="n">
        <f aca="false">SUM(P2:Q2)/2</f>
        <v>0.8</v>
      </c>
      <c r="S2" s="57" t="n">
        <v>85</v>
      </c>
      <c r="T2" s="57" t="n">
        <v>87</v>
      </c>
      <c r="U2" s="57" t="s">
        <v>127</v>
      </c>
    </row>
    <row r="3" customFormat="false" ht="26.25" hidden="false" customHeight="true" outlineLevel="0" collapsed="false">
      <c r="A3" s="43"/>
      <c r="B3" s="42" t="str">
        <v>Olivia</v>
      </c>
      <c r="C3" s="42" t="str">
        <v>Matt</v>
      </c>
      <c r="D3" s="42" t="str">
        <v>Oliviaat@gmail.com</v>
      </c>
      <c r="E3" s="42" t="str">
        <v>Physics1</v>
      </c>
      <c r="F3" s="52" t="s">
        <v>125</v>
      </c>
      <c r="G3" s="42" t="s">
        <v>125</v>
      </c>
      <c r="H3" s="42" t="s">
        <v>125</v>
      </c>
      <c r="I3" s="42" t="s">
        <v>125</v>
      </c>
      <c r="J3" s="53" t="s">
        <v>126</v>
      </c>
      <c r="K3" s="52" t="s">
        <v>125</v>
      </c>
      <c r="L3" s="42" t="s">
        <v>125</v>
      </c>
      <c r="M3" s="42" t="s">
        <v>125</v>
      </c>
      <c r="N3" s="42" t="s">
        <v>125</v>
      </c>
      <c r="O3" s="53" t="s">
        <v>126</v>
      </c>
      <c r="P3" s="54" t="n">
        <f aca="false">COUNTIF(F3:J3,"P")/COUNTA(F3:J3)</f>
        <v>0.8</v>
      </c>
      <c r="Q3" s="55" t="n">
        <f aca="false">COUNTIF(K3:O3,"P")/COUNTA(K3:O3)</f>
        <v>0.8</v>
      </c>
      <c r="R3" s="56" t="n">
        <f aca="false">SUM(P3:Q3)/2</f>
        <v>0.8</v>
      </c>
      <c r="S3" s="57" t="n">
        <v>88</v>
      </c>
      <c r="T3" s="57" t="n">
        <v>75</v>
      </c>
      <c r="U3" s="57" t="s">
        <v>127</v>
      </c>
    </row>
    <row r="4" customFormat="false" ht="26.25" hidden="false" customHeight="true" outlineLevel="0" collapsed="false">
      <c r="A4" s="43"/>
      <c r="B4" s="42" t="str">
        <v>Diana</v>
      </c>
      <c r="C4" s="42" t="str">
        <v>Pinto</v>
      </c>
      <c r="D4" s="42" t="str">
        <v>Dianain@gmail.com</v>
      </c>
      <c r="E4" s="42" t="str">
        <v>Physics1</v>
      </c>
      <c r="F4" s="52" t="s">
        <v>126</v>
      </c>
      <c r="G4" s="42" t="s">
        <v>126</v>
      </c>
      <c r="H4" s="42" t="s">
        <v>125</v>
      </c>
      <c r="I4" s="42" t="s">
        <v>126</v>
      </c>
      <c r="J4" s="53" t="s">
        <v>125</v>
      </c>
      <c r="K4" s="52" t="s">
        <v>126</v>
      </c>
      <c r="L4" s="42" t="s">
        <v>126</v>
      </c>
      <c r="M4" s="42" t="s">
        <v>125</v>
      </c>
      <c r="N4" s="42" t="s">
        <v>126</v>
      </c>
      <c r="O4" s="53" t="s">
        <v>125</v>
      </c>
      <c r="P4" s="54" t="n">
        <f aca="false">COUNTIF(F4:J4,"P")/COUNTA(F4:J4)</f>
        <v>0.4</v>
      </c>
      <c r="Q4" s="55" t="n">
        <f aca="false">COUNTIF(K4:O4,"P")/COUNTA(K4:O4)</f>
        <v>0.4</v>
      </c>
      <c r="R4" s="56" t="n">
        <f aca="false">SUM(P4:Q4)/2</f>
        <v>0.4</v>
      </c>
      <c r="S4" s="57" t="n">
        <v>69</v>
      </c>
      <c r="T4" s="57" t="n">
        <v>33</v>
      </c>
      <c r="U4" s="57" t="s">
        <v>127</v>
      </c>
    </row>
    <row r="5" customFormat="false" ht="26.25" hidden="false" customHeight="true" outlineLevel="0" collapsed="false">
      <c r="A5" s="43"/>
      <c r="B5" s="42" t="str">
        <v>Kate</v>
      </c>
      <c r="C5" s="42" t="str">
        <v>Potter</v>
      </c>
      <c r="D5" s="42" t="str">
        <v>Kateot@gmail.com</v>
      </c>
      <c r="E5" s="42" t="str">
        <v>Physics1</v>
      </c>
      <c r="F5" s="52" t="s">
        <v>125</v>
      </c>
      <c r="G5" s="42" t="s">
        <v>125</v>
      </c>
      <c r="H5" s="42" t="s">
        <v>125</v>
      </c>
      <c r="I5" s="42" t="s">
        <v>125</v>
      </c>
      <c r="J5" s="53" t="s">
        <v>125</v>
      </c>
      <c r="K5" s="52" t="s">
        <v>125</v>
      </c>
      <c r="L5" s="42" t="s">
        <v>125</v>
      </c>
      <c r="M5" s="42" t="s">
        <v>125</v>
      </c>
      <c r="N5" s="42" t="s">
        <v>125</v>
      </c>
      <c r="O5" s="53" t="s">
        <v>125</v>
      </c>
      <c r="P5" s="54" t="n">
        <f aca="false">COUNTIF(F5:J5,"P")/COUNTA(F5:J5)</f>
        <v>1</v>
      </c>
      <c r="Q5" s="55" t="n">
        <f aca="false">COUNTIF(K5:O5,"P")/COUNTA(K5:O5)</f>
        <v>1</v>
      </c>
      <c r="R5" s="56" t="n">
        <f aca="false">SUM(P5:Q5)/2</f>
        <v>1</v>
      </c>
      <c r="S5" s="57" t="n">
        <v>100</v>
      </c>
      <c r="T5" s="57" t="n">
        <v>84</v>
      </c>
      <c r="U5" s="57" t="s">
        <v>127</v>
      </c>
    </row>
    <row r="6" customFormat="false" ht="26.25" hidden="false" customHeight="true" outlineLevel="0" collapsed="false">
      <c r="A6" s="43"/>
      <c r="B6" s="42" t="str">
        <v>Manny</v>
      </c>
      <c r="C6" s="42" t="str">
        <v>Pac</v>
      </c>
      <c r="D6" s="42" t="str">
        <v>Mannyac@gmail.com</v>
      </c>
      <c r="E6" s="42" t="str">
        <v>Physics1</v>
      </c>
      <c r="F6" s="52" t="s">
        <v>126</v>
      </c>
      <c r="G6" s="42" t="s">
        <v>125</v>
      </c>
      <c r="H6" s="42" t="s">
        <v>125</v>
      </c>
      <c r="I6" s="42" t="s">
        <v>125</v>
      </c>
      <c r="J6" s="53" t="s">
        <v>126</v>
      </c>
      <c r="K6" s="52" t="s">
        <v>126</v>
      </c>
      <c r="L6" s="42" t="s">
        <v>125</v>
      </c>
      <c r="M6" s="42" t="s">
        <v>125</v>
      </c>
      <c r="N6" s="42" t="s">
        <v>125</v>
      </c>
      <c r="O6" s="53" t="s">
        <v>126</v>
      </c>
      <c r="P6" s="54" t="n">
        <f aca="false">COUNTIF(F6:J6,"P")/COUNTA(F6:J6)</f>
        <v>0.6</v>
      </c>
      <c r="Q6" s="55" t="n">
        <f aca="false">COUNTIF(K6:O6,"P")/COUNTA(K6:O6)</f>
        <v>0.6</v>
      </c>
      <c r="R6" s="56" t="n">
        <f aca="false">SUM(P6:Q6)/2</f>
        <v>0.6</v>
      </c>
      <c r="S6" s="57" t="n">
        <v>70</v>
      </c>
      <c r="T6" s="57" t="n">
        <v>79</v>
      </c>
      <c r="U6" s="57" t="s">
        <v>127</v>
      </c>
    </row>
    <row r="7" customFormat="false" ht="26.25" hidden="false" customHeight="true" outlineLevel="0" collapsed="false">
      <c r="A7" s="43"/>
      <c r="B7" s="42" t="str">
        <v>Katy</v>
      </c>
      <c r="C7" s="42" t="str">
        <v>Perri</v>
      </c>
      <c r="D7" s="42" t="str">
        <v>Katyer@gmail.com</v>
      </c>
      <c r="E7" s="42" t="str">
        <v>Physics1</v>
      </c>
      <c r="F7" s="52" t="s">
        <v>125</v>
      </c>
      <c r="G7" s="42" t="s">
        <v>125</v>
      </c>
      <c r="H7" s="42" t="s">
        <v>125</v>
      </c>
      <c r="I7" s="42" t="s">
        <v>125</v>
      </c>
      <c r="J7" s="53" t="s">
        <v>125</v>
      </c>
      <c r="K7" s="52" t="s">
        <v>125</v>
      </c>
      <c r="L7" s="42" t="s">
        <v>125</v>
      </c>
      <c r="M7" s="42" t="s">
        <v>125</v>
      </c>
      <c r="N7" s="42" t="s">
        <v>125</v>
      </c>
      <c r="O7" s="53" t="s">
        <v>125</v>
      </c>
      <c r="P7" s="54" t="n">
        <f aca="false">COUNTIF(F7:J7,"P")/COUNTA(F7:J7)</f>
        <v>1</v>
      </c>
      <c r="Q7" s="55" t="n">
        <f aca="false">COUNTIF(K7:O7,"P")/COUNTA(K7:O7)</f>
        <v>1</v>
      </c>
      <c r="R7" s="56" t="n">
        <f aca="false">SUM(P7:Q7)/2</f>
        <v>1</v>
      </c>
      <c r="S7" s="57" t="n">
        <v>43</v>
      </c>
      <c r="T7" s="57" t="n">
        <v>100</v>
      </c>
      <c r="U7" s="57" t="s">
        <v>127</v>
      </c>
    </row>
    <row r="8" customFormat="false" ht="26.25" hidden="false" customHeight="true" outlineLevel="0" collapsed="false">
      <c r="A8" s="43"/>
      <c r="B8" s="42" t="str">
        <v>Antony</v>
      </c>
      <c r="C8" s="42" t="str">
        <v>Ward</v>
      </c>
      <c r="D8" s="42" t="str">
        <v>Antonyar@gmail.com</v>
      </c>
      <c r="E8" s="42" t="str">
        <v>Physics1</v>
      </c>
      <c r="F8" s="52" t="s">
        <v>125</v>
      </c>
      <c r="G8" s="42" t="s">
        <v>125</v>
      </c>
      <c r="H8" s="42" t="s">
        <v>125</v>
      </c>
      <c r="I8" s="42" t="s">
        <v>125</v>
      </c>
      <c r="J8" s="53" t="s">
        <v>126</v>
      </c>
      <c r="K8" s="52" t="s">
        <v>125</v>
      </c>
      <c r="L8" s="42" t="s">
        <v>125</v>
      </c>
      <c r="M8" s="42" t="s">
        <v>125</v>
      </c>
      <c r="N8" s="42" t="s">
        <v>125</v>
      </c>
      <c r="O8" s="53" t="s">
        <v>126</v>
      </c>
      <c r="P8" s="54" t="n">
        <f aca="false">COUNTIF(F8:J8,"P")/COUNTA(F8:J8)</f>
        <v>0.8</v>
      </c>
      <c r="Q8" s="55" t="n">
        <f aca="false">COUNTIF(K8:O8,"P")/COUNTA(K8:O8)</f>
        <v>0.8</v>
      </c>
      <c r="R8" s="56" t="n">
        <f aca="false">SUM(P8:Q8)/2</f>
        <v>0.8</v>
      </c>
      <c r="S8" s="57" t="n">
        <v>82</v>
      </c>
      <c r="T8" s="57" t="n">
        <v>88</v>
      </c>
      <c r="U8" s="57" t="s">
        <v>127</v>
      </c>
    </row>
    <row r="9" customFormat="false" ht="26.25" hidden="false" customHeight="true" outlineLevel="0" collapsed="false">
      <c r="A9" s="43"/>
      <c r="B9" s="42" t="str">
        <v>Billy</v>
      </c>
      <c r="C9" s="42" t="str">
        <v>Sane</v>
      </c>
      <c r="D9" s="42" t="str">
        <v>Billyan@gmail.com</v>
      </c>
      <c r="E9" s="42" t="str">
        <v>Physics1</v>
      </c>
      <c r="F9" s="52" t="s">
        <v>125</v>
      </c>
      <c r="G9" s="42" t="s">
        <v>126</v>
      </c>
      <c r="H9" s="42" t="s">
        <v>125</v>
      </c>
      <c r="I9" s="42" t="s">
        <v>126</v>
      </c>
      <c r="J9" s="53" t="s">
        <v>125</v>
      </c>
      <c r="K9" s="52" t="s">
        <v>125</v>
      </c>
      <c r="L9" s="42" t="s">
        <v>126</v>
      </c>
      <c r="M9" s="42" t="s">
        <v>125</v>
      </c>
      <c r="N9" s="42" t="s">
        <v>126</v>
      </c>
      <c r="O9" s="53" t="s">
        <v>125</v>
      </c>
      <c r="P9" s="54" t="n">
        <f aca="false">COUNTIF(F9:J9,"P")/COUNTA(F9:J9)</f>
        <v>0.6</v>
      </c>
      <c r="Q9" s="55" t="n">
        <f aca="false">COUNTIF(K9:O9,"P")/COUNTA(K9:O9)</f>
        <v>0.6</v>
      </c>
      <c r="R9" s="56" t="n">
        <f aca="false">SUM(P9:Q9)/2</f>
        <v>0.6</v>
      </c>
      <c r="S9" s="57" t="n">
        <v>75</v>
      </c>
      <c r="T9" s="57" t="n">
        <v>81</v>
      </c>
      <c r="U9" s="57" t="s">
        <v>127</v>
      </c>
    </row>
    <row r="10" customFormat="false" ht="26.25" hidden="false" customHeight="true" outlineLevel="0" collapsed="false">
      <c r="A10" s="43"/>
      <c r="B10" s="42" t="str">
        <v>Ronald</v>
      </c>
      <c r="C10" s="42" t="str">
        <v>Connan</v>
      </c>
      <c r="D10" s="42" t="str">
        <v>Ronaldon@gmail.com</v>
      </c>
      <c r="E10" s="42" t="str">
        <v>Physics1</v>
      </c>
      <c r="F10" s="52" t="s">
        <v>126</v>
      </c>
      <c r="G10" s="42" t="s">
        <v>126</v>
      </c>
      <c r="H10" s="42" t="s">
        <v>126</v>
      </c>
      <c r="I10" s="42" t="s">
        <v>125</v>
      </c>
      <c r="J10" s="58" t="s">
        <v>125</v>
      </c>
      <c r="K10" s="59" t="s">
        <v>125</v>
      </c>
      <c r="L10" s="60" t="s">
        <v>125</v>
      </c>
      <c r="M10" s="60" t="s">
        <v>125</v>
      </c>
      <c r="N10" s="60" t="s">
        <v>125</v>
      </c>
      <c r="O10" s="58" t="s">
        <v>125</v>
      </c>
      <c r="P10" s="54" t="n">
        <f aca="false">COUNTIF(F10:J10,"P")/COUNTA(F10:J10)</f>
        <v>0.4</v>
      </c>
      <c r="Q10" s="55" t="n">
        <f aca="false">COUNTIF(K10:O10,"P")/COUNTA(K10:O10)</f>
        <v>1</v>
      </c>
      <c r="R10" s="56" t="n">
        <f aca="false">SUM(P10:Q10)/2</f>
        <v>0.7</v>
      </c>
      <c r="S10" s="57" t="n">
        <v>92</v>
      </c>
      <c r="T10" s="57" t="n">
        <v>79</v>
      </c>
      <c r="U10" s="57" t="s">
        <v>127</v>
      </c>
    </row>
    <row r="11" customFormat="false" ht="26.25" hidden="false" customHeight="true" outlineLevel="0" collapsed="false">
      <c r="A11" s="43"/>
      <c r="B11" s="42" t="str">
        <v>Anna</v>
      </c>
      <c r="C11" s="42" t="str">
        <v>Tsakiris</v>
      </c>
      <c r="D11" s="42" t="str">
        <v>Annasa@gmail.com</v>
      </c>
      <c r="E11" s="42" t="str">
        <v>Physics1</v>
      </c>
      <c r="F11" s="52" t="s">
        <v>125</v>
      </c>
      <c r="G11" s="42" t="s">
        <v>125</v>
      </c>
      <c r="H11" s="42" t="s">
        <v>126</v>
      </c>
      <c r="I11" s="42" t="s">
        <v>125</v>
      </c>
      <c r="J11" s="53" t="s">
        <v>125</v>
      </c>
      <c r="K11" s="52" t="s">
        <v>125</v>
      </c>
      <c r="L11" s="42" t="s">
        <v>125</v>
      </c>
      <c r="M11" s="42" t="s">
        <v>126</v>
      </c>
      <c r="N11" s="42" t="s">
        <v>125</v>
      </c>
      <c r="O11" s="53" t="s">
        <v>125</v>
      </c>
      <c r="P11" s="54" t="n">
        <f aca="false">COUNTIF(F11:J11,"P")/COUNTA(F11:J11)</f>
        <v>0.8</v>
      </c>
      <c r="Q11" s="55" t="n">
        <f aca="false">COUNTIF(K11:O11,"P")/COUNTA(K11:O11)</f>
        <v>0.8</v>
      </c>
      <c r="R11" s="56" t="n">
        <f aca="false">SUM(P11:Q11)/2</f>
        <v>0.8</v>
      </c>
      <c r="S11" s="57" t="n">
        <v>71</v>
      </c>
      <c r="T11" s="57" t="n">
        <v>79</v>
      </c>
      <c r="U11" s="57" t="s">
        <v>127</v>
      </c>
    </row>
    <row r="12" customFormat="false" ht="26.25" hidden="false" customHeight="true" outlineLevel="0" collapsed="false">
      <c r="A12" s="43"/>
      <c r="B12" s="42" t="str">
        <v>Neto</v>
      </c>
      <c r="C12" s="42" t="str">
        <v>Juninhio</v>
      </c>
      <c r="D12" s="42" t="str">
        <v>Netoun@gmail.com</v>
      </c>
      <c r="E12" s="42" t="str">
        <v>Physics1</v>
      </c>
      <c r="F12" s="61" t="s">
        <v>125</v>
      </c>
      <c r="G12" s="62" t="s">
        <v>126</v>
      </c>
      <c r="H12" s="62" t="s">
        <v>126</v>
      </c>
      <c r="I12" s="62" t="s">
        <v>125</v>
      </c>
      <c r="J12" s="63" t="s">
        <v>125</v>
      </c>
      <c r="K12" s="61" t="s">
        <v>125</v>
      </c>
      <c r="L12" s="62" t="s">
        <v>126</v>
      </c>
      <c r="M12" s="62" t="s">
        <v>126</v>
      </c>
      <c r="N12" s="62" t="s">
        <v>125</v>
      </c>
      <c r="O12" s="63" t="s">
        <v>125</v>
      </c>
      <c r="P12" s="54" t="n">
        <f aca="false">COUNTIF(F12:J12,"P")/COUNTA(F12:J12)</f>
        <v>0.6</v>
      </c>
      <c r="Q12" s="55" t="n">
        <f aca="false">COUNTIF(K12:O12,"P")/COUNTA(K12:O12)</f>
        <v>0.6</v>
      </c>
      <c r="R12" s="56" t="n">
        <f aca="false">SUM(P12:Q12)/2</f>
        <v>0.6</v>
      </c>
      <c r="S12" s="57" t="n">
        <v>40</v>
      </c>
      <c r="T12" s="57" t="n">
        <v>66</v>
      </c>
      <c r="U12" s="57" t="s">
        <v>128</v>
      </c>
    </row>
    <row r="13" customFormat="false" ht="26.25" hidden="false" customHeight="true" outlineLevel="0" collapsed="false">
      <c r="A13" s="43"/>
      <c r="B13" s="42" t="str">
        <v>Wei</v>
      </c>
      <c r="C13" s="42" t="str">
        <v>Bao</v>
      </c>
      <c r="D13" s="42" t="str">
        <v>Weiao@gmail.com</v>
      </c>
      <c r="E13" s="42" t="str">
        <v>Physics1</v>
      </c>
      <c r="F13" s="52" t="s">
        <v>126</v>
      </c>
      <c r="G13" s="42" t="s">
        <v>126</v>
      </c>
      <c r="H13" s="53" t="s">
        <v>125</v>
      </c>
      <c r="I13" s="62" t="s">
        <v>125</v>
      </c>
      <c r="J13" s="63" t="s">
        <v>125</v>
      </c>
      <c r="K13" s="61" t="s">
        <v>125</v>
      </c>
      <c r="L13" s="42" t="s">
        <v>125</v>
      </c>
      <c r="M13" s="53" t="s">
        <v>125</v>
      </c>
      <c r="N13" s="52" t="s">
        <v>125</v>
      </c>
      <c r="O13" s="53" t="s">
        <v>126</v>
      </c>
      <c r="P13" s="54" t="n">
        <f aca="false">COUNTIF(F13:J13,"P")/COUNTA(F13:J13)</f>
        <v>0.6</v>
      </c>
      <c r="Q13" s="55" t="n">
        <f aca="false">COUNTIF(K13:O13,"P")/COUNTA(K13:O13)</f>
        <v>0.8</v>
      </c>
      <c r="R13" s="56" t="n">
        <f aca="false">SUM(P13:Q13)/2</f>
        <v>0.7</v>
      </c>
      <c r="S13" s="57" t="n">
        <v>71</v>
      </c>
      <c r="T13" s="57" t="n">
        <v>79</v>
      </c>
      <c r="U13" s="57" t="s">
        <v>127</v>
      </c>
    </row>
    <row r="14" customFormat="false" ht="26.25" hidden="false" customHeight="true" outlineLevel="0" collapsed="false">
      <c r="A14" s="43"/>
      <c r="B14" s="42" t="str">
        <v>Kostas</v>
      </c>
      <c r="C14" s="42" t="str">
        <v>Loukas</v>
      </c>
      <c r="D14" s="42" t="str">
        <v>Kostasou@gmail.com</v>
      </c>
      <c r="E14" s="42" t="str">
        <v>Physics1</v>
      </c>
      <c r="F14" s="52" t="s">
        <v>125</v>
      </c>
      <c r="G14" s="42" t="s">
        <v>125</v>
      </c>
      <c r="H14" s="53" t="s">
        <v>125</v>
      </c>
      <c r="I14" s="62" t="s">
        <v>125</v>
      </c>
      <c r="J14" s="63" t="s">
        <v>125</v>
      </c>
      <c r="K14" s="61" t="s">
        <v>125</v>
      </c>
      <c r="L14" s="42" t="s">
        <v>125</v>
      </c>
      <c r="M14" s="53" t="s">
        <v>126</v>
      </c>
      <c r="N14" s="52" t="s">
        <v>125</v>
      </c>
      <c r="O14" s="53" t="s">
        <v>125</v>
      </c>
      <c r="P14" s="54" t="n">
        <f aca="false">COUNTIF(F14:J14,"P")/COUNTA(F14:J14)</f>
        <v>1</v>
      </c>
      <c r="Q14" s="55" t="n">
        <f aca="false">COUNTIF(K14:O14,"P")/COUNTA(K14:O14)</f>
        <v>0.8</v>
      </c>
      <c r="R14" s="56" t="n">
        <f aca="false">SUM(P14:Q14)/2</f>
        <v>0.9</v>
      </c>
      <c r="S14" s="57" t="n">
        <v>77</v>
      </c>
      <c r="T14" s="57" t="n">
        <v>100</v>
      </c>
      <c r="U14" s="57" t="s">
        <v>127</v>
      </c>
    </row>
    <row r="15" customFormat="false" ht="26.25" hidden="false" customHeight="true" outlineLevel="0" collapsed="false">
      <c r="A15" s="43"/>
      <c r="M15" s="53"/>
      <c r="N15" s="52"/>
      <c r="V15" s="64"/>
    </row>
    <row r="16" customFormat="false" ht="26.25" hidden="false" customHeight="true" outlineLevel="0" collapsed="false">
      <c r="A16" s="43"/>
      <c r="V16" s="64"/>
    </row>
    <row r="17" customFormat="false" ht="26.25" hidden="false" customHeight="true" outlineLevel="0" collapsed="false">
      <c r="A17" s="43"/>
      <c r="V17" s="64"/>
    </row>
    <row r="18" customFormat="false" ht="26.25" hidden="false" customHeight="true" outlineLevel="0" collapsed="false">
      <c r="A18" s="43"/>
      <c r="V18" s="64"/>
    </row>
    <row r="19" customFormat="false" ht="26.25" hidden="false" customHeight="true" outlineLevel="0" collapsed="false">
      <c r="A19" s="43"/>
      <c r="V19" s="64"/>
    </row>
    <row r="20" customFormat="false" ht="26.25" hidden="false" customHeight="true" outlineLevel="0" collapsed="false">
      <c r="A20" s="43"/>
      <c r="V20" s="64"/>
    </row>
    <row r="21" customFormat="false" ht="26.25" hidden="false" customHeight="true" outlineLevel="0" collapsed="false">
      <c r="A21" s="43"/>
      <c r="V21" s="64"/>
    </row>
    <row r="22" customFormat="false" ht="26.25" hidden="false" customHeight="true" outlineLevel="0" collapsed="false">
      <c r="A22" s="43"/>
      <c r="V22" s="64"/>
    </row>
    <row r="23" customFormat="false" ht="26.25" hidden="false" customHeight="true" outlineLevel="0" collapsed="false">
      <c r="A23" s="43"/>
      <c r="V23" s="64"/>
    </row>
    <row r="24" customFormat="false" ht="26.25" hidden="false" customHeight="true" outlineLevel="0" collapsed="false">
      <c r="A24" s="43"/>
      <c r="V24" s="64"/>
    </row>
    <row r="25" customFormat="false" ht="26.25" hidden="false" customHeight="true" outlineLevel="0" collapsed="false">
      <c r="A25" s="43"/>
      <c r="V25" s="64"/>
    </row>
    <row r="26" customFormat="false" ht="26.25" hidden="false" customHeight="true" outlineLevel="0" collapsed="false">
      <c r="A26" s="43"/>
      <c r="V26" s="64"/>
    </row>
    <row r="27" customFormat="false" ht="26.25" hidden="false" customHeight="true" outlineLevel="0" collapsed="false">
      <c r="A27" s="43"/>
      <c r="V27" s="64"/>
    </row>
    <row r="28" customFormat="false" ht="26.25" hidden="false" customHeight="true" outlineLevel="0" collapsed="false">
      <c r="A28" s="43"/>
      <c r="V28" s="64"/>
    </row>
    <row r="29" customFormat="false" ht="26.25" hidden="false" customHeight="true" outlineLevel="0" collapsed="false">
      <c r="A29" s="43"/>
      <c r="V29" s="64"/>
    </row>
    <row r="30" customFormat="false" ht="26.25" hidden="false" customHeight="true" outlineLevel="0" collapsed="false">
      <c r="A30" s="65"/>
      <c r="V30" s="64"/>
    </row>
    <row r="31" customFormat="false" ht="26.25" hidden="false" customHeight="true" outlineLevel="0" collapsed="false">
      <c r="A31" s="65"/>
      <c r="V31" s="64"/>
    </row>
    <row r="32" customFormat="false" ht="26.25" hidden="false" customHeight="true" outlineLevel="0" collapsed="false">
      <c r="A32" s="65"/>
      <c r="V32" s="64"/>
    </row>
    <row r="33" customFormat="false" ht="26.25" hidden="false" customHeight="true" outlineLevel="0" collapsed="false">
      <c r="A33" s="65"/>
      <c r="V33" s="64"/>
    </row>
    <row r="34" customFormat="false" ht="26.25" hidden="false" customHeight="true" outlineLevel="0" collapsed="false">
      <c r="A34" s="65"/>
      <c r="V34" s="64"/>
    </row>
    <row r="35" customFormat="false" ht="26.25" hidden="false" customHeight="true" outlineLevel="0" collapsed="false">
      <c r="A35" s="65"/>
      <c r="V35" s="64"/>
    </row>
    <row r="36" customFormat="false" ht="26.25" hidden="false" customHeight="true" outlineLevel="0" collapsed="false">
      <c r="A36" s="65"/>
      <c r="V36" s="64"/>
    </row>
    <row r="37" customFormat="false" ht="26.25" hidden="false" customHeight="true" outlineLevel="0" collapsed="false">
      <c r="A37" s="65"/>
      <c r="V37" s="64"/>
    </row>
    <row r="38" customFormat="false" ht="26.25" hidden="false" customHeight="true" outlineLevel="0" collapsed="false">
      <c r="A38" s="65"/>
      <c r="V38" s="64"/>
    </row>
    <row r="39" customFormat="false" ht="26.25" hidden="false" customHeight="true" outlineLevel="0" collapsed="false">
      <c r="A39" s="65"/>
      <c r="V39" s="64"/>
    </row>
    <row r="40" customFormat="false" ht="26.25" hidden="false" customHeight="true" outlineLevel="0" collapsed="false">
      <c r="A40" s="65"/>
      <c r="V40" s="64"/>
    </row>
    <row r="41" customFormat="false" ht="26.25" hidden="false" customHeight="true" outlineLevel="0" collapsed="false">
      <c r="A41" s="65"/>
      <c r="V41" s="64"/>
    </row>
    <row r="42" customFormat="false" ht="26.25" hidden="false" customHeight="true" outlineLevel="0" collapsed="false">
      <c r="A42" s="65"/>
      <c r="V42" s="64"/>
    </row>
    <row r="43" customFormat="false" ht="26.25" hidden="false" customHeight="true" outlineLevel="0" collapsed="false">
      <c r="A43" s="65"/>
      <c r="V43" s="64"/>
    </row>
    <row r="44" customFormat="false" ht="26.25" hidden="false" customHeight="true" outlineLevel="0" collapsed="false">
      <c r="A44" s="65"/>
      <c r="V44" s="64"/>
    </row>
    <row r="45" customFormat="false" ht="26.25" hidden="false" customHeight="true" outlineLevel="0" collapsed="false">
      <c r="A45" s="65"/>
      <c r="V45" s="64"/>
    </row>
    <row r="46" customFormat="false" ht="26.25" hidden="false" customHeight="true" outlineLevel="0" collapsed="false">
      <c r="A46" s="65"/>
      <c r="V46" s="64"/>
    </row>
    <row r="47" customFormat="false" ht="26.25" hidden="false" customHeight="true" outlineLevel="0" collapsed="false">
      <c r="A47" s="65"/>
      <c r="V47" s="64"/>
    </row>
    <row r="48" customFormat="false" ht="26.25" hidden="false" customHeight="true" outlineLevel="0" collapsed="false">
      <c r="A48" s="65"/>
      <c r="V48" s="64"/>
    </row>
    <row r="49" customFormat="false" ht="26.25" hidden="false" customHeight="true" outlineLevel="0" collapsed="false">
      <c r="A49" s="65"/>
      <c r="V49" s="64"/>
    </row>
    <row r="50" customFormat="false" ht="26.25" hidden="false" customHeight="true" outlineLevel="0" collapsed="false">
      <c r="A50" s="65"/>
      <c r="V50" s="64"/>
    </row>
    <row r="51" customFormat="false" ht="26.25" hidden="false" customHeight="true" outlineLevel="0" collapsed="false">
      <c r="A51" s="65"/>
      <c r="V51" s="64"/>
    </row>
    <row r="52" customFormat="false" ht="26.25" hidden="false" customHeight="true" outlineLevel="0" collapsed="false">
      <c r="A52" s="65"/>
      <c r="V52" s="64"/>
    </row>
    <row r="53" customFormat="false" ht="26.25" hidden="false" customHeight="true" outlineLevel="0" collapsed="false">
      <c r="A53" s="65"/>
      <c r="V53" s="64"/>
    </row>
    <row r="54" customFormat="false" ht="26.25" hidden="false" customHeight="true" outlineLevel="0" collapsed="false">
      <c r="A54" s="65"/>
      <c r="V54" s="64"/>
    </row>
    <row r="55" customFormat="false" ht="26.25" hidden="false" customHeight="true" outlineLevel="0" collapsed="false">
      <c r="A55" s="65"/>
      <c r="V55" s="64"/>
    </row>
    <row r="56" customFormat="false" ht="26.25" hidden="false" customHeight="true" outlineLevel="0" collapsed="false">
      <c r="A56" s="65"/>
      <c r="V56" s="64"/>
    </row>
    <row r="57" customFormat="false" ht="26.25" hidden="false" customHeight="true" outlineLevel="0" collapsed="false">
      <c r="A57" s="65"/>
      <c r="V57" s="64"/>
    </row>
    <row r="58" customFormat="false" ht="26.25" hidden="false" customHeight="true" outlineLevel="0" collapsed="false">
      <c r="A58" s="65"/>
      <c r="V58" s="64"/>
    </row>
    <row r="59" customFormat="false" ht="26.25" hidden="false" customHeight="true" outlineLevel="0" collapsed="false">
      <c r="A59" s="65"/>
      <c r="V59" s="64"/>
    </row>
    <row r="60" customFormat="false" ht="26.25" hidden="false" customHeight="true" outlineLevel="0" collapsed="false">
      <c r="A60" s="65"/>
      <c r="V60" s="64"/>
    </row>
    <row r="61" customFormat="false" ht="26.25" hidden="false" customHeight="true" outlineLevel="0" collapsed="false">
      <c r="A61" s="65"/>
      <c r="V61" s="64"/>
    </row>
    <row r="62" customFormat="false" ht="26.25" hidden="false" customHeight="true" outlineLevel="0" collapsed="false">
      <c r="A62" s="65"/>
      <c r="V62" s="64"/>
    </row>
    <row r="63" customFormat="false" ht="26.25" hidden="false" customHeight="true" outlineLevel="0" collapsed="false">
      <c r="A63" s="65"/>
      <c r="V63" s="64"/>
    </row>
    <row r="64" customFormat="false" ht="26.25" hidden="false" customHeight="true" outlineLevel="0" collapsed="false">
      <c r="A64" s="65"/>
      <c r="V64" s="64"/>
    </row>
    <row r="65" customFormat="false" ht="26.25" hidden="false" customHeight="true" outlineLevel="0" collapsed="false">
      <c r="A65" s="65"/>
      <c r="V65" s="64"/>
    </row>
    <row r="66" customFormat="false" ht="26.25" hidden="false" customHeight="true" outlineLevel="0" collapsed="false">
      <c r="A66" s="65"/>
      <c r="V66" s="64"/>
    </row>
    <row r="67" customFormat="false" ht="26.25" hidden="false" customHeight="true" outlineLevel="0" collapsed="false">
      <c r="A67" s="65"/>
      <c r="V67" s="64"/>
    </row>
    <row r="68" customFormat="false" ht="26.25" hidden="false" customHeight="true" outlineLevel="0" collapsed="false">
      <c r="A68" s="65"/>
      <c r="V68" s="64"/>
    </row>
    <row r="69" customFormat="false" ht="26.25" hidden="false" customHeight="true" outlineLevel="0" collapsed="false">
      <c r="A69" s="65"/>
      <c r="V69" s="64"/>
    </row>
    <row r="70" customFormat="false" ht="26.25" hidden="false" customHeight="true" outlineLevel="0" collapsed="false">
      <c r="A70" s="65"/>
      <c r="V70" s="64"/>
    </row>
    <row r="71" customFormat="false" ht="26.25" hidden="false" customHeight="true" outlineLevel="0" collapsed="false">
      <c r="A71" s="65"/>
      <c r="V71" s="64"/>
    </row>
    <row r="72" customFormat="false" ht="26.25" hidden="false" customHeight="true" outlineLevel="0" collapsed="false">
      <c r="A72" s="65"/>
      <c r="V72" s="64"/>
    </row>
    <row r="73" customFormat="false" ht="26.25" hidden="false" customHeight="true" outlineLevel="0" collapsed="false">
      <c r="A73" s="65"/>
      <c r="V73" s="64"/>
    </row>
    <row r="74" customFormat="false" ht="26.25" hidden="false" customHeight="true" outlineLevel="0" collapsed="false">
      <c r="A74" s="65"/>
      <c r="V74" s="64"/>
    </row>
    <row r="75" customFormat="false" ht="26.25" hidden="false" customHeight="true" outlineLevel="0" collapsed="false">
      <c r="A75" s="65"/>
      <c r="V75" s="64"/>
    </row>
    <row r="76" customFormat="false" ht="26.25" hidden="false" customHeight="true" outlineLevel="0" collapsed="false">
      <c r="A76" s="65"/>
      <c r="V76" s="64"/>
    </row>
    <row r="77" customFormat="false" ht="26.25" hidden="false" customHeight="true" outlineLevel="0" collapsed="false">
      <c r="A77" s="65"/>
      <c r="V77" s="64"/>
    </row>
    <row r="78" customFormat="false" ht="26.25" hidden="false" customHeight="true" outlineLevel="0" collapsed="false">
      <c r="A78" s="65"/>
      <c r="V78" s="64"/>
    </row>
    <row r="79" customFormat="false" ht="26.25" hidden="false" customHeight="true" outlineLevel="0" collapsed="false">
      <c r="A79" s="65"/>
      <c r="V79" s="64"/>
    </row>
    <row r="80" customFormat="false" ht="26.25" hidden="false" customHeight="true" outlineLevel="0" collapsed="false">
      <c r="A80" s="65"/>
      <c r="V80" s="64"/>
    </row>
    <row r="81" customFormat="false" ht="26.25" hidden="false" customHeight="true" outlineLevel="0" collapsed="false">
      <c r="A81" s="65"/>
      <c r="V81" s="64"/>
    </row>
    <row r="82" customFormat="false" ht="26.25" hidden="false" customHeight="true" outlineLevel="0" collapsed="false">
      <c r="A82" s="65"/>
      <c r="V82" s="64"/>
    </row>
    <row r="83" customFormat="false" ht="26.25" hidden="false" customHeight="true" outlineLevel="0" collapsed="false">
      <c r="A83" s="65"/>
      <c r="V83" s="64"/>
    </row>
    <row r="84" customFormat="false" ht="26.25" hidden="false" customHeight="true" outlineLevel="0" collapsed="false">
      <c r="A84" s="65"/>
      <c r="V84" s="64"/>
    </row>
    <row r="85" customFormat="false" ht="26.25" hidden="false" customHeight="true" outlineLevel="0" collapsed="false">
      <c r="A85" s="65"/>
      <c r="V85" s="64"/>
    </row>
    <row r="86" customFormat="false" ht="26.25" hidden="false" customHeight="true" outlineLevel="0" collapsed="false">
      <c r="A86" s="65"/>
      <c r="V86" s="64"/>
    </row>
    <row r="87" customFormat="false" ht="26.25" hidden="false" customHeight="true" outlineLevel="0" collapsed="false">
      <c r="A87" s="65"/>
      <c r="V87" s="64"/>
    </row>
    <row r="88" customFormat="false" ht="26.25" hidden="false" customHeight="true" outlineLevel="0" collapsed="false">
      <c r="A88" s="65"/>
      <c r="V88" s="64"/>
    </row>
    <row r="89" customFormat="false" ht="26.25" hidden="false" customHeight="true" outlineLevel="0" collapsed="false">
      <c r="A89" s="65"/>
      <c r="V89" s="64"/>
    </row>
    <row r="90" customFormat="false" ht="26.25" hidden="false" customHeight="true" outlineLevel="0" collapsed="false">
      <c r="A90" s="65"/>
      <c r="V90" s="64"/>
    </row>
    <row r="91" customFormat="false" ht="26.25" hidden="false" customHeight="true" outlineLevel="0" collapsed="false">
      <c r="A91" s="65"/>
      <c r="V91" s="64"/>
    </row>
    <row r="92" customFormat="false" ht="26.25" hidden="false" customHeight="true" outlineLevel="0" collapsed="false">
      <c r="A92" s="65"/>
      <c r="V92" s="64"/>
    </row>
    <row r="93" customFormat="false" ht="26.25" hidden="false" customHeight="true" outlineLevel="0" collapsed="false">
      <c r="A93" s="65"/>
      <c r="V93" s="64"/>
    </row>
    <row r="94" customFormat="false" ht="26.25" hidden="false" customHeight="true" outlineLevel="0" collapsed="false">
      <c r="A94" s="65"/>
      <c r="V94" s="64"/>
    </row>
    <row r="95" customFormat="false" ht="26.25" hidden="false" customHeight="true" outlineLevel="0" collapsed="false">
      <c r="A95" s="65"/>
      <c r="V95" s="64"/>
    </row>
    <row r="96" customFormat="false" ht="26.25" hidden="false" customHeight="true" outlineLevel="0" collapsed="false">
      <c r="A96" s="65"/>
      <c r="V96" s="64"/>
    </row>
    <row r="97" customFormat="false" ht="26.25" hidden="false" customHeight="true" outlineLevel="0" collapsed="false">
      <c r="A97" s="65"/>
      <c r="V97" s="64"/>
    </row>
    <row r="98" customFormat="false" ht="26.25" hidden="false" customHeight="true" outlineLevel="0" collapsed="false">
      <c r="A98" s="65"/>
      <c r="V98" s="64"/>
    </row>
    <row r="99" customFormat="false" ht="26.25" hidden="false" customHeight="true" outlineLevel="0" collapsed="false">
      <c r="A99" s="65"/>
      <c r="V99" s="64"/>
    </row>
    <row r="100" customFormat="false" ht="26.25" hidden="false" customHeight="true" outlineLevel="0" collapsed="false">
      <c r="A100" s="65"/>
      <c r="V100" s="64"/>
    </row>
    <row r="101" customFormat="false" ht="26.25" hidden="false" customHeight="true" outlineLevel="0" collapsed="false">
      <c r="A101" s="65"/>
      <c r="V101" s="64"/>
    </row>
    <row r="102" customFormat="false" ht="26.25" hidden="false" customHeight="true" outlineLevel="0" collapsed="false">
      <c r="A102" s="65"/>
      <c r="V102" s="64"/>
    </row>
    <row r="103" customFormat="false" ht="26.25" hidden="false" customHeight="true" outlineLevel="0" collapsed="false">
      <c r="A103" s="65"/>
      <c r="V103" s="64"/>
    </row>
    <row r="104" customFormat="false" ht="26.25" hidden="false" customHeight="true" outlineLevel="0" collapsed="false">
      <c r="A104" s="65"/>
      <c r="V104" s="64"/>
    </row>
    <row r="105" customFormat="false" ht="26.25" hidden="false" customHeight="true" outlineLevel="0" collapsed="false">
      <c r="A105" s="65"/>
      <c r="V105" s="64"/>
    </row>
    <row r="106" customFormat="false" ht="26.25" hidden="false" customHeight="true" outlineLevel="0" collapsed="false">
      <c r="A106" s="65"/>
      <c r="V106" s="64"/>
    </row>
    <row r="107" customFormat="false" ht="26.25" hidden="false" customHeight="true" outlineLevel="0" collapsed="false">
      <c r="A107" s="65"/>
      <c r="V107" s="64"/>
    </row>
    <row r="108" customFormat="false" ht="26.25" hidden="false" customHeight="true" outlineLevel="0" collapsed="false">
      <c r="A108" s="65"/>
      <c r="V108" s="64"/>
    </row>
    <row r="109" customFormat="false" ht="26.25" hidden="false" customHeight="true" outlineLevel="0" collapsed="false">
      <c r="A109" s="65"/>
      <c r="V109" s="64"/>
    </row>
    <row r="110" customFormat="false" ht="26.25" hidden="false" customHeight="true" outlineLevel="0" collapsed="false">
      <c r="A110" s="65"/>
      <c r="V110" s="64"/>
    </row>
    <row r="111" customFormat="false" ht="26.25" hidden="false" customHeight="true" outlineLevel="0" collapsed="false">
      <c r="A111" s="65"/>
      <c r="V111" s="64"/>
    </row>
    <row r="112" customFormat="false" ht="26.25" hidden="false" customHeight="true" outlineLevel="0" collapsed="false">
      <c r="A112" s="65"/>
      <c r="V112" s="64"/>
    </row>
    <row r="113" customFormat="false" ht="26.25" hidden="false" customHeight="true" outlineLevel="0" collapsed="false">
      <c r="A113" s="65"/>
      <c r="V113" s="64"/>
    </row>
    <row r="114" customFormat="false" ht="26.25" hidden="false" customHeight="true" outlineLevel="0" collapsed="false">
      <c r="A114" s="65"/>
      <c r="V114" s="64"/>
    </row>
    <row r="115" customFormat="false" ht="26.25" hidden="false" customHeight="true" outlineLevel="0" collapsed="false">
      <c r="A115" s="65"/>
      <c r="V115" s="64"/>
    </row>
    <row r="116" customFormat="false" ht="26.25" hidden="false" customHeight="true" outlineLevel="0" collapsed="false">
      <c r="A116" s="65"/>
      <c r="V116" s="64"/>
    </row>
    <row r="117" customFormat="false" ht="26.25" hidden="false" customHeight="true" outlineLevel="0" collapsed="false">
      <c r="A117" s="65"/>
      <c r="V117" s="64"/>
    </row>
    <row r="118" customFormat="false" ht="26.25" hidden="false" customHeight="true" outlineLevel="0" collapsed="false">
      <c r="A118" s="65"/>
      <c r="V118" s="64"/>
    </row>
    <row r="119" customFormat="false" ht="26.25" hidden="false" customHeight="true" outlineLevel="0" collapsed="false">
      <c r="A119" s="65"/>
      <c r="V119" s="64"/>
    </row>
    <row r="120" customFormat="false" ht="26.25" hidden="false" customHeight="true" outlineLevel="0" collapsed="false">
      <c r="A120" s="65"/>
      <c r="V120" s="64"/>
    </row>
    <row r="121" customFormat="false" ht="26.25" hidden="false" customHeight="true" outlineLevel="0" collapsed="false">
      <c r="A121" s="65"/>
      <c r="V121" s="64"/>
    </row>
    <row r="122" customFormat="false" ht="26.25" hidden="false" customHeight="true" outlineLevel="0" collapsed="false">
      <c r="A122" s="65"/>
      <c r="V122" s="64"/>
    </row>
    <row r="123" customFormat="false" ht="26.25" hidden="false" customHeight="true" outlineLevel="0" collapsed="false">
      <c r="A123" s="65"/>
      <c r="V123" s="64"/>
    </row>
    <row r="124" customFormat="false" ht="26.25" hidden="false" customHeight="true" outlineLevel="0" collapsed="false">
      <c r="A124" s="65"/>
      <c r="V124" s="64"/>
    </row>
    <row r="125" customFormat="false" ht="26.25" hidden="false" customHeight="true" outlineLevel="0" collapsed="false">
      <c r="A125" s="65"/>
      <c r="V125" s="64"/>
    </row>
    <row r="126" customFormat="false" ht="26.25" hidden="false" customHeight="true" outlineLevel="0" collapsed="false">
      <c r="A126" s="65"/>
      <c r="V126" s="64"/>
    </row>
    <row r="127" customFormat="false" ht="26.25" hidden="false" customHeight="true" outlineLevel="0" collapsed="false">
      <c r="A127" s="65"/>
      <c r="V127" s="64"/>
    </row>
    <row r="128" customFormat="false" ht="26.25" hidden="false" customHeight="true" outlineLevel="0" collapsed="false">
      <c r="A128" s="65"/>
      <c r="V128" s="64"/>
    </row>
    <row r="129" customFormat="false" ht="26.25" hidden="false" customHeight="true" outlineLevel="0" collapsed="false">
      <c r="A129" s="65"/>
      <c r="V129" s="64"/>
    </row>
    <row r="130" customFormat="false" ht="26.25" hidden="false" customHeight="true" outlineLevel="0" collapsed="false">
      <c r="A130" s="65"/>
      <c r="V130" s="64"/>
    </row>
    <row r="131" customFormat="false" ht="26.25" hidden="false" customHeight="true" outlineLevel="0" collapsed="false">
      <c r="A131" s="65"/>
      <c r="V131" s="64"/>
    </row>
    <row r="132" customFormat="false" ht="26.25" hidden="false" customHeight="true" outlineLevel="0" collapsed="false">
      <c r="A132" s="65"/>
      <c r="V132" s="64"/>
    </row>
    <row r="133" customFormat="false" ht="26.25" hidden="false" customHeight="true" outlineLevel="0" collapsed="false">
      <c r="A133" s="65"/>
      <c r="V133" s="64"/>
    </row>
    <row r="134" customFormat="false" ht="26.25" hidden="false" customHeight="true" outlineLevel="0" collapsed="false">
      <c r="A134" s="65"/>
      <c r="V134" s="64"/>
    </row>
    <row r="135" customFormat="false" ht="26.25" hidden="false" customHeight="true" outlineLevel="0" collapsed="false">
      <c r="A135" s="65"/>
      <c r="V135" s="64"/>
    </row>
    <row r="136" customFormat="false" ht="26.25" hidden="false" customHeight="true" outlineLevel="0" collapsed="false">
      <c r="A136" s="65"/>
      <c r="V136" s="64"/>
    </row>
    <row r="137" customFormat="false" ht="26.25" hidden="false" customHeight="true" outlineLevel="0" collapsed="false">
      <c r="A137" s="65"/>
      <c r="V137" s="64"/>
    </row>
    <row r="138" customFormat="false" ht="26.25" hidden="false" customHeight="true" outlineLevel="0" collapsed="false">
      <c r="A138" s="65"/>
      <c r="V138" s="64"/>
    </row>
    <row r="139" customFormat="false" ht="26.25" hidden="false" customHeight="true" outlineLevel="0" collapsed="false">
      <c r="A139" s="65"/>
      <c r="V139" s="64"/>
    </row>
    <row r="140" customFormat="false" ht="26.25" hidden="false" customHeight="true" outlineLevel="0" collapsed="false">
      <c r="A140" s="65"/>
      <c r="V140" s="64"/>
    </row>
    <row r="141" customFormat="false" ht="26.25" hidden="false" customHeight="true" outlineLevel="0" collapsed="false">
      <c r="A141" s="65"/>
      <c r="V141" s="64"/>
    </row>
    <row r="142" customFormat="false" ht="26.25" hidden="false" customHeight="true" outlineLevel="0" collapsed="false">
      <c r="A142" s="65"/>
      <c r="V142" s="64"/>
    </row>
    <row r="143" customFormat="false" ht="26.25" hidden="false" customHeight="true" outlineLevel="0" collapsed="false">
      <c r="A143" s="65"/>
      <c r="V143" s="64"/>
    </row>
    <row r="144" customFormat="false" ht="26.25" hidden="false" customHeight="true" outlineLevel="0" collapsed="false">
      <c r="A144" s="65"/>
      <c r="V144" s="64"/>
    </row>
    <row r="145" customFormat="false" ht="26.25" hidden="false" customHeight="true" outlineLevel="0" collapsed="false">
      <c r="A145" s="65"/>
      <c r="V145" s="64"/>
    </row>
    <row r="146" customFormat="false" ht="26.25" hidden="false" customHeight="true" outlineLevel="0" collapsed="false">
      <c r="A146" s="65"/>
      <c r="V146" s="64"/>
    </row>
    <row r="147" customFormat="false" ht="26.25" hidden="false" customHeight="true" outlineLevel="0" collapsed="false">
      <c r="A147" s="65"/>
      <c r="V147" s="64"/>
    </row>
    <row r="148" customFormat="false" ht="26.25" hidden="false" customHeight="true" outlineLevel="0" collapsed="false">
      <c r="A148" s="65"/>
      <c r="V148" s="64"/>
    </row>
    <row r="149" customFormat="false" ht="26.25" hidden="false" customHeight="true" outlineLevel="0" collapsed="false">
      <c r="A149" s="65"/>
      <c r="V149" s="64"/>
    </row>
    <row r="150" customFormat="false" ht="26.25" hidden="false" customHeight="true" outlineLevel="0" collapsed="false">
      <c r="A150" s="65"/>
      <c r="V150" s="64"/>
    </row>
    <row r="151" customFormat="false" ht="26.25" hidden="false" customHeight="true" outlineLevel="0" collapsed="false">
      <c r="A151" s="65"/>
      <c r="V151" s="64"/>
    </row>
    <row r="152" customFormat="false" ht="26.25" hidden="false" customHeight="true" outlineLevel="0" collapsed="false">
      <c r="A152" s="65"/>
      <c r="V152" s="64"/>
    </row>
    <row r="153" customFormat="false" ht="26.25" hidden="false" customHeight="true" outlineLevel="0" collapsed="false">
      <c r="A153" s="65"/>
      <c r="V153" s="64"/>
    </row>
    <row r="154" customFormat="false" ht="26.25" hidden="false" customHeight="true" outlineLevel="0" collapsed="false">
      <c r="A154" s="65"/>
      <c r="V154" s="64"/>
    </row>
    <row r="155" customFormat="false" ht="26.25" hidden="false" customHeight="true" outlineLevel="0" collapsed="false">
      <c r="A155" s="65"/>
      <c r="V155" s="64"/>
    </row>
    <row r="156" customFormat="false" ht="26.25" hidden="false" customHeight="true" outlineLevel="0" collapsed="false">
      <c r="A156" s="65"/>
      <c r="V156" s="64"/>
    </row>
    <row r="157" customFormat="false" ht="26.25" hidden="false" customHeight="true" outlineLevel="0" collapsed="false">
      <c r="A157" s="65"/>
      <c r="V157" s="64"/>
    </row>
    <row r="158" customFormat="false" ht="26.25" hidden="false" customHeight="true" outlineLevel="0" collapsed="false">
      <c r="A158" s="65"/>
      <c r="V158" s="64"/>
    </row>
    <row r="159" customFormat="false" ht="26.25" hidden="false" customHeight="true" outlineLevel="0" collapsed="false">
      <c r="A159" s="65"/>
      <c r="V159" s="64"/>
    </row>
    <row r="160" customFormat="false" ht="26.25" hidden="false" customHeight="true" outlineLevel="0" collapsed="false">
      <c r="A160" s="65"/>
      <c r="V160" s="64"/>
    </row>
    <row r="161" customFormat="false" ht="26.25" hidden="false" customHeight="true" outlineLevel="0" collapsed="false">
      <c r="A161" s="65"/>
      <c r="V161" s="64"/>
    </row>
    <row r="162" customFormat="false" ht="26.25" hidden="false" customHeight="true" outlineLevel="0" collapsed="false">
      <c r="A162" s="65"/>
      <c r="V162" s="64"/>
    </row>
    <row r="163" customFormat="false" ht="26.25" hidden="false" customHeight="true" outlineLevel="0" collapsed="false">
      <c r="A163" s="65"/>
      <c r="V163" s="64"/>
    </row>
    <row r="164" customFormat="false" ht="26.25" hidden="false" customHeight="true" outlineLevel="0" collapsed="false">
      <c r="A164" s="65"/>
      <c r="V164" s="64"/>
    </row>
    <row r="165" customFormat="false" ht="26.25" hidden="false" customHeight="true" outlineLevel="0" collapsed="false">
      <c r="A165" s="65"/>
      <c r="V165" s="64"/>
    </row>
    <row r="166" customFormat="false" ht="26.25" hidden="false" customHeight="true" outlineLevel="0" collapsed="false">
      <c r="A166" s="65"/>
      <c r="V166" s="64"/>
    </row>
    <row r="167" customFormat="false" ht="26.25" hidden="false" customHeight="true" outlineLevel="0" collapsed="false">
      <c r="A167" s="65"/>
      <c r="V167" s="64"/>
    </row>
    <row r="168" customFormat="false" ht="26.25" hidden="false" customHeight="true" outlineLevel="0" collapsed="false">
      <c r="A168" s="65"/>
      <c r="V168" s="64"/>
    </row>
    <row r="169" customFormat="false" ht="26.25" hidden="false" customHeight="true" outlineLevel="0" collapsed="false">
      <c r="A169" s="65"/>
      <c r="V169" s="64"/>
    </row>
    <row r="170" customFormat="false" ht="26.25" hidden="false" customHeight="true" outlineLevel="0" collapsed="false">
      <c r="A170" s="65"/>
      <c r="V170" s="64"/>
    </row>
    <row r="171" customFormat="false" ht="26.25" hidden="false" customHeight="true" outlineLevel="0" collapsed="false">
      <c r="A171" s="65"/>
      <c r="V171" s="64"/>
    </row>
    <row r="172" customFormat="false" ht="26.25" hidden="false" customHeight="true" outlineLevel="0" collapsed="false">
      <c r="A172" s="65"/>
      <c r="V172" s="64"/>
    </row>
    <row r="173" customFormat="false" ht="26.25" hidden="false" customHeight="true" outlineLevel="0" collapsed="false">
      <c r="A173" s="65"/>
      <c r="V173" s="64"/>
    </row>
    <row r="174" customFormat="false" ht="26.25" hidden="false" customHeight="true" outlineLevel="0" collapsed="false">
      <c r="A174" s="65"/>
      <c r="V174" s="64"/>
    </row>
    <row r="175" customFormat="false" ht="26.25" hidden="false" customHeight="true" outlineLevel="0" collapsed="false">
      <c r="A175" s="65"/>
      <c r="V175" s="64"/>
    </row>
    <row r="176" customFormat="false" ht="26.25" hidden="false" customHeight="true" outlineLevel="0" collapsed="false">
      <c r="A176" s="65"/>
      <c r="V176" s="64"/>
    </row>
    <row r="177" customFormat="false" ht="26.25" hidden="false" customHeight="true" outlineLevel="0" collapsed="false">
      <c r="A177" s="65"/>
      <c r="V177" s="64"/>
    </row>
    <row r="178" customFormat="false" ht="26.25" hidden="false" customHeight="true" outlineLevel="0" collapsed="false">
      <c r="A178" s="65"/>
      <c r="V178" s="64"/>
    </row>
    <row r="179" customFormat="false" ht="26.25" hidden="false" customHeight="true" outlineLevel="0" collapsed="false">
      <c r="A179" s="65"/>
      <c r="V179" s="64"/>
    </row>
    <row r="180" customFormat="false" ht="26.25" hidden="false" customHeight="true" outlineLevel="0" collapsed="false">
      <c r="A180" s="65"/>
      <c r="V180" s="64"/>
    </row>
    <row r="181" customFormat="false" ht="26.25" hidden="false" customHeight="true" outlineLevel="0" collapsed="false">
      <c r="A181" s="65"/>
      <c r="V181" s="64"/>
    </row>
    <row r="182" customFormat="false" ht="26.25" hidden="false" customHeight="true" outlineLevel="0" collapsed="false">
      <c r="A182" s="65"/>
      <c r="V182" s="64"/>
    </row>
    <row r="183" customFormat="false" ht="26.25" hidden="false" customHeight="true" outlineLevel="0" collapsed="false">
      <c r="A183" s="65"/>
      <c r="V183" s="64"/>
    </row>
    <row r="184" customFormat="false" ht="26.25" hidden="false" customHeight="true" outlineLevel="0" collapsed="false">
      <c r="A184" s="65"/>
      <c r="V184" s="64"/>
    </row>
    <row r="185" customFormat="false" ht="26.25" hidden="false" customHeight="true" outlineLevel="0" collapsed="false">
      <c r="A185" s="65"/>
      <c r="V185" s="64"/>
    </row>
    <row r="186" customFormat="false" ht="26.25" hidden="false" customHeight="true" outlineLevel="0" collapsed="false">
      <c r="A186" s="65"/>
      <c r="V186" s="64"/>
    </row>
    <row r="187" customFormat="false" ht="26.25" hidden="false" customHeight="true" outlineLevel="0" collapsed="false">
      <c r="A187" s="65"/>
      <c r="V187" s="64"/>
    </row>
    <row r="188" customFormat="false" ht="26.25" hidden="false" customHeight="true" outlineLevel="0" collapsed="false">
      <c r="A188" s="65"/>
      <c r="V188" s="64"/>
    </row>
    <row r="189" customFormat="false" ht="26.25" hidden="false" customHeight="true" outlineLevel="0" collapsed="false">
      <c r="A189" s="65"/>
      <c r="V189" s="64"/>
    </row>
    <row r="190" customFormat="false" ht="26.25" hidden="false" customHeight="true" outlineLevel="0" collapsed="false">
      <c r="A190" s="65"/>
      <c r="V190" s="64"/>
    </row>
    <row r="191" customFormat="false" ht="26.25" hidden="false" customHeight="true" outlineLevel="0" collapsed="false">
      <c r="A191" s="65"/>
      <c r="V191" s="64"/>
    </row>
    <row r="192" customFormat="false" ht="26.25" hidden="false" customHeight="true" outlineLevel="0" collapsed="false">
      <c r="A192" s="65"/>
      <c r="V192" s="64"/>
    </row>
    <row r="193" customFormat="false" ht="26.25" hidden="false" customHeight="true" outlineLevel="0" collapsed="false">
      <c r="A193" s="65"/>
      <c r="V193" s="64"/>
    </row>
    <row r="194" customFormat="false" ht="26.25" hidden="false" customHeight="true" outlineLevel="0" collapsed="false">
      <c r="A194" s="65"/>
      <c r="V194" s="64"/>
    </row>
    <row r="195" customFormat="false" ht="26.25" hidden="false" customHeight="true" outlineLevel="0" collapsed="false">
      <c r="A195" s="65"/>
      <c r="V195" s="64"/>
    </row>
    <row r="196" customFormat="false" ht="26.25" hidden="false" customHeight="true" outlineLevel="0" collapsed="false">
      <c r="A196" s="65"/>
      <c r="V196" s="64"/>
    </row>
    <row r="197" customFormat="false" ht="26.25" hidden="false" customHeight="true" outlineLevel="0" collapsed="false">
      <c r="A197" s="65"/>
      <c r="V197" s="64"/>
    </row>
    <row r="198" customFormat="false" ht="26.25" hidden="false" customHeight="true" outlineLevel="0" collapsed="false">
      <c r="A198" s="65"/>
      <c r="V198" s="64"/>
    </row>
    <row r="199" customFormat="false" ht="26.25" hidden="false" customHeight="true" outlineLevel="0" collapsed="false">
      <c r="A199" s="65"/>
      <c r="V199" s="64"/>
    </row>
    <row r="200" customFormat="false" ht="26.25" hidden="false" customHeight="true" outlineLevel="0" collapsed="false">
      <c r="A200" s="65"/>
      <c r="V200" s="64"/>
    </row>
    <row r="201" customFormat="false" ht="26.25" hidden="false" customHeight="true" outlineLevel="0" collapsed="false">
      <c r="A201" s="65"/>
      <c r="V201" s="64"/>
    </row>
    <row r="202" customFormat="false" ht="26.25" hidden="false" customHeight="true" outlineLevel="0" collapsed="false">
      <c r="A202" s="65"/>
      <c r="V202" s="64"/>
    </row>
    <row r="203" customFormat="false" ht="26.25" hidden="false" customHeight="true" outlineLevel="0" collapsed="false">
      <c r="A203" s="65"/>
      <c r="V203" s="64"/>
    </row>
    <row r="204" customFormat="false" ht="26.25" hidden="false" customHeight="true" outlineLevel="0" collapsed="false">
      <c r="A204" s="65"/>
      <c r="V204" s="64"/>
    </row>
    <row r="205" customFormat="false" ht="26.25" hidden="false" customHeight="true" outlineLevel="0" collapsed="false">
      <c r="A205" s="65"/>
      <c r="V205" s="64"/>
    </row>
    <row r="206" customFormat="false" ht="26.25" hidden="false" customHeight="true" outlineLevel="0" collapsed="false">
      <c r="A206" s="65"/>
      <c r="V206" s="64"/>
    </row>
    <row r="207" customFormat="false" ht="26.25" hidden="false" customHeight="true" outlineLevel="0" collapsed="false">
      <c r="A207" s="65"/>
      <c r="V207" s="64"/>
    </row>
    <row r="208" customFormat="false" ht="26.25" hidden="false" customHeight="true" outlineLevel="0" collapsed="false">
      <c r="A208" s="65"/>
      <c r="V208" s="64"/>
    </row>
    <row r="209" customFormat="false" ht="26.25" hidden="false" customHeight="true" outlineLevel="0" collapsed="false">
      <c r="A209" s="65"/>
      <c r="V209" s="64"/>
    </row>
    <row r="210" customFormat="false" ht="26.25" hidden="false" customHeight="true" outlineLevel="0" collapsed="false">
      <c r="A210" s="65"/>
      <c r="V210" s="64"/>
    </row>
    <row r="211" customFormat="false" ht="26.25" hidden="false" customHeight="true" outlineLevel="0" collapsed="false">
      <c r="A211" s="65"/>
      <c r="V211" s="64"/>
    </row>
    <row r="212" customFormat="false" ht="26.25" hidden="false" customHeight="true" outlineLevel="0" collapsed="false">
      <c r="A212" s="65"/>
      <c r="V212" s="64"/>
    </row>
    <row r="213" customFormat="false" ht="26.25" hidden="false" customHeight="true" outlineLevel="0" collapsed="false">
      <c r="A213" s="65"/>
      <c r="V213" s="64"/>
    </row>
    <row r="214" customFormat="false" ht="26.25" hidden="false" customHeight="true" outlineLevel="0" collapsed="false">
      <c r="A214" s="65"/>
      <c r="V214" s="64"/>
    </row>
    <row r="215" customFormat="false" ht="26.25" hidden="false" customHeight="true" outlineLevel="0" collapsed="false">
      <c r="A215" s="65"/>
      <c r="V215" s="64"/>
    </row>
    <row r="216" customFormat="false" ht="26.25" hidden="false" customHeight="true" outlineLevel="0" collapsed="false">
      <c r="A216" s="65"/>
      <c r="V216" s="64"/>
    </row>
    <row r="217" customFormat="false" ht="26.25" hidden="false" customHeight="true" outlineLevel="0" collapsed="false">
      <c r="A217" s="65"/>
      <c r="V217" s="64"/>
    </row>
    <row r="218" customFormat="false" ht="26.25" hidden="false" customHeight="true" outlineLevel="0" collapsed="false">
      <c r="A218" s="65"/>
      <c r="V218" s="64"/>
    </row>
    <row r="219" customFormat="false" ht="26.25" hidden="false" customHeight="true" outlineLevel="0" collapsed="false">
      <c r="A219" s="65"/>
      <c r="V219" s="64"/>
    </row>
    <row r="220" customFormat="false" ht="26.25" hidden="false" customHeight="true" outlineLevel="0" collapsed="false">
      <c r="A220" s="65"/>
      <c r="V220" s="64"/>
    </row>
    <row r="221" customFormat="false" ht="26.25" hidden="false" customHeight="true" outlineLevel="0" collapsed="false">
      <c r="A221" s="65"/>
      <c r="V221" s="64"/>
    </row>
    <row r="222" customFormat="false" ht="26.25" hidden="false" customHeight="true" outlineLevel="0" collapsed="false">
      <c r="A222" s="65"/>
      <c r="V222" s="64"/>
    </row>
    <row r="223" customFormat="false" ht="26.25" hidden="false" customHeight="true" outlineLevel="0" collapsed="false">
      <c r="A223" s="65"/>
      <c r="V223" s="64"/>
    </row>
    <row r="224" customFormat="false" ht="26.25" hidden="false" customHeight="true" outlineLevel="0" collapsed="false">
      <c r="A224" s="65"/>
      <c r="V224" s="64"/>
    </row>
    <row r="225" customFormat="false" ht="26.25" hidden="false" customHeight="true" outlineLevel="0" collapsed="false">
      <c r="A225" s="65"/>
      <c r="V225" s="64"/>
    </row>
    <row r="226" customFormat="false" ht="26.25" hidden="false" customHeight="true" outlineLevel="0" collapsed="false">
      <c r="A226" s="65"/>
      <c r="V226" s="64"/>
    </row>
    <row r="227" customFormat="false" ht="26.25" hidden="false" customHeight="true" outlineLevel="0" collapsed="false">
      <c r="A227" s="65"/>
      <c r="V227" s="64"/>
    </row>
    <row r="228" customFormat="false" ht="26.25" hidden="false" customHeight="true" outlineLevel="0" collapsed="false">
      <c r="A228" s="65"/>
      <c r="V228" s="64"/>
    </row>
    <row r="229" customFormat="false" ht="26.25" hidden="false" customHeight="true" outlineLevel="0" collapsed="false">
      <c r="A229" s="65"/>
      <c r="V229" s="64"/>
    </row>
    <row r="230" customFormat="false" ht="26.25" hidden="false" customHeight="true" outlineLevel="0" collapsed="false">
      <c r="A230" s="65"/>
      <c r="V230" s="64"/>
    </row>
    <row r="231" customFormat="false" ht="26.25" hidden="false" customHeight="true" outlineLevel="0" collapsed="false">
      <c r="A231" s="65"/>
      <c r="V231" s="64"/>
    </row>
    <row r="232" customFormat="false" ht="26.25" hidden="false" customHeight="true" outlineLevel="0" collapsed="false">
      <c r="A232" s="65"/>
      <c r="V232" s="64"/>
    </row>
    <row r="233" customFormat="false" ht="26.25" hidden="false" customHeight="true" outlineLevel="0" collapsed="false">
      <c r="A233" s="65"/>
      <c r="V233" s="64"/>
    </row>
    <row r="234" customFormat="false" ht="26.25" hidden="false" customHeight="true" outlineLevel="0" collapsed="false">
      <c r="A234" s="65"/>
      <c r="V234" s="64"/>
    </row>
    <row r="235" customFormat="false" ht="26.25" hidden="false" customHeight="true" outlineLevel="0" collapsed="false">
      <c r="A235" s="65"/>
      <c r="V235" s="64"/>
    </row>
    <row r="236" customFormat="false" ht="26.25" hidden="false" customHeight="true" outlineLevel="0" collapsed="false">
      <c r="A236" s="65"/>
      <c r="V236" s="64"/>
    </row>
    <row r="237" customFormat="false" ht="26.25" hidden="false" customHeight="true" outlineLevel="0" collapsed="false">
      <c r="A237" s="65"/>
      <c r="V237" s="64"/>
    </row>
    <row r="238" customFormat="false" ht="26.25" hidden="false" customHeight="true" outlineLevel="0" collapsed="false">
      <c r="A238" s="65"/>
      <c r="V238" s="64"/>
    </row>
    <row r="239" customFormat="false" ht="26.25" hidden="false" customHeight="true" outlineLevel="0" collapsed="false">
      <c r="A239" s="65"/>
      <c r="V239" s="64"/>
    </row>
    <row r="240" customFormat="false" ht="26.25" hidden="false" customHeight="true" outlineLevel="0" collapsed="false">
      <c r="A240" s="65"/>
      <c r="V240" s="64"/>
    </row>
    <row r="241" customFormat="false" ht="26.25" hidden="false" customHeight="true" outlineLevel="0" collapsed="false">
      <c r="A241" s="65"/>
      <c r="V241" s="64"/>
    </row>
    <row r="242" customFormat="false" ht="26.25" hidden="false" customHeight="true" outlineLevel="0" collapsed="false">
      <c r="A242" s="65"/>
      <c r="V242" s="64"/>
    </row>
    <row r="243" customFormat="false" ht="26.25" hidden="false" customHeight="true" outlineLevel="0" collapsed="false">
      <c r="A243" s="65"/>
      <c r="V243" s="64"/>
    </row>
    <row r="244" customFormat="false" ht="26.25" hidden="false" customHeight="true" outlineLevel="0" collapsed="false">
      <c r="A244" s="65"/>
      <c r="V244" s="64"/>
    </row>
    <row r="245" customFormat="false" ht="26.25" hidden="false" customHeight="true" outlineLevel="0" collapsed="false">
      <c r="A245" s="65"/>
      <c r="V245" s="64"/>
    </row>
    <row r="246" customFormat="false" ht="26.25" hidden="false" customHeight="true" outlineLevel="0" collapsed="false">
      <c r="A246" s="65"/>
      <c r="V246" s="64"/>
    </row>
    <row r="247" customFormat="false" ht="26.25" hidden="false" customHeight="true" outlineLevel="0" collapsed="false">
      <c r="A247" s="65"/>
      <c r="V247" s="64"/>
    </row>
    <row r="248" customFormat="false" ht="26.25" hidden="false" customHeight="true" outlineLevel="0" collapsed="false">
      <c r="A248" s="65"/>
      <c r="V248" s="64"/>
    </row>
    <row r="249" customFormat="false" ht="26.25" hidden="false" customHeight="true" outlineLevel="0" collapsed="false">
      <c r="A249" s="65"/>
      <c r="V249" s="64"/>
    </row>
    <row r="250" customFormat="false" ht="26.25" hidden="false" customHeight="true" outlineLevel="0" collapsed="false">
      <c r="A250" s="65"/>
      <c r="V250" s="64"/>
    </row>
    <row r="251" customFormat="false" ht="26.25" hidden="false" customHeight="true" outlineLevel="0" collapsed="false">
      <c r="A251" s="65"/>
      <c r="V251" s="64"/>
    </row>
    <row r="252" customFormat="false" ht="26.25" hidden="false" customHeight="true" outlineLevel="0" collapsed="false">
      <c r="A252" s="65"/>
      <c r="V252" s="64"/>
    </row>
    <row r="253" customFormat="false" ht="26.25" hidden="false" customHeight="true" outlineLevel="0" collapsed="false">
      <c r="A253" s="65"/>
      <c r="V253" s="64"/>
    </row>
    <row r="254" customFormat="false" ht="26.25" hidden="false" customHeight="true" outlineLevel="0" collapsed="false">
      <c r="A254" s="65"/>
      <c r="V254" s="64"/>
    </row>
    <row r="255" customFormat="false" ht="26.25" hidden="false" customHeight="true" outlineLevel="0" collapsed="false">
      <c r="A255" s="65"/>
      <c r="V255" s="64"/>
    </row>
    <row r="256" customFormat="false" ht="26.25" hidden="false" customHeight="true" outlineLevel="0" collapsed="false">
      <c r="A256" s="65"/>
      <c r="V256" s="64"/>
    </row>
    <row r="257" customFormat="false" ht="26.25" hidden="false" customHeight="true" outlineLevel="0" collapsed="false">
      <c r="A257" s="65"/>
      <c r="V257" s="64"/>
    </row>
    <row r="258" customFormat="false" ht="26.25" hidden="false" customHeight="true" outlineLevel="0" collapsed="false">
      <c r="A258" s="65"/>
      <c r="V258" s="64"/>
    </row>
    <row r="259" customFormat="false" ht="26.25" hidden="false" customHeight="true" outlineLevel="0" collapsed="false">
      <c r="A259" s="65"/>
      <c r="V259" s="64"/>
    </row>
    <row r="260" customFormat="false" ht="26.25" hidden="false" customHeight="true" outlineLevel="0" collapsed="false">
      <c r="A260" s="65"/>
      <c r="V260" s="64"/>
    </row>
    <row r="261" customFormat="false" ht="26.25" hidden="false" customHeight="true" outlineLevel="0" collapsed="false">
      <c r="A261" s="65"/>
      <c r="V261" s="64"/>
    </row>
    <row r="262" customFormat="false" ht="26.25" hidden="false" customHeight="true" outlineLevel="0" collapsed="false">
      <c r="A262" s="65"/>
      <c r="V262" s="64"/>
    </row>
    <row r="263" customFormat="false" ht="26.25" hidden="false" customHeight="true" outlineLevel="0" collapsed="false">
      <c r="A263" s="65"/>
      <c r="V263" s="64"/>
    </row>
    <row r="264" customFormat="false" ht="26.25" hidden="false" customHeight="true" outlineLevel="0" collapsed="false">
      <c r="A264" s="65"/>
      <c r="V264" s="64"/>
    </row>
    <row r="265" customFormat="false" ht="26.25" hidden="false" customHeight="true" outlineLevel="0" collapsed="false">
      <c r="A265" s="65"/>
      <c r="V265" s="64"/>
    </row>
    <row r="266" customFormat="false" ht="26.25" hidden="false" customHeight="true" outlineLevel="0" collapsed="false">
      <c r="A266" s="65"/>
      <c r="V266" s="64"/>
    </row>
    <row r="267" customFormat="false" ht="26.25" hidden="false" customHeight="true" outlineLevel="0" collapsed="false">
      <c r="A267" s="65"/>
      <c r="V267" s="64"/>
    </row>
    <row r="268" customFormat="false" ht="26.25" hidden="false" customHeight="true" outlineLevel="0" collapsed="false">
      <c r="A268" s="65"/>
      <c r="V268" s="64"/>
    </row>
    <row r="269" customFormat="false" ht="26.25" hidden="false" customHeight="true" outlineLevel="0" collapsed="false">
      <c r="A269" s="65"/>
      <c r="V269" s="64"/>
    </row>
    <row r="270" customFormat="false" ht="26.25" hidden="false" customHeight="true" outlineLevel="0" collapsed="false">
      <c r="A270" s="65"/>
      <c r="V270" s="64"/>
    </row>
    <row r="271" customFormat="false" ht="26.25" hidden="false" customHeight="true" outlineLevel="0" collapsed="false">
      <c r="A271" s="65"/>
      <c r="V271" s="64"/>
    </row>
    <row r="272" customFormat="false" ht="26.25" hidden="false" customHeight="true" outlineLevel="0" collapsed="false">
      <c r="A272" s="65"/>
      <c r="V272" s="64"/>
    </row>
    <row r="273" customFormat="false" ht="26.25" hidden="false" customHeight="true" outlineLevel="0" collapsed="false">
      <c r="A273" s="65"/>
      <c r="V273" s="64"/>
    </row>
    <row r="274" customFormat="false" ht="26.25" hidden="false" customHeight="true" outlineLevel="0" collapsed="false">
      <c r="A274" s="65"/>
      <c r="V274" s="64"/>
    </row>
    <row r="275" customFormat="false" ht="26.25" hidden="false" customHeight="true" outlineLevel="0" collapsed="false">
      <c r="A275" s="65"/>
      <c r="V275" s="64"/>
    </row>
    <row r="276" customFormat="false" ht="26.25" hidden="false" customHeight="true" outlineLevel="0" collapsed="false">
      <c r="A276" s="65"/>
      <c r="V276" s="64"/>
    </row>
    <row r="277" customFormat="false" ht="26.25" hidden="false" customHeight="true" outlineLevel="0" collapsed="false">
      <c r="A277" s="65"/>
      <c r="V277" s="64"/>
    </row>
    <row r="278" customFormat="false" ht="26.25" hidden="false" customHeight="true" outlineLevel="0" collapsed="false">
      <c r="A278" s="65"/>
      <c r="V278" s="64"/>
    </row>
    <row r="279" customFormat="false" ht="26.25" hidden="false" customHeight="true" outlineLevel="0" collapsed="false">
      <c r="A279" s="65"/>
      <c r="V279" s="64"/>
    </row>
    <row r="280" customFormat="false" ht="26.25" hidden="false" customHeight="true" outlineLevel="0" collapsed="false">
      <c r="A280" s="65"/>
      <c r="V280" s="64"/>
    </row>
    <row r="281" customFormat="false" ht="26.25" hidden="false" customHeight="true" outlineLevel="0" collapsed="false">
      <c r="A281" s="65"/>
      <c r="V281" s="64"/>
    </row>
    <row r="282" customFormat="false" ht="26.25" hidden="false" customHeight="true" outlineLevel="0" collapsed="false">
      <c r="A282" s="65"/>
      <c r="V282" s="64"/>
    </row>
    <row r="283" customFormat="false" ht="26.25" hidden="false" customHeight="true" outlineLevel="0" collapsed="false">
      <c r="A283" s="65"/>
      <c r="V283" s="64"/>
    </row>
    <row r="284" customFormat="false" ht="26.25" hidden="false" customHeight="true" outlineLevel="0" collapsed="false">
      <c r="A284" s="65"/>
      <c r="V284" s="64"/>
    </row>
    <row r="285" customFormat="false" ht="26.25" hidden="false" customHeight="true" outlineLevel="0" collapsed="false">
      <c r="A285" s="65"/>
      <c r="V285" s="64"/>
    </row>
    <row r="286" customFormat="false" ht="26.25" hidden="false" customHeight="true" outlineLevel="0" collapsed="false">
      <c r="A286" s="65"/>
      <c r="V286" s="64"/>
    </row>
    <row r="287" customFormat="false" ht="26.25" hidden="false" customHeight="true" outlineLevel="0" collapsed="false">
      <c r="A287" s="65"/>
      <c r="V287" s="64"/>
    </row>
    <row r="288" customFormat="false" ht="26.25" hidden="false" customHeight="true" outlineLevel="0" collapsed="false">
      <c r="A288" s="65"/>
      <c r="V288" s="64"/>
    </row>
    <row r="289" customFormat="false" ht="26.25" hidden="false" customHeight="true" outlineLevel="0" collapsed="false">
      <c r="A289" s="65"/>
      <c r="V289" s="64"/>
    </row>
    <row r="290" customFormat="false" ht="26.25" hidden="false" customHeight="true" outlineLevel="0" collapsed="false">
      <c r="A290" s="65"/>
      <c r="V290" s="64"/>
    </row>
    <row r="291" customFormat="false" ht="26.25" hidden="false" customHeight="true" outlineLevel="0" collapsed="false">
      <c r="A291" s="65"/>
      <c r="V291" s="64"/>
    </row>
    <row r="292" customFormat="false" ht="26.25" hidden="false" customHeight="true" outlineLevel="0" collapsed="false">
      <c r="A292" s="65"/>
      <c r="V292" s="64"/>
    </row>
    <row r="293" customFormat="false" ht="26.25" hidden="false" customHeight="true" outlineLevel="0" collapsed="false">
      <c r="A293" s="65"/>
      <c r="V293" s="64"/>
    </row>
    <row r="294" customFormat="false" ht="26.25" hidden="false" customHeight="true" outlineLevel="0" collapsed="false">
      <c r="A294" s="65"/>
      <c r="V294" s="64"/>
    </row>
    <row r="295" customFormat="false" ht="26.25" hidden="false" customHeight="true" outlineLevel="0" collapsed="false">
      <c r="A295" s="65"/>
      <c r="V295" s="64"/>
    </row>
    <row r="296" customFormat="false" ht="26.25" hidden="false" customHeight="true" outlineLevel="0" collapsed="false">
      <c r="A296" s="65"/>
      <c r="V296" s="64"/>
    </row>
    <row r="297" customFormat="false" ht="26.25" hidden="false" customHeight="true" outlineLevel="0" collapsed="false">
      <c r="A297" s="65"/>
      <c r="V297" s="64"/>
    </row>
    <row r="298" customFormat="false" ht="26.25" hidden="false" customHeight="true" outlineLevel="0" collapsed="false">
      <c r="A298" s="65"/>
      <c r="V298" s="64"/>
    </row>
    <row r="299" customFormat="false" ht="26.25" hidden="false" customHeight="true" outlineLevel="0" collapsed="false">
      <c r="A299" s="65"/>
      <c r="V299" s="64"/>
    </row>
    <row r="300" customFormat="false" ht="26.25" hidden="false" customHeight="true" outlineLevel="0" collapsed="false">
      <c r="A300" s="65"/>
      <c r="V300" s="64"/>
    </row>
    <row r="301" customFormat="false" ht="26.25" hidden="false" customHeight="true" outlineLevel="0" collapsed="false">
      <c r="A301" s="65"/>
      <c r="V301" s="64"/>
    </row>
    <row r="302" customFormat="false" ht="26.25" hidden="false" customHeight="true" outlineLevel="0" collapsed="false">
      <c r="A302" s="65"/>
      <c r="V302" s="64"/>
    </row>
    <row r="303" customFormat="false" ht="26.25" hidden="false" customHeight="true" outlineLevel="0" collapsed="false">
      <c r="A303" s="65"/>
      <c r="V303" s="64"/>
    </row>
    <row r="304" customFormat="false" ht="26.25" hidden="false" customHeight="true" outlineLevel="0" collapsed="false">
      <c r="A304" s="65"/>
      <c r="V304" s="64"/>
    </row>
    <row r="305" customFormat="false" ht="26.25" hidden="false" customHeight="true" outlineLevel="0" collapsed="false">
      <c r="A305" s="65"/>
      <c r="V305" s="64"/>
    </row>
    <row r="306" customFormat="false" ht="26.25" hidden="false" customHeight="true" outlineLevel="0" collapsed="false">
      <c r="A306" s="65"/>
      <c r="V306" s="64"/>
    </row>
    <row r="307" customFormat="false" ht="26.25" hidden="false" customHeight="true" outlineLevel="0" collapsed="false">
      <c r="A307" s="65"/>
      <c r="V307" s="64"/>
    </row>
    <row r="308" customFormat="false" ht="26.25" hidden="false" customHeight="true" outlineLevel="0" collapsed="false">
      <c r="A308" s="65"/>
      <c r="V308" s="64"/>
    </row>
    <row r="309" customFormat="false" ht="26.25" hidden="false" customHeight="true" outlineLevel="0" collapsed="false">
      <c r="A309" s="65"/>
      <c r="V309" s="64"/>
    </row>
    <row r="310" customFormat="false" ht="26.25" hidden="false" customHeight="true" outlineLevel="0" collapsed="false">
      <c r="A310" s="65"/>
      <c r="V310" s="64"/>
    </row>
    <row r="311" customFormat="false" ht="26.25" hidden="false" customHeight="true" outlineLevel="0" collapsed="false">
      <c r="A311" s="65"/>
      <c r="V311" s="64"/>
    </row>
    <row r="312" customFormat="false" ht="26.25" hidden="false" customHeight="true" outlineLevel="0" collapsed="false">
      <c r="A312" s="65"/>
      <c r="V312" s="64"/>
    </row>
    <row r="313" customFormat="false" ht="26.25" hidden="false" customHeight="true" outlineLevel="0" collapsed="false">
      <c r="A313" s="65"/>
      <c r="V313" s="64"/>
    </row>
    <row r="314" customFormat="false" ht="26.25" hidden="false" customHeight="true" outlineLevel="0" collapsed="false">
      <c r="A314" s="65"/>
      <c r="V314" s="64"/>
    </row>
    <row r="315" customFormat="false" ht="26.25" hidden="false" customHeight="true" outlineLevel="0" collapsed="false">
      <c r="A315" s="65"/>
      <c r="V315" s="64"/>
    </row>
    <row r="316" customFormat="false" ht="26.25" hidden="false" customHeight="true" outlineLevel="0" collapsed="false">
      <c r="A316" s="65"/>
      <c r="V316" s="64"/>
    </row>
    <row r="317" customFormat="false" ht="26.25" hidden="false" customHeight="true" outlineLevel="0" collapsed="false">
      <c r="A317" s="65"/>
      <c r="V317" s="64"/>
    </row>
    <row r="318" customFormat="false" ht="26.25" hidden="false" customHeight="true" outlineLevel="0" collapsed="false">
      <c r="A318" s="65"/>
      <c r="V318" s="64"/>
    </row>
    <row r="319" customFormat="false" ht="26.25" hidden="false" customHeight="true" outlineLevel="0" collapsed="false">
      <c r="A319" s="65"/>
      <c r="V319" s="64"/>
    </row>
    <row r="320" customFormat="false" ht="26.25" hidden="false" customHeight="true" outlineLevel="0" collapsed="false">
      <c r="A320" s="65"/>
      <c r="V320" s="64"/>
    </row>
    <row r="321" customFormat="false" ht="26.25" hidden="false" customHeight="true" outlineLevel="0" collapsed="false">
      <c r="A321" s="65"/>
      <c r="V321" s="64"/>
    </row>
    <row r="322" customFormat="false" ht="26.25" hidden="false" customHeight="true" outlineLevel="0" collapsed="false">
      <c r="A322" s="65"/>
      <c r="V322" s="64"/>
    </row>
    <row r="323" customFormat="false" ht="26.25" hidden="false" customHeight="true" outlineLevel="0" collapsed="false">
      <c r="A323" s="65"/>
      <c r="V323" s="64"/>
    </row>
    <row r="324" customFormat="false" ht="26.25" hidden="false" customHeight="true" outlineLevel="0" collapsed="false">
      <c r="A324" s="65"/>
      <c r="V324" s="64"/>
    </row>
    <row r="325" customFormat="false" ht="26.25" hidden="false" customHeight="true" outlineLevel="0" collapsed="false">
      <c r="A325" s="65"/>
      <c r="V325" s="64"/>
    </row>
    <row r="326" customFormat="false" ht="26.25" hidden="false" customHeight="true" outlineLevel="0" collapsed="false">
      <c r="A326" s="65"/>
      <c r="V326" s="64"/>
    </row>
    <row r="327" customFormat="false" ht="26.25" hidden="false" customHeight="true" outlineLevel="0" collapsed="false">
      <c r="A327" s="65"/>
      <c r="V327" s="64"/>
    </row>
    <row r="328" customFormat="false" ht="26.25" hidden="false" customHeight="true" outlineLevel="0" collapsed="false">
      <c r="A328" s="65"/>
      <c r="V328" s="64"/>
    </row>
    <row r="329" customFormat="false" ht="26.25" hidden="false" customHeight="true" outlineLevel="0" collapsed="false">
      <c r="A329" s="65"/>
      <c r="V329" s="64"/>
    </row>
    <row r="330" customFormat="false" ht="26.25" hidden="false" customHeight="true" outlineLevel="0" collapsed="false">
      <c r="A330" s="65"/>
      <c r="V330" s="64"/>
    </row>
    <row r="331" customFormat="false" ht="26.25" hidden="false" customHeight="true" outlineLevel="0" collapsed="false">
      <c r="A331" s="65"/>
      <c r="V331" s="64"/>
    </row>
    <row r="332" customFormat="false" ht="26.25" hidden="false" customHeight="true" outlineLevel="0" collapsed="false">
      <c r="A332" s="65"/>
      <c r="V332" s="64"/>
    </row>
    <row r="333" customFormat="false" ht="26.25" hidden="false" customHeight="true" outlineLevel="0" collapsed="false">
      <c r="A333" s="65"/>
      <c r="V333" s="64"/>
    </row>
    <row r="334" customFormat="false" ht="26.25" hidden="false" customHeight="true" outlineLevel="0" collapsed="false">
      <c r="A334" s="65"/>
      <c r="V334" s="64"/>
    </row>
    <row r="335" customFormat="false" ht="26.25" hidden="false" customHeight="true" outlineLevel="0" collapsed="false">
      <c r="A335" s="65"/>
      <c r="V335" s="64"/>
    </row>
    <row r="336" customFormat="false" ht="26.25" hidden="false" customHeight="true" outlineLevel="0" collapsed="false">
      <c r="A336" s="65"/>
      <c r="V336" s="64"/>
    </row>
    <row r="337" customFormat="false" ht="26.25" hidden="false" customHeight="true" outlineLevel="0" collapsed="false">
      <c r="A337" s="65"/>
      <c r="V337" s="64"/>
    </row>
    <row r="338" customFormat="false" ht="26.25" hidden="false" customHeight="true" outlineLevel="0" collapsed="false">
      <c r="A338" s="65"/>
      <c r="V338" s="64"/>
    </row>
    <row r="339" customFormat="false" ht="26.25" hidden="false" customHeight="true" outlineLevel="0" collapsed="false">
      <c r="A339" s="65"/>
      <c r="V339" s="64"/>
    </row>
    <row r="340" customFormat="false" ht="26.25" hidden="false" customHeight="true" outlineLevel="0" collapsed="false">
      <c r="A340" s="65"/>
      <c r="V340" s="64"/>
    </row>
    <row r="341" customFormat="false" ht="26.25" hidden="false" customHeight="true" outlineLevel="0" collapsed="false">
      <c r="A341" s="65"/>
      <c r="V341" s="64"/>
    </row>
    <row r="342" customFormat="false" ht="26.25" hidden="false" customHeight="true" outlineLevel="0" collapsed="false">
      <c r="A342" s="65"/>
      <c r="V342" s="64"/>
    </row>
    <row r="343" customFormat="false" ht="26.25" hidden="false" customHeight="true" outlineLevel="0" collapsed="false">
      <c r="A343" s="65"/>
      <c r="V343" s="64"/>
    </row>
    <row r="344" customFormat="false" ht="26.25" hidden="false" customHeight="true" outlineLevel="0" collapsed="false">
      <c r="A344" s="65"/>
      <c r="V344" s="64"/>
    </row>
    <row r="345" customFormat="false" ht="26.25" hidden="false" customHeight="true" outlineLevel="0" collapsed="false">
      <c r="A345" s="65"/>
      <c r="V345" s="64"/>
    </row>
    <row r="346" customFormat="false" ht="26.25" hidden="false" customHeight="true" outlineLevel="0" collapsed="false">
      <c r="A346" s="65"/>
      <c r="V346" s="64"/>
    </row>
    <row r="347" customFormat="false" ht="26.25" hidden="false" customHeight="true" outlineLevel="0" collapsed="false">
      <c r="A347" s="65"/>
      <c r="V347" s="64"/>
    </row>
    <row r="348" customFormat="false" ht="26.25" hidden="false" customHeight="true" outlineLevel="0" collapsed="false">
      <c r="A348" s="65"/>
      <c r="V348" s="64"/>
    </row>
    <row r="349" customFormat="false" ht="26.25" hidden="false" customHeight="true" outlineLevel="0" collapsed="false">
      <c r="A349" s="65"/>
      <c r="V349" s="64"/>
    </row>
    <row r="350" customFormat="false" ht="26.25" hidden="false" customHeight="true" outlineLevel="0" collapsed="false">
      <c r="A350" s="65"/>
      <c r="V350" s="64"/>
    </row>
    <row r="351" customFormat="false" ht="26.25" hidden="false" customHeight="true" outlineLevel="0" collapsed="false">
      <c r="A351" s="65"/>
      <c r="V351" s="64"/>
    </row>
    <row r="352" customFormat="false" ht="26.25" hidden="false" customHeight="true" outlineLevel="0" collapsed="false">
      <c r="A352" s="65"/>
      <c r="V352" s="64"/>
    </row>
    <row r="353" customFormat="false" ht="26.25" hidden="false" customHeight="true" outlineLevel="0" collapsed="false">
      <c r="A353" s="65"/>
      <c r="V353" s="64"/>
    </row>
    <row r="354" customFormat="false" ht="26.25" hidden="false" customHeight="true" outlineLevel="0" collapsed="false">
      <c r="A354" s="65"/>
      <c r="V354" s="64"/>
    </row>
    <row r="355" customFormat="false" ht="26.25" hidden="false" customHeight="true" outlineLevel="0" collapsed="false">
      <c r="A355" s="65"/>
      <c r="V355" s="64"/>
    </row>
    <row r="356" customFormat="false" ht="26.25" hidden="false" customHeight="true" outlineLevel="0" collapsed="false">
      <c r="A356" s="65"/>
      <c r="V356" s="64"/>
    </row>
    <row r="357" customFormat="false" ht="26.25" hidden="false" customHeight="true" outlineLevel="0" collapsed="false">
      <c r="A357" s="65"/>
      <c r="V357" s="64"/>
    </row>
    <row r="358" customFormat="false" ht="26.25" hidden="false" customHeight="true" outlineLevel="0" collapsed="false">
      <c r="A358" s="65"/>
      <c r="V358" s="64"/>
    </row>
    <row r="359" customFormat="false" ht="26.25" hidden="false" customHeight="true" outlineLevel="0" collapsed="false">
      <c r="A359" s="65"/>
      <c r="V359" s="64"/>
    </row>
    <row r="360" customFormat="false" ht="26.25" hidden="false" customHeight="true" outlineLevel="0" collapsed="false">
      <c r="A360" s="65"/>
      <c r="V360" s="64"/>
    </row>
    <row r="361" customFormat="false" ht="26.25" hidden="false" customHeight="true" outlineLevel="0" collapsed="false">
      <c r="A361" s="65"/>
      <c r="V361" s="64"/>
    </row>
    <row r="362" customFormat="false" ht="26.25" hidden="false" customHeight="true" outlineLevel="0" collapsed="false">
      <c r="A362" s="65"/>
      <c r="V362" s="64"/>
    </row>
    <row r="363" customFormat="false" ht="26.25" hidden="false" customHeight="true" outlineLevel="0" collapsed="false">
      <c r="A363" s="65"/>
      <c r="V363" s="64"/>
    </row>
    <row r="364" customFormat="false" ht="26.25" hidden="false" customHeight="true" outlineLevel="0" collapsed="false">
      <c r="A364" s="65"/>
      <c r="V364" s="64"/>
    </row>
    <row r="365" customFormat="false" ht="26.25" hidden="false" customHeight="true" outlineLevel="0" collapsed="false">
      <c r="A365" s="65"/>
      <c r="V365" s="64"/>
    </row>
    <row r="366" customFormat="false" ht="26.25" hidden="false" customHeight="true" outlineLevel="0" collapsed="false">
      <c r="A366" s="65"/>
      <c r="V366" s="64"/>
    </row>
    <row r="367" customFormat="false" ht="26.25" hidden="false" customHeight="true" outlineLevel="0" collapsed="false">
      <c r="A367" s="65"/>
      <c r="V367" s="64"/>
    </row>
    <row r="368" customFormat="false" ht="26.25" hidden="false" customHeight="true" outlineLevel="0" collapsed="false">
      <c r="A368" s="65"/>
      <c r="V368" s="64"/>
    </row>
    <row r="369" customFormat="false" ht="26.25" hidden="false" customHeight="true" outlineLevel="0" collapsed="false">
      <c r="A369" s="65"/>
      <c r="V369" s="64"/>
    </row>
    <row r="370" customFormat="false" ht="26.25" hidden="false" customHeight="true" outlineLevel="0" collapsed="false">
      <c r="A370" s="65"/>
      <c r="V370" s="64"/>
    </row>
    <row r="371" customFormat="false" ht="26.25" hidden="false" customHeight="true" outlineLevel="0" collapsed="false">
      <c r="A371" s="65"/>
      <c r="V371" s="64"/>
    </row>
    <row r="372" customFormat="false" ht="26.25" hidden="false" customHeight="true" outlineLevel="0" collapsed="false">
      <c r="A372" s="65"/>
      <c r="V372" s="64"/>
    </row>
    <row r="373" customFormat="false" ht="26.25" hidden="false" customHeight="true" outlineLevel="0" collapsed="false">
      <c r="A373" s="65"/>
      <c r="V373" s="64"/>
    </row>
    <row r="374" customFormat="false" ht="26.25" hidden="false" customHeight="true" outlineLevel="0" collapsed="false">
      <c r="A374" s="65"/>
      <c r="V374" s="64"/>
    </row>
    <row r="375" customFormat="false" ht="26.25" hidden="false" customHeight="true" outlineLevel="0" collapsed="false">
      <c r="A375" s="65"/>
      <c r="V375" s="64"/>
    </row>
    <row r="376" customFormat="false" ht="26.25" hidden="false" customHeight="true" outlineLevel="0" collapsed="false">
      <c r="A376" s="65"/>
      <c r="V376" s="64"/>
    </row>
    <row r="377" customFormat="false" ht="26.25" hidden="false" customHeight="true" outlineLevel="0" collapsed="false">
      <c r="A377" s="65"/>
      <c r="V377" s="64"/>
    </row>
    <row r="378" customFormat="false" ht="26.25" hidden="false" customHeight="true" outlineLevel="0" collapsed="false">
      <c r="A378" s="65"/>
      <c r="V378" s="64"/>
    </row>
    <row r="379" customFormat="false" ht="26.25" hidden="false" customHeight="true" outlineLevel="0" collapsed="false">
      <c r="A379" s="65"/>
      <c r="V379" s="64"/>
    </row>
    <row r="380" customFormat="false" ht="26.25" hidden="false" customHeight="true" outlineLevel="0" collapsed="false">
      <c r="A380" s="65"/>
      <c r="V380" s="64"/>
    </row>
    <row r="381" customFormat="false" ht="26.25" hidden="false" customHeight="true" outlineLevel="0" collapsed="false">
      <c r="A381" s="65"/>
      <c r="V381" s="64"/>
    </row>
    <row r="382" customFormat="false" ht="26.25" hidden="false" customHeight="true" outlineLevel="0" collapsed="false">
      <c r="A382" s="65"/>
      <c r="V382" s="64"/>
    </row>
    <row r="383" customFormat="false" ht="26.25" hidden="false" customHeight="true" outlineLevel="0" collapsed="false">
      <c r="A383" s="65"/>
      <c r="V383" s="64"/>
    </row>
    <row r="384" customFormat="false" ht="26.25" hidden="false" customHeight="true" outlineLevel="0" collapsed="false">
      <c r="A384" s="65"/>
      <c r="V384" s="64"/>
    </row>
    <row r="385" customFormat="false" ht="26.25" hidden="false" customHeight="true" outlineLevel="0" collapsed="false">
      <c r="A385" s="65"/>
      <c r="V385" s="64"/>
    </row>
    <row r="386" customFormat="false" ht="26.25" hidden="false" customHeight="true" outlineLevel="0" collapsed="false">
      <c r="A386" s="65"/>
      <c r="V386" s="64"/>
    </row>
    <row r="387" customFormat="false" ht="26.25" hidden="false" customHeight="true" outlineLevel="0" collapsed="false">
      <c r="A387" s="65"/>
      <c r="V387" s="64"/>
    </row>
    <row r="388" customFormat="false" ht="26.25" hidden="false" customHeight="true" outlineLevel="0" collapsed="false">
      <c r="A388" s="65"/>
      <c r="V388" s="64"/>
    </row>
    <row r="389" customFormat="false" ht="26.25" hidden="false" customHeight="true" outlineLevel="0" collapsed="false">
      <c r="A389" s="65"/>
      <c r="V389" s="64"/>
    </row>
    <row r="390" customFormat="false" ht="26.25" hidden="false" customHeight="true" outlineLevel="0" collapsed="false">
      <c r="A390" s="65"/>
      <c r="V390" s="64"/>
    </row>
    <row r="391" customFormat="false" ht="26.25" hidden="false" customHeight="true" outlineLevel="0" collapsed="false">
      <c r="A391" s="65"/>
      <c r="V391" s="64"/>
    </row>
    <row r="392" customFormat="false" ht="26.25" hidden="false" customHeight="true" outlineLevel="0" collapsed="false">
      <c r="A392" s="65"/>
      <c r="V392" s="64"/>
    </row>
    <row r="393" customFormat="false" ht="26.25" hidden="false" customHeight="true" outlineLevel="0" collapsed="false">
      <c r="A393" s="65"/>
      <c r="V393" s="64"/>
    </row>
    <row r="394" customFormat="false" ht="26.25" hidden="false" customHeight="true" outlineLevel="0" collapsed="false">
      <c r="A394" s="65"/>
      <c r="V394" s="64"/>
    </row>
    <row r="395" customFormat="false" ht="26.25" hidden="false" customHeight="true" outlineLevel="0" collapsed="false">
      <c r="A395" s="65"/>
      <c r="V395" s="64"/>
    </row>
    <row r="396" customFormat="false" ht="26.25" hidden="false" customHeight="true" outlineLevel="0" collapsed="false">
      <c r="A396" s="65"/>
      <c r="V396" s="64"/>
    </row>
    <row r="397" customFormat="false" ht="26.25" hidden="false" customHeight="true" outlineLevel="0" collapsed="false">
      <c r="A397" s="65"/>
      <c r="V397" s="64"/>
    </row>
    <row r="398" customFormat="false" ht="26.25" hidden="false" customHeight="true" outlineLevel="0" collapsed="false">
      <c r="A398" s="65"/>
      <c r="V398" s="64"/>
    </row>
    <row r="399" customFormat="false" ht="26.25" hidden="false" customHeight="true" outlineLevel="0" collapsed="false">
      <c r="A399" s="65"/>
      <c r="V399" s="64"/>
    </row>
    <row r="400" customFormat="false" ht="26.25" hidden="false" customHeight="true" outlineLevel="0" collapsed="false">
      <c r="A400" s="65"/>
      <c r="V400" s="64"/>
    </row>
    <row r="401" customFormat="false" ht="26.25" hidden="false" customHeight="true" outlineLevel="0" collapsed="false">
      <c r="A401" s="65"/>
      <c r="V401" s="64"/>
    </row>
    <row r="402" customFormat="false" ht="26.25" hidden="false" customHeight="true" outlineLevel="0" collapsed="false">
      <c r="A402" s="65"/>
      <c r="V402" s="64"/>
    </row>
    <row r="403" customFormat="false" ht="26.25" hidden="false" customHeight="true" outlineLevel="0" collapsed="false">
      <c r="A403" s="65"/>
      <c r="V403" s="64"/>
    </row>
    <row r="404" customFormat="false" ht="26.25" hidden="false" customHeight="true" outlineLevel="0" collapsed="false">
      <c r="A404" s="65"/>
      <c r="V404" s="64"/>
    </row>
    <row r="405" customFormat="false" ht="26.25" hidden="false" customHeight="true" outlineLevel="0" collapsed="false">
      <c r="A405" s="65"/>
      <c r="V405" s="64"/>
    </row>
    <row r="406" customFormat="false" ht="26.25" hidden="false" customHeight="true" outlineLevel="0" collapsed="false">
      <c r="A406" s="65"/>
      <c r="V406" s="64"/>
    </row>
    <row r="407" customFormat="false" ht="26.25" hidden="false" customHeight="true" outlineLevel="0" collapsed="false">
      <c r="A407" s="65"/>
      <c r="V407" s="64"/>
    </row>
    <row r="408" customFormat="false" ht="26.25" hidden="false" customHeight="true" outlineLevel="0" collapsed="false">
      <c r="A408" s="65"/>
      <c r="V408" s="64"/>
    </row>
    <row r="409" customFormat="false" ht="26.25" hidden="false" customHeight="true" outlineLevel="0" collapsed="false">
      <c r="A409" s="65"/>
      <c r="V409" s="64"/>
    </row>
    <row r="410" customFormat="false" ht="26.25" hidden="false" customHeight="true" outlineLevel="0" collapsed="false">
      <c r="A410" s="65"/>
      <c r="V410" s="64"/>
    </row>
    <row r="411" customFormat="false" ht="26.25" hidden="false" customHeight="true" outlineLevel="0" collapsed="false">
      <c r="A411" s="65"/>
      <c r="V411" s="64"/>
    </row>
    <row r="412" customFormat="false" ht="26.25" hidden="false" customHeight="true" outlineLevel="0" collapsed="false">
      <c r="A412" s="65"/>
      <c r="V412" s="64"/>
    </row>
    <row r="413" customFormat="false" ht="26.25" hidden="false" customHeight="true" outlineLevel="0" collapsed="false">
      <c r="A413" s="65"/>
      <c r="V413" s="64"/>
    </row>
    <row r="414" customFormat="false" ht="26.25" hidden="false" customHeight="true" outlineLevel="0" collapsed="false">
      <c r="A414" s="65"/>
      <c r="V414" s="64"/>
    </row>
    <row r="415" customFormat="false" ht="26.25" hidden="false" customHeight="true" outlineLevel="0" collapsed="false">
      <c r="A415" s="65"/>
      <c r="V415" s="64"/>
    </row>
    <row r="416" customFormat="false" ht="26.25" hidden="false" customHeight="true" outlineLevel="0" collapsed="false">
      <c r="A416" s="65"/>
      <c r="V416" s="64"/>
    </row>
    <row r="417" customFormat="false" ht="26.25" hidden="false" customHeight="true" outlineLevel="0" collapsed="false">
      <c r="A417" s="65"/>
      <c r="V417" s="64"/>
    </row>
    <row r="418" customFormat="false" ht="26.25" hidden="false" customHeight="true" outlineLevel="0" collapsed="false">
      <c r="A418" s="65"/>
      <c r="V418" s="64"/>
    </row>
    <row r="419" customFormat="false" ht="26.25" hidden="false" customHeight="true" outlineLevel="0" collapsed="false">
      <c r="A419" s="65"/>
      <c r="V419" s="64"/>
    </row>
    <row r="420" customFormat="false" ht="26.25" hidden="false" customHeight="true" outlineLevel="0" collapsed="false">
      <c r="A420" s="65"/>
      <c r="V420" s="64"/>
    </row>
    <row r="421" customFormat="false" ht="26.25" hidden="false" customHeight="true" outlineLevel="0" collapsed="false">
      <c r="A421" s="65"/>
      <c r="V421" s="64"/>
    </row>
    <row r="422" customFormat="false" ht="26.25" hidden="false" customHeight="true" outlineLevel="0" collapsed="false">
      <c r="A422" s="65"/>
      <c r="V422" s="64"/>
    </row>
    <row r="423" customFormat="false" ht="26.25" hidden="false" customHeight="true" outlineLevel="0" collapsed="false">
      <c r="A423" s="65"/>
      <c r="V423" s="64"/>
    </row>
    <row r="424" customFormat="false" ht="26.25" hidden="false" customHeight="true" outlineLevel="0" collapsed="false">
      <c r="A424" s="65"/>
      <c r="V424" s="64"/>
    </row>
    <row r="425" customFormat="false" ht="26.25" hidden="false" customHeight="true" outlineLevel="0" collapsed="false">
      <c r="A425" s="65"/>
      <c r="V425" s="64"/>
    </row>
    <row r="426" customFormat="false" ht="26.25" hidden="false" customHeight="true" outlineLevel="0" collapsed="false">
      <c r="A426" s="65"/>
      <c r="V426" s="64"/>
    </row>
    <row r="427" customFormat="false" ht="26.25" hidden="false" customHeight="true" outlineLevel="0" collapsed="false">
      <c r="A427" s="65"/>
      <c r="V427" s="64"/>
    </row>
    <row r="428" customFormat="false" ht="26.25" hidden="false" customHeight="true" outlineLevel="0" collapsed="false">
      <c r="A428" s="65"/>
      <c r="V428" s="64"/>
    </row>
    <row r="429" customFormat="false" ht="26.25" hidden="false" customHeight="true" outlineLevel="0" collapsed="false">
      <c r="A429" s="65"/>
      <c r="V429" s="64"/>
    </row>
    <row r="430" customFormat="false" ht="26.25" hidden="false" customHeight="true" outlineLevel="0" collapsed="false">
      <c r="A430" s="65"/>
      <c r="V430" s="64"/>
    </row>
    <row r="431" customFormat="false" ht="26.25" hidden="false" customHeight="true" outlineLevel="0" collapsed="false">
      <c r="A431" s="65"/>
      <c r="V431" s="64"/>
    </row>
    <row r="432" customFormat="false" ht="26.25" hidden="false" customHeight="true" outlineLevel="0" collapsed="false">
      <c r="A432" s="65"/>
      <c r="V432" s="64"/>
    </row>
    <row r="433" customFormat="false" ht="26.25" hidden="false" customHeight="true" outlineLevel="0" collapsed="false">
      <c r="A433" s="65"/>
      <c r="V433" s="64"/>
    </row>
    <row r="434" customFormat="false" ht="26.25" hidden="false" customHeight="true" outlineLevel="0" collapsed="false">
      <c r="A434" s="65"/>
      <c r="V434" s="64"/>
    </row>
    <row r="435" customFormat="false" ht="26.25" hidden="false" customHeight="true" outlineLevel="0" collapsed="false">
      <c r="A435" s="65"/>
      <c r="V435" s="64"/>
    </row>
    <row r="436" customFormat="false" ht="26.25" hidden="false" customHeight="true" outlineLevel="0" collapsed="false">
      <c r="A436" s="65"/>
      <c r="V436" s="64"/>
    </row>
    <row r="437" customFormat="false" ht="26.25" hidden="false" customHeight="true" outlineLevel="0" collapsed="false">
      <c r="A437" s="65"/>
      <c r="V437" s="64"/>
    </row>
    <row r="438" customFormat="false" ht="26.25" hidden="false" customHeight="true" outlineLevel="0" collapsed="false">
      <c r="A438" s="65"/>
      <c r="V438" s="64"/>
    </row>
    <row r="439" customFormat="false" ht="26.25" hidden="false" customHeight="true" outlineLevel="0" collapsed="false">
      <c r="A439" s="65"/>
      <c r="V439" s="64"/>
    </row>
    <row r="440" customFormat="false" ht="26.25" hidden="false" customHeight="true" outlineLevel="0" collapsed="false">
      <c r="A440" s="65"/>
      <c r="V440" s="64"/>
    </row>
    <row r="441" customFormat="false" ht="26.25" hidden="false" customHeight="true" outlineLevel="0" collapsed="false">
      <c r="A441" s="65"/>
      <c r="V441" s="64"/>
    </row>
    <row r="442" customFormat="false" ht="26.25" hidden="false" customHeight="true" outlineLevel="0" collapsed="false">
      <c r="A442" s="65"/>
      <c r="V442" s="64"/>
    </row>
    <row r="443" customFormat="false" ht="26.25" hidden="false" customHeight="true" outlineLevel="0" collapsed="false">
      <c r="A443" s="65"/>
      <c r="V443" s="64"/>
    </row>
    <row r="444" customFormat="false" ht="26.25" hidden="false" customHeight="true" outlineLevel="0" collapsed="false">
      <c r="A444" s="65"/>
      <c r="V444" s="64"/>
    </row>
    <row r="445" customFormat="false" ht="26.25" hidden="false" customHeight="true" outlineLevel="0" collapsed="false">
      <c r="A445" s="65"/>
      <c r="V445" s="64"/>
    </row>
    <row r="446" customFormat="false" ht="26.25" hidden="false" customHeight="true" outlineLevel="0" collapsed="false">
      <c r="A446" s="65"/>
      <c r="V446" s="64"/>
    </row>
    <row r="447" customFormat="false" ht="26.25" hidden="false" customHeight="true" outlineLevel="0" collapsed="false">
      <c r="A447" s="65"/>
      <c r="V447" s="64"/>
    </row>
    <row r="448" customFormat="false" ht="26.25" hidden="false" customHeight="true" outlineLevel="0" collapsed="false">
      <c r="A448" s="65"/>
      <c r="V448" s="64"/>
    </row>
    <row r="449" customFormat="false" ht="26.25" hidden="false" customHeight="true" outlineLevel="0" collapsed="false">
      <c r="A449" s="65"/>
      <c r="V449" s="64"/>
    </row>
    <row r="450" customFormat="false" ht="26.25" hidden="false" customHeight="true" outlineLevel="0" collapsed="false">
      <c r="A450" s="65"/>
      <c r="V450" s="64"/>
    </row>
    <row r="451" customFormat="false" ht="26.25" hidden="false" customHeight="true" outlineLevel="0" collapsed="false">
      <c r="A451" s="65"/>
      <c r="V451" s="64"/>
    </row>
    <row r="452" customFormat="false" ht="26.25" hidden="false" customHeight="true" outlineLevel="0" collapsed="false">
      <c r="A452" s="65"/>
      <c r="V452" s="64"/>
    </row>
    <row r="453" customFormat="false" ht="26.25" hidden="false" customHeight="true" outlineLevel="0" collapsed="false">
      <c r="A453" s="65"/>
      <c r="V453" s="64"/>
    </row>
    <row r="454" customFormat="false" ht="26.25" hidden="false" customHeight="true" outlineLevel="0" collapsed="false">
      <c r="A454" s="65"/>
      <c r="V454" s="64"/>
    </row>
    <row r="455" customFormat="false" ht="26.25" hidden="false" customHeight="true" outlineLevel="0" collapsed="false">
      <c r="A455" s="65"/>
      <c r="V455" s="64"/>
    </row>
    <row r="456" customFormat="false" ht="26.25" hidden="false" customHeight="true" outlineLevel="0" collapsed="false">
      <c r="A456" s="65"/>
      <c r="V456" s="64"/>
    </row>
    <row r="457" customFormat="false" ht="26.25" hidden="false" customHeight="true" outlineLevel="0" collapsed="false">
      <c r="A457" s="65"/>
      <c r="V457" s="64"/>
    </row>
    <row r="458" customFormat="false" ht="26.25" hidden="false" customHeight="true" outlineLevel="0" collapsed="false">
      <c r="A458" s="65"/>
      <c r="V458" s="64"/>
    </row>
    <row r="459" customFormat="false" ht="26.25" hidden="false" customHeight="true" outlineLevel="0" collapsed="false">
      <c r="A459" s="65"/>
      <c r="V459" s="64"/>
    </row>
    <row r="460" customFormat="false" ht="26.25" hidden="false" customHeight="true" outlineLevel="0" collapsed="false">
      <c r="A460" s="65"/>
      <c r="V460" s="64"/>
    </row>
    <row r="461" customFormat="false" ht="26.25" hidden="false" customHeight="true" outlineLevel="0" collapsed="false">
      <c r="A461" s="65"/>
      <c r="V461" s="64"/>
    </row>
    <row r="462" customFormat="false" ht="26.25" hidden="false" customHeight="true" outlineLevel="0" collapsed="false">
      <c r="A462" s="65"/>
      <c r="V462" s="64"/>
    </row>
    <row r="463" customFormat="false" ht="26.25" hidden="false" customHeight="true" outlineLevel="0" collapsed="false">
      <c r="A463" s="65"/>
      <c r="V463" s="64"/>
    </row>
    <row r="464" customFormat="false" ht="26.25" hidden="false" customHeight="true" outlineLevel="0" collapsed="false">
      <c r="A464" s="65"/>
      <c r="V464" s="64"/>
    </row>
    <row r="465" customFormat="false" ht="26.25" hidden="false" customHeight="true" outlineLevel="0" collapsed="false">
      <c r="A465" s="65"/>
      <c r="V465" s="64"/>
    </row>
    <row r="466" customFormat="false" ht="26.25" hidden="false" customHeight="true" outlineLevel="0" collapsed="false">
      <c r="A466" s="65"/>
      <c r="V466" s="64"/>
    </row>
    <row r="467" customFormat="false" ht="26.25" hidden="false" customHeight="true" outlineLevel="0" collapsed="false">
      <c r="A467" s="65"/>
      <c r="V467" s="64"/>
    </row>
    <row r="468" customFormat="false" ht="26.25" hidden="false" customHeight="true" outlineLevel="0" collapsed="false">
      <c r="A468" s="65"/>
      <c r="V468" s="64"/>
    </row>
    <row r="469" customFormat="false" ht="26.25" hidden="false" customHeight="true" outlineLevel="0" collapsed="false">
      <c r="A469" s="65"/>
      <c r="V469" s="64"/>
    </row>
    <row r="470" customFormat="false" ht="26.25" hidden="false" customHeight="true" outlineLevel="0" collapsed="false">
      <c r="A470" s="65"/>
      <c r="V470" s="64"/>
    </row>
    <row r="471" customFormat="false" ht="26.25" hidden="false" customHeight="true" outlineLevel="0" collapsed="false">
      <c r="A471" s="65"/>
      <c r="V471" s="64"/>
    </row>
    <row r="472" customFormat="false" ht="26.25" hidden="false" customHeight="true" outlineLevel="0" collapsed="false">
      <c r="A472" s="65"/>
      <c r="V472" s="64"/>
    </row>
    <row r="473" customFormat="false" ht="26.25" hidden="false" customHeight="true" outlineLevel="0" collapsed="false">
      <c r="A473" s="65"/>
      <c r="V473" s="64"/>
    </row>
    <row r="474" customFormat="false" ht="26.25" hidden="false" customHeight="true" outlineLevel="0" collapsed="false">
      <c r="A474" s="65"/>
      <c r="V474" s="64"/>
    </row>
    <row r="475" customFormat="false" ht="26.25" hidden="false" customHeight="true" outlineLevel="0" collapsed="false">
      <c r="A475" s="65"/>
      <c r="V475" s="64"/>
    </row>
    <row r="476" customFormat="false" ht="26.25" hidden="false" customHeight="true" outlineLevel="0" collapsed="false">
      <c r="A476" s="65"/>
      <c r="V476" s="64"/>
    </row>
    <row r="477" customFormat="false" ht="26.25" hidden="false" customHeight="true" outlineLevel="0" collapsed="false">
      <c r="A477" s="65"/>
      <c r="V477" s="64"/>
    </row>
    <row r="478" customFormat="false" ht="26.25" hidden="false" customHeight="true" outlineLevel="0" collapsed="false">
      <c r="A478" s="65"/>
      <c r="V478" s="64"/>
    </row>
    <row r="479" customFormat="false" ht="26.25" hidden="false" customHeight="true" outlineLevel="0" collapsed="false">
      <c r="A479" s="65"/>
      <c r="V479" s="64"/>
    </row>
    <row r="480" customFormat="false" ht="26.25" hidden="false" customHeight="true" outlineLevel="0" collapsed="false">
      <c r="A480" s="65"/>
      <c r="V480" s="64"/>
    </row>
    <row r="481" customFormat="false" ht="26.25" hidden="false" customHeight="true" outlineLevel="0" collapsed="false">
      <c r="A481" s="65"/>
      <c r="V481" s="64"/>
    </row>
    <row r="482" customFormat="false" ht="26.25" hidden="false" customHeight="true" outlineLevel="0" collapsed="false">
      <c r="A482" s="65"/>
      <c r="V482" s="64"/>
    </row>
    <row r="483" customFormat="false" ht="26.25" hidden="false" customHeight="true" outlineLevel="0" collapsed="false">
      <c r="A483" s="65"/>
      <c r="V483" s="64"/>
    </row>
    <row r="484" customFormat="false" ht="26.25" hidden="false" customHeight="true" outlineLevel="0" collapsed="false">
      <c r="A484" s="65"/>
      <c r="V484" s="64"/>
    </row>
    <row r="485" customFormat="false" ht="26.25" hidden="false" customHeight="true" outlineLevel="0" collapsed="false">
      <c r="A485" s="65"/>
      <c r="V485" s="64"/>
    </row>
    <row r="486" customFormat="false" ht="26.25" hidden="false" customHeight="true" outlineLevel="0" collapsed="false">
      <c r="A486" s="65"/>
      <c r="V486" s="64"/>
    </row>
    <row r="487" customFormat="false" ht="26.25" hidden="false" customHeight="true" outlineLevel="0" collapsed="false">
      <c r="A487" s="65"/>
      <c r="V487" s="64"/>
    </row>
    <row r="488" customFormat="false" ht="26.25" hidden="false" customHeight="true" outlineLevel="0" collapsed="false">
      <c r="A488" s="65"/>
      <c r="V488" s="64"/>
    </row>
    <row r="489" customFormat="false" ht="26.25" hidden="false" customHeight="true" outlineLevel="0" collapsed="false">
      <c r="A489" s="65"/>
      <c r="V489" s="64"/>
    </row>
    <row r="490" customFormat="false" ht="26.25" hidden="false" customHeight="true" outlineLevel="0" collapsed="false">
      <c r="A490" s="65"/>
      <c r="V490" s="64"/>
    </row>
    <row r="491" customFormat="false" ht="26.25" hidden="false" customHeight="true" outlineLevel="0" collapsed="false">
      <c r="A491" s="65"/>
      <c r="V491" s="64"/>
    </row>
    <row r="492" customFormat="false" ht="26.25" hidden="false" customHeight="true" outlineLevel="0" collapsed="false">
      <c r="A492" s="65"/>
      <c r="V492" s="64"/>
    </row>
    <row r="493" customFormat="false" ht="26.25" hidden="false" customHeight="true" outlineLevel="0" collapsed="false">
      <c r="A493" s="65"/>
      <c r="V493" s="64"/>
    </row>
    <row r="494" customFormat="false" ht="26.25" hidden="false" customHeight="true" outlineLevel="0" collapsed="false">
      <c r="A494" s="65"/>
      <c r="V494" s="64"/>
    </row>
    <row r="495" customFormat="false" ht="26.25" hidden="false" customHeight="true" outlineLevel="0" collapsed="false">
      <c r="A495" s="65"/>
      <c r="V495" s="64"/>
    </row>
    <row r="496" customFormat="false" ht="26.25" hidden="false" customHeight="true" outlineLevel="0" collapsed="false">
      <c r="A496" s="65"/>
      <c r="V496" s="64"/>
    </row>
    <row r="497" customFormat="false" ht="26.25" hidden="false" customHeight="true" outlineLevel="0" collapsed="false">
      <c r="A497" s="65"/>
      <c r="V497" s="64"/>
    </row>
    <row r="498" customFormat="false" ht="26.25" hidden="false" customHeight="true" outlineLevel="0" collapsed="false">
      <c r="A498" s="65"/>
      <c r="V498" s="64"/>
    </row>
    <row r="499" customFormat="false" ht="26.25" hidden="false" customHeight="true" outlineLevel="0" collapsed="false">
      <c r="A499" s="65"/>
      <c r="V499" s="64"/>
    </row>
    <row r="500" customFormat="false" ht="26.25" hidden="false" customHeight="true" outlineLevel="0" collapsed="false">
      <c r="A500" s="65"/>
      <c r="V500" s="64"/>
    </row>
    <row r="501" customFormat="false" ht="26.25" hidden="false" customHeight="true" outlineLevel="0" collapsed="false">
      <c r="A501" s="65"/>
      <c r="V501" s="64"/>
    </row>
    <row r="502" customFormat="false" ht="26.25" hidden="false" customHeight="true" outlineLevel="0" collapsed="false">
      <c r="A502" s="65"/>
      <c r="V502" s="64"/>
    </row>
    <row r="503" customFormat="false" ht="26.25" hidden="false" customHeight="true" outlineLevel="0" collapsed="false">
      <c r="A503" s="65"/>
      <c r="V503" s="64"/>
    </row>
    <row r="504" customFormat="false" ht="26.25" hidden="false" customHeight="true" outlineLevel="0" collapsed="false">
      <c r="A504" s="65"/>
      <c r="V504" s="64"/>
    </row>
    <row r="505" customFormat="false" ht="26.25" hidden="false" customHeight="true" outlineLevel="0" collapsed="false">
      <c r="A505" s="65"/>
      <c r="V505" s="64"/>
    </row>
    <row r="506" customFormat="false" ht="26.25" hidden="false" customHeight="true" outlineLevel="0" collapsed="false">
      <c r="A506" s="65"/>
      <c r="V506" s="64"/>
    </row>
    <row r="507" customFormat="false" ht="26.25" hidden="false" customHeight="true" outlineLevel="0" collapsed="false">
      <c r="A507" s="65"/>
      <c r="V507" s="64"/>
    </row>
    <row r="508" customFormat="false" ht="26.25" hidden="false" customHeight="true" outlineLevel="0" collapsed="false">
      <c r="A508" s="65"/>
      <c r="V508" s="64"/>
    </row>
    <row r="509" customFormat="false" ht="26.25" hidden="false" customHeight="true" outlineLevel="0" collapsed="false">
      <c r="A509" s="65"/>
      <c r="V509" s="64"/>
    </row>
    <row r="510" customFormat="false" ht="26.25" hidden="false" customHeight="true" outlineLevel="0" collapsed="false">
      <c r="A510" s="65"/>
      <c r="V510" s="64"/>
    </row>
    <row r="511" customFormat="false" ht="26.25" hidden="false" customHeight="true" outlineLevel="0" collapsed="false">
      <c r="A511" s="65"/>
      <c r="V511" s="64"/>
    </row>
    <row r="512" customFormat="false" ht="26.25" hidden="false" customHeight="true" outlineLevel="0" collapsed="false">
      <c r="A512" s="65"/>
      <c r="V512" s="64"/>
    </row>
    <row r="513" customFormat="false" ht="26.25" hidden="false" customHeight="true" outlineLevel="0" collapsed="false">
      <c r="A513" s="65"/>
      <c r="V513" s="64"/>
    </row>
    <row r="514" customFormat="false" ht="26.25" hidden="false" customHeight="true" outlineLevel="0" collapsed="false">
      <c r="A514" s="65"/>
      <c r="V514" s="64"/>
    </row>
    <row r="515" customFormat="false" ht="26.25" hidden="false" customHeight="true" outlineLevel="0" collapsed="false">
      <c r="A515" s="65"/>
      <c r="V515" s="64"/>
    </row>
    <row r="516" customFormat="false" ht="26.25" hidden="false" customHeight="true" outlineLevel="0" collapsed="false">
      <c r="A516" s="65"/>
      <c r="V516" s="64"/>
    </row>
    <row r="517" customFormat="false" ht="26.25" hidden="false" customHeight="true" outlineLevel="0" collapsed="false">
      <c r="A517" s="65"/>
      <c r="V517" s="64"/>
    </row>
    <row r="518" customFormat="false" ht="26.25" hidden="false" customHeight="true" outlineLevel="0" collapsed="false">
      <c r="A518" s="65"/>
      <c r="V518" s="64"/>
    </row>
    <row r="519" customFormat="false" ht="26.25" hidden="false" customHeight="true" outlineLevel="0" collapsed="false">
      <c r="A519" s="65"/>
      <c r="V519" s="64"/>
    </row>
    <row r="520" customFormat="false" ht="26.25" hidden="false" customHeight="true" outlineLevel="0" collapsed="false">
      <c r="A520" s="65"/>
      <c r="V520" s="64"/>
    </row>
    <row r="521" customFormat="false" ht="26.25" hidden="false" customHeight="true" outlineLevel="0" collapsed="false">
      <c r="A521" s="65"/>
      <c r="V521" s="64"/>
    </row>
    <row r="522" customFormat="false" ht="26.25" hidden="false" customHeight="true" outlineLevel="0" collapsed="false">
      <c r="A522" s="65"/>
      <c r="V522" s="64"/>
    </row>
    <row r="523" customFormat="false" ht="26.25" hidden="false" customHeight="true" outlineLevel="0" collapsed="false">
      <c r="A523" s="65"/>
      <c r="V523" s="64"/>
    </row>
    <row r="524" customFormat="false" ht="26.25" hidden="false" customHeight="true" outlineLevel="0" collapsed="false">
      <c r="A524" s="65"/>
      <c r="V524" s="64"/>
    </row>
    <row r="525" customFormat="false" ht="26.25" hidden="false" customHeight="true" outlineLevel="0" collapsed="false">
      <c r="A525" s="65"/>
      <c r="V525" s="64"/>
    </row>
    <row r="526" customFormat="false" ht="26.25" hidden="false" customHeight="true" outlineLevel="0" collapsed="false">
      <c r="A526" s="65"/>
      <c r="V526" s="64"/>
    </row>
    <row r="527" customFormat="false" ht="26.25" hidden="false" customHeight="true" outlineLevel="0" collapsed="false">
      <c r="A527" s="65"/>
      <c r="V527" s="64"/>
    </row>
    <row r="528" customFormat="false" ht="26.25" hidden="false" customHeight="true" outlineLevel="0" collapsed="false">
      <c r="A528" s="65"/>
      <c r="V528" s="64"/>
    </row>
    <row r="529" customFormat="false" ht="26.25" hidden="false" customHeight="true" outlineLevel="0" collapsed="false">
      <c r="A529" s="65"/>
      <c r="V529" s="64"/>
    </row>
    <row r="530" customFormat="false" ht="26.25" hidden="false" customHeight="true" outlineLevel="0" collapsed="false">
      <c r="A530" s="65"/>
      <c r="V530" s="64"/>
    </row>
    <row r="531" customFormat="false" ht="26.25" hidden="false" customHeight="true" outlineLevel="0" collapsed="false">
      <c r="A531" s="65"/>
      <c r="V531" s="64"/>
    </row>
    <row r="532" customFormat="false" ht="26.25" hidden="false" customHeight="true" outlineLevel="0" collapsed="false">
      <c r="A532" s="65"/>
      <c r="V532" s="64"/>
    </row>
    <row r="533" customFormat="false" ht="26.25" hidden="false" customHeight="true" outlineLevel="0" collapsed="false">
      <c r="A533" s="65"/>
      <c r="V533" s="64"/>
    </row>
    <row r="534" customFormat="false" ht="26.25" hidden="false" customHeight="true" outlineLevel="0" collapsed="false">
      <c r="A534" s="65"/>
      <c r="V534" s="64"/>
    </row>
    <row r="535" customFormat="false" ht="26.25" hidden="false" customHeight="true" outlineLevel="0" collapsed="false">
      <c r="A535" s="65"/>
      <c r="V535" s="64"/>
    </row>
    <row r="536" customFormat="false" ht="26.25" hidden="false" customHeight="true" outlineLevel="0" collapsed="false">
      <c r="A536" s="65"/>
      <c r="V536" s="64"/>
    </row>
    <row r="537" customFormat="false" ht="26.25" hidden="false" customHeight="true" outlineLevel="0" collapsed="false">
      <c r="A537" s="65"/>
      <c r="V537" s="64"/>
    </row>
    <row r="538" customFormat="false" ht="26.25" hidden="false" customHeight="true" outlineLevel="0" collapsed="false">
      <c r="A538" s="65"/>
      <c r="V538" s="64"/>
    </row>
    <row r="539" customFormat="false" ht="26.25" hidden="false" customHeight="true" outlineLevel="0" collapsed="false">
      <c r="A539" s="65"/>
      <c r="V539" s="64"/>
    </row>
    <row r="540" customFormat="false" ht="26.25" hidden="false" customHeight="true" outlineLevel="0" collapsed="false">
      <c r="A540" s="65"/>
      <c r="V540" s="64"/>
    </row>
    <row r="541" customFormat="false" ht="26.25" hidden="false" customHeight="true" outlineLevel="0" collapsed="false">
      <c r="A541" s="65"/>
      <c r="V541" s="64"/>
    </row>
    <row r="542" customFormat="false" ht="26.25" hidden="false" customHeight="true" outlineLevel="0" collapsed="false">
      <c r="A542" s="65"/>
      <c r="V542" s="64"/>
    </row>
    <row r="543" customFormat="false" ht="26.25" hidden="false" customHeight="true" outlineLevel="0" collapsed="false">
      <c r="A543" s="65"/>
      <c r="V543" s="64"/>
    </row>
    <row r="544" customFormat="false" ht="26.25" hidden="false" customHeight="true" outlineLevel="0" collapsed="false">
      <c r="A544" s="65"/>
      <c r="V544" s="64"/>
    </row>
    <row r="545" customFormat="false" ht="26.25" hidden="false" customHeight="true" outlineLevel="0" collapsed="false">
      <c r="A545" s="65"/>
      <c r="V545" s="64"/>
    </row>
    <row r="546" customFormat="false" ht="26.25" hidden="false" customHeight="true" outlineLevel="0" collapsed="false">
      <c r="A546" s="65"/>
      <c r="V546" s="64"/>
    </row>
    <row r="547" customFormat="false" ht="26.25" hidden="false" customHeight="true" outlineLevel="0" collapsed="false">
      <c r="A547" s="65"/>
      <c r="V547" s="64"/>
    </row>
    <row r="548" customFormat="false" ht="26.25" hidden="false" customHeight="true" outlineLevel="0" collapsed="false">
      <c r="A548" s="65"/>
      <c r="V548" s="64"/>
    </row>
    <row r="549" customFormat="false" ht="26.25" hidden="false" customHeight="true" outlineLevel="0" collapsed="false">
      <c r="A549" s="65"/>
      <c r="V549" s="64"/>
    </row>
    <row r="550" customFormat="false" ht="26.25" hidden="false" customHeight="true" outlineLevel="0" collapsed="false">
      <c r="A550" s="65"/>
      <c r="V550" s="64"/>
    </row>
    <row r="551" customFormat="false" ht="26.25" hidden="false" customHeight="true" outlineLevel="0" collapsed="false">
      <c r="A551" s="65"/>
      <c r="V551" s="64"/>
    </row>
    <row r="552" customFormat="false" ht="26.25" hidden="false" customHeight="true" outlineLevel="0" collapsed="false">
      <c r="A552" s="65"/>
      <c r="V552" s="64"/>
    </row>
    <row r="553" customFormat="false" ht="26.25" hidden="false" customHeight="true" outlineLevel="0" collapsed="false">
      <c r="A553" s="65"/>
      <c r="V553" s="64"/>
    </row>
    <row r="554" customFormat="false" ht="26.25" hidden="false" customHeight="true" outlineLevel="0" collapsed="false">
      <c r="A554" s="65"/>
      <c r="V554" s="64"/>
    </row>
    <row r="555" customFormat="false" ht="26.25" hidden="false" customHeight="true" outlineLevel="0" collapsed="false">
      <c r="A555" s="65"/>
      <c r="V555" s="64"/>
    </row>
    <row r="556" customFormat="false" ht="26.25" hidden="false" customHeight="true" outlineLevel="0" collapsed="false">
      <c r="A556" s="65"/>
      <c r="V556" s="64"/>
    </row>
    <row r="557" customFormat="false" ht="26.25" hidden="false" customHeight="true" outlineLevel="0" collapsed="false">
      <c r="A557" s="65"/>
      <c r="V557" s="64"/>
    </row>
    <row r="558" customFormat="false" ht="26.25" hidden="false" customHeight="true" outlineLevel="0" collapsed="false">
      <c r="A558" s="65"/>
      <c r="V558" s="64"/>
    </row>
    <row r="559" customFormat="false" ht="26.25" hidden="false" customHeight="true" outlineLevel="0" collapsed="false">
      <c r="A559" s="65"/>
      <c r="V559" s="64"/>
    </row>
    <row r="560" customFormat="false" ht="26.25" hidden="false" customHeight="true" outlineLevel="0" collapsed="false">
      <c r="A560" s="65"/>
      <c r="V560" s="64"/>
    </row>
    <row r="561" customFormat="false" ht="26.25" hidden="false" customHeight="true" outlineLevel="0" collapsed="false">
      <c r="A561" s="65"/>
      <c r="V561" s="64"/>
    </row>
    <row r="562" customFormat="false" ht="26.25" hidden="false" customHeight="true" outlineLevel="0" collapsed="false">
      <c r="A562" s="65"/>
      <c r="V562" s="64"/>
    </row>
    <row r="563" customFormat="false" ht="26.25" hidden="false" customHeight="true" outlineLevel="0" collapsed="false">
      <c r="A563" s="65"/>
      <c r="V563" s="64"/>
    </row>
    <row r="564" customFormat="false" ht="26.25" hidden="false" customHeight="true" outlineLevel="0" collapsed="false">
      <c r="A564" s="65"/>
      <c r="V564" s="64"/>
    </row>
    <row r="565" customFormat="false" ht="26.25" hidden="false" customHeight="true" outlineLevel="0" collapsed="false">
      <c r="A565" s="65"/>
      <c r="V565" s="64"/>
    </row>
    <row r="566" customFormat="false" ht="26.25" hidden="false" customHeight="true" outlineLevel="0" collapsed="false">
      <c r="A566" s="65"/>
      <c r="V566" s="64"/>
    </row>
    <row r="567" customFormat="false" ht="26.25" hidden="false" customHeight="true" outlineLevel="0" collapsed="false">
      <c r="A567" s="65"/>
      <c r="V567" s="64"/>
    </row>
    <row r="568" customFormat="false" ht="26.25" hidden="false" customHeight="true" outlineLevel="0" collapsed="false">
      <c r="A568" s="65"/>
      <c r="V568" s="64"/>
    </row>
    <row r="569" customFormat="false" ht="26.25" hidden="false" customHeight="true" outlineLevel="0" collapsed="false">
      <c r="A569" s="65"/>
      <c r="V569" s="64"/>
    </row>
    <row r="570" customFormat="false" ht="26.25" hidden="false" customHeight="true" outlineLevel="0" collapsed="false">
      <c r="A570" s="65"/>
      <c r="V570" s="64"/>
    </row>
    <row r="571" customFormat="false" ht="26.25" hidden="false" customHeight="true" outlineLevel="0" collapsed="false">
      <c r="A571" s="65"/>
      <c r="V571" s="64"/>
    </row>
    <row r="572" customFormat="false" ht="26.25" hidden="false" customHeight="true" outlineLevel="0" collapsed="false">
      <c r="A572" s="65"/>
      <c r="V572" s="64"/>
    </row>
    <row r="573" customFormat="false" ht="26.25" hidden="false" customHeight="true" outlineLevel="0" collapsed="false">
      <c r="A573" s="65"/>
      <c r="V573" s="64"/>
    </row>
    <row r="574" customFormat="false" ht="26.25" hidden="false" customHeight="true" outlineLevel="0" collapsed="false">
      <c r="A574" s="65"/>
      <c r="V574" s="64"/>
    </row>
    <row r="575" customFormat="false" ht="26.25" hidden="false" customHeight="true" outlineLevel="0" collapsed="false">
      <c r="A575" s="65"/>
      <c r="V575" s="64"/>
    </row>
    <row r="576" customFormat="false" ht="26.25" hidden="false" customHeight="true" outlineLevel="0" collapsed="false">
      <c r="A576" s="65"/>
      <c r="V576" s="64"/>
    </row>
    <row r="577" customFormat="false" ht="26.25" hidden="false" customHeight="true" outlineLevel="0" collapsed="false">
      <c r="A577" s="65"/>
      <c r="V577" s="64"/>
    </row>
    <row r="578" customFormat="false" ht="26.25" hidden="false" customHeight="true" outlineLevel="0" collapsed="false">
      <c r="A578" s="65"/>
      <c r="V578" s="64"/>
    </row>
    <row r="579" customFormat="false" ht="26.25" hidden="false" customHeight="true" outlineLevel="0" collapsed="false">
      <c r="A579" s="65"/>
      <c r="V579" s="64"/>
    </row>
    <row r="580" customFormat="false" ht="26.25" hidden="false" customHeight="true" outlineLevel="0" collapsed="false">
      <c r="A580" s="65"/>
      <c r="V580" s="64"/>
    </row>
    <row r="581" customFormat="false" ht="26.25" hidden="false" customHeight="true" outlineLevel="0" collapsed="false">
      <c r="A581" s="65"/>
      <c r="V581" s="64"/>
    </row>
    <row r="582" customFormat="false" ht="26.25" hidden="false" customHeight="true" outlineLevel="0" collapsed="false">
      <c r="A582" s="65"/>
      <c r="V582" s="64"/>
    </row>
    <row r="583" customFormat="false" ht="26.25" hidden="false" customHeight="true" outlineLevel="0" collapsed="false">
      <c r="A583" s="65"/>
      <c r="V583" s="64"/>
    </row>
    <row r="584" customFormat="false" ht="26.25" hidden="false" customHeight="true" outlineLevel="0" collapsed="false">
      <c r="A584" s="65"/>
      <c r="V584" s="64"/>
    </row>
    <row r="585" customFormat="false" ht="26.25" hidden="false" customHeight="true" outlineLevel="0" collapsed="false">
      <c r="A585" s="65"/>
      <c r="V585" s="64"/>
    </row>
    <row r="586" customFormat="false" ht="26.25" hidden="false" customHeight="true" outlineLevel="0" collapsed="false">
      <c r="A586" s="65"/>
      <c r="V586" s="64"/>
    </row>
    <row r="587" customFormat="false" ht="26.25" hidden="false" customHeight="true" outlineLevel="0" collapsed="false">
      <c r="A587" s="65"/>
      <c r="V587" s="64"/>
    </row>
    <row r="588" customFormat="false" ht="26.25" hidden="false" customHeight="true" outlineLevel="0" collapsed="false">
      <c r="A588" s="65"/>
      <c r="V588" s="64"/>
    </row>
    <row r="589" customFormat="false" ht="26.25" hidden="false" customHeight="true" outlineLevel="0" collapsed="false">
      <c r="A589" s="65"/>
      <c r="V589" s="64"/>
    </row>
    <row r="590" customFormat="false" ht="26.25" hidden="false" customHeight="true" outlineLevel="0" collapsed="false">
      <c r="A590" s="65"/>
      <c r="V590" s="64"/>
    </row>
    <row r="591" customFormat="false" ht="26.25" hidden="false" customHeight="true" outlineLevel="0" collapsed="false">
      <c r="A591" s="65"/>
      <c r="V591" s="64"/>
    </row>
    <row r="592" customFormat="false" ht="26.25" hidden="false" customHeight="true" outlineLevel="0" collapsed="false">
      <c r="A592" s="65"/>
      <c r="V592" s="64"/>
    </row>
    <row r="593" customFormat="false" ht="26.25" hidden="false" customHeight="true" outlineLevel="0" collapsed="false">
      <c r="A593" s="65"/>
      <c r="V593" s="64"/>
    </row>
    <row r="594" customFormat="false" ht="26.25" hidden="false" customHeight="true" outlineLevel="0" collapsed="false">
      <c r="A594" s="65"/>
      <c r="V594" s="64"/>
    </row>
    <row r="595" customFormat="false" ht="26.25" hidden="false" customHeight="true" outlineLevel="0" collapsed="false">
      <c r="A595" s="65"/>
      <c r="V595" s="64"/>
    </row>
    <row r="596" customFormat="false" ht="26.25" hidden="false" customHeight="true" outlineLevel="0" collapsed="false">
      <c r="A596" s="65"/>
      <c r="V596" s="64"/>
    </row>
    <row r="597" customFormat="false" ht="26.25" hidden="false" customHeight="true" outlineLevel="0" collapsed="false">
      <c r="A597" s="65"/>
      <c r="V597" s="64"/>
    </row>
    <row r="598" customFormat="false" ht="26.25" hidden="false" customHeight="true" outlineLevel="0" collapsed="false">
      <c r="A598" s="65"/>
      <c r="V598" s="64"/>
    </row>
    <row r="599" customFormat="false" ht="26.25" hidden="false" customHeight="true" outlineLevel="0" collapsed="false">
      <c r="A599" s="65"/>
      <c r="V599" s="64"/>
    </row>
    <row r="600" customFormat="false" ht="26.25" hidden="false" customHeight="true" outlineLevel="0" collapsed="false">
      <c r="A600" s="65"/>
      <c r="V600" s="64"/>
    </row>
    <row r="601" customFormat="false" ht="26.25" hidden="false" customHeight="true" outlineLevel="0" collapsed="false">
      <c r="A601" s="65"/>
      <c r="V601" s="64"/>
    </row>
    <row r="602" customFormat="false" ht="26.25" hidden="false" customHeight="true" outlineLevel="0" collapsed="false">
      <c r="A602" s="65"/>
      <c r="V602" s="64"/>
    </row>
    <row r="603" customFormat="false" ht="26.25" hidden="false" customHeight="true" outlineLevel="0" collapsed="false">
      <c r="A603" s="65"/>
      <c r="V603" s="64"/>
    </row>
    <row r="604" customFormat="false" ht="26.25" hidden="false" customHeight="true" outlineLevel="0" collapsed="false">
      <c r="A604" s="65"/>
      <c r="V604" s="64"/>
    </row>
    <row r="605" customFormat="false" ht="26.25" hidden="false" customHeight="true" outlineLevel="0" collapsed="false">
      <c r="A605" s="65"/>
      <c r="V605" s="64"/>
    </row>
    <row r="606" customFormat="false" ht="26.25" hidden="false" customHeight="true" outlineLevel="0" collapsed="false">
      <c r="A606" s="65"/>
      <c r="V606" s="64"/>
    </row>
    <row r="607" customFormat="false" ht="26.25" hidden="false" customHeight="true" outlineLevel="0" collapsed="false">
      <c r="A607" s="65"/>
      <c r="V607" s="64"/>
    </row>
    <row r="608" customFormat="false" ht="26.25" hidden="false" customHeight="true" outlineLevel="0" collapsed="false">
      <c r="A608" s="65"/>
      <c r="V608" s="64"/>
    </row>
    <row r="609" customFormat="false" ht="26.25" hidden="false" customHeight="true" outlineLevel="0" collapsed="false">
      <c r="A609" s="65"/>
      <c r="V609" s="64"/>
    </row>
    <row r="610" customFormat="false" ht="26.25" hidden="false" customHeight="true" outlineLevel="0" collapsed="false">
      <c r="A610" s="65"/>
      <c r="V610" s="64"/>
    </row>
    <row r="611" customFormat="false" ht="26.25" hidden="false" customHeight="true" outlineLevel="0" collapsed="false">
      <c r="A611" s="65"/>
      <c r="V611" s="64"/>
    </row>
    <row r="612" customFormat="false" ht="26.25" hidden="false" customHeight="true" outlineLevel="0" collapsed="false">
      <c r="A612" s="65"/>
      <c r="V612" s="64"/>
    </row>
    <row r="613" customFormat="false" ht="26.25" hidden="false" customHeight="true" outlineLevel="0" collapsed="false">
      <c r="A613" s="65"/>
      <c r="V613" s="64"/>
    </row>
    <row r="614" customFormat="false" ht="26.25" hidden="false" customHeight="true" outlineLevel="0" collapsed="false">
      <c r="A614" s="65"/>
      <c r="V614" s="64"/>
    </row>
    <row r="615" customFormat="false" ht="26.25" hidden="false" customHeight="true" outlineLevel="0" collapsed="false">
      <c r="A615" s="65"/>
      <c r="V615" s="64"/>
    </row>
    <row r="616" customFormat="false" ht="26.25" hidden="false" customHeight="true" outlineLevel="0" collapsed="false">
      <c r="A616" s="65"/>
      <c r="V616" s="64"/>
    </row>
    <row r="617" customFormat="false" ht="26.25" hidden="false" customHeight="true" outlineLevel="0" collapsed="false">
      <c r="A617" s="65"/>
      <c r="V617" s="64"/>
    </row>
    <row r="618" customFormat="false" ht="26.25" hidden="false" customHeight="true" outlineLevel="0" collapsed="false">
      <c r="A618" s="65"/>
      <c r="V618" s="64"/>
    </row>
    <row r="619" customFormat="false" ht="26.25" hidden="false" customHeight="true" outlineLevel="0" collapsed="false">
      <c r="A619" s="65"/>
      <c r="V619" s="64"/>
    </row>
    <row r="620" customFormat="false" ht="26.25" hidden="false" customHeight="true" outlineLevel="0" collapsed="false">
      <c r="A620" s="65"/>
      <c r="V620" s="64"/>
    </row>
    <row r="621" customFormat="false" ht="26.25" hidden="false" customHeight="true" outlineLevel="0" collapsed="false">
      <c r="A621" s="65"/>
      <c r="V621" s="64"/>
    </row>
    <row r="622" customFormat="false" ht="26.25" hidden="false" customHeight="true" outlineLevel="0" collapsed="false">
      <c r="A622" s="65"/>
      <c r="V622" s="64"/>
    </row>
    <row r="623" customFormat="false" ht="26.25" hidden="false" customHeight="true" outlineLevel="0" collapsed="false">
      <c r="A623" s="65"/>
      <c r="V623" s="64"/>
    </row>
    <row r="624" customFormat="false" ht="26.25" hidden="false" customHeight="true" outlineLevel="0" collapsed="false">
      <c r="A624" s="65"/>
      <c r="V624" s="64"/>
    </row>
    <row r="625" customFormat="false" ht="26.25" hidden="false" customHeight="true" outlineLevel="0" collapsed="false">
      <c r="A625" s="65"/>
      <c r="V625" s="64"/>
    </row>
    <row r="626" customFormat="false" ht="26.25" hidden="false" customHeight="true" outlineLevel="0" collapsed="false">
      <c r="A626" s="65"/>
      <c r="V626" s="64"/>
    </row>
    <row r="627" customFormat="false" ht="26.25" hidden="false" customHeight="true" outlineLevel="0" collapsed="false">
      <c r="A627" s="65"/>
      <c r="V627" s="64"/>
    </row>
    <row r="628" customFormat="false" ht="26.25" hidden="false" customHeight="true" outlineLevel="0" collapsed="false">
      <c r="A628" s="65"/>
      <c r="V628" s="64"/>
    </row>
    <row r="629" customFormat="false" ht="26.25" hidden="false" customHeight="true" outlineLevel="0" collapsed="false">
      <c r="A629" s="65"/>
      <c r="V629" s="64"/>
    </row>
    <row r="630" customFormat="false" ht="26.25" hidden="false" customHeight="true" outlineLevel="0" collapsed="false">
      <c r="A630" s="65"/>
      <c r="V630" s="64"/>
    </row>
    <row r="631" customFormat="false" ht="26.25" hidden="false" customHeight="true" outlineLevel="0" collapsed="false">
      <c r="A631" s="65"/>
      <c r="V631" s="64"/>
    </row>
    <row r="632" customFormat="false" ht="26.25" hidden="false" customHeight="true" outlineLevel="0" collapsed="false">
      <c r="A632" s="65"/>
      <c r="V632" s="64"/>
    </row>
    <row r="633" customFormat="false" ht="26.25" hidden="false" customHeight="true" outlineLevel="0" collapsed="false">
      <c r="A633" s="65"/>
      <c r="V633" s="64"/>
    </row>
    <row r="634" customFormat="false" ht="26.25" hidden="false" customHeight="true" outlineLevel="0" collapsed="false">
      <c r="A634" s="65"/>
      <c r="V634" s="64"/>
    </row>
    <row r="635" customFormat="false" ht="26.25" hidden="false" customHeight="true" outlineLevel="0" collapsed="false">
      <c r="A635" s="65"/>
      <c r="V635" s="64"/>
    </row>
    <row r="636" customFormat="false" ht="26.25" hidden="false" customHeight="true" outlineLevel="0" collapsed="false">
      <c r="A636" s="65"/>
      <c r="V636" s="64"/>
    </row>
    <row r="637" customFormat="false" ht="26.25" hidden="false" customHeight="true" outlineLevel="0" collapsed="false">
      <c r="A637" s="65"/>
      <c r="V637" s="64"/>
    </row>
    <row r="638" customFormat="false" ht="26.25" hidden="false" customHeight="true" outlineLevel="0" collapsed="false">
      <c r="A638" s="65"/>
      <c r="V638" s="64"/>
    </row>
    <row r="639" customFormat="false" ht="26.25" hidden="false" customHeight="true" outlineLevel="0" collapsed="false">
      <c r="A639" s="65"/>
      <c r="V639" s="64"/>
    </row>
    <row r="640" customFormat="false" ht="26.25" hidden="false" customHeight="true" outlineLevel="0" collapsed="false">
      <c r="A640" s="65"/>
      <c r="V640" s="64"/>
    </row>
    <row r="641" customFormat="false" ht="26.25" hidden="false" customHeight="true" outlineLevel="0" collapsed="false">
      <c r="A641" s="65"/>
      <c r="V641" s="64"/>
    </row>
    <row r="642" customFormat="false" ht="26.25" hidden="false" customHeight="true" outlineLevel="0" collapsed="false">
      <c r="A642" s="65"/>
      <c r="V642" s="64"/>
    </row>
    <row r="643" customFormat="false" ht="26.25" hidden="false" customHeight="true" outlineLevel="0" collapsed="false">
      <c r="A643" s="65"/>
      <c r="V643" s="64"/>
    </row>
    <row r="644" customFormat="false" ht="26.25" hidden="false" customHeight="true" outlineLevel="0" collapsed="false">
      <c r="A644" s="65"/>
      <c r="V644" s="64"/>
    </row>
    <row r="645" customFormat="false" ht="26.25" hidden="false" customHeight="true" outlineLevel="0" collapsed="false">
      <c r="A645" s="65"/>
      <c r="V645" s="64"/>
    </row>
    <row r="646" customFormat="false" ht="26.25" hidden="false" customHeight="true" outlineLevel="0" collapsed="false">
      <c r="A646" s="65"/>
      <c r="V646" s="64"/>
    </row>
    <row r="647" customFormat="false" ht="26.25" hidden="false" customHeight="true" outlineLevel="0" collapsed="false">
      <c r="A647" s="65"/>
      <c r="V647" s="64"/>
    </row>
    <row r="648" customFormat="false" ht="26.25" hidden="false" customHeight="true" outlineLevel="0" collapsed="false">
      <c r="A648" s="65"/>
      <c r="V648" s="64"/>
    </row>
    <row r="649" customFormat="false" ht="26.25" hidden="false" customHeight="true" outlineLevel="0" collapsed="false">
      <c r="A649" s="65"/>
      <c r="V649" s="64"/>
    </row>
    <row r="650" customFormat="false" ht="26.25" hidden="false" customHeight="true" outlineLevel="0" collapsed="false">
      <c r="A650" s="65"/>
      <c r="V650" s="64"/>
    </row>
    <row r="651" customFormat="false" ht="26.25" hidden="false" customHeight="true" outlineLevel="0" collapsed="false">
      <c r="A651" s="65"/>
      <c r="V651" s="64"/>
    </row>
    <row r="652" customFormat="false" ht="26.25" hidden="false" customHeight="true" outlineLevel="0" collapsed="false">
      <c r="A652" s="65"/>
      <c r="V652" s="64"/>
    </row>
    <row r="653" customFormat="false" ht="26.25" hidden="false" customHeight="true" outlineLevel="0" collapsed="false">
      <c r="A653" s="65"/>
      <c r="V653" s="64"/>
    </row>
    <row r="654" customFormat="false" ht="26.25" hidden="false" customHeight="true" outlineLevel="0" collapsed="false">
      <c r="A654" s="65"/>
      <c r="V654" s="64"/>
    </row>
    <row r="655" customFormat="false" ht="26.25" hidden="false" customHeight="true" outlineLevel="0" collapsed="false">
      <c r="A655" s="65"/>
      <c r="V655" s="64"/>
    </row>
    <row r="656" customFormat="false" ht="26.25" hidden="false" customHeight="true" outlineLevel="0" collapsed="false">
      <c r="A656" s="65"/>
      <c r="V656" s="64"/>
    </row>
    <row r="657" customFormat="false" ht="26.25" hidden="false" customHeight="true" outlineLevel="0" collapsed="false">
      <c r="A657" s="65"/>
      <c r="V657" s="64"/>
    </row>
    <row r="658" customFormat="false" ht="26.25" hidden="false" customHeight="true" outlineLevel="0" collapsed="false">
      <c r="A658" s="65"/>
      <c r="V658" s="64"/>
    </row>
    <row r="659" customFormat="false" ht="26.25" hidden="false" customHeight="true" outlineLevel="0" collapsed="false">
      <c r="A659" s="65"/>
      <c r="V659" s="64"/>
    </row>
    <row r="660" customFormat="false" ht="26.25" hidden="false" customHeight="true" outlineLevel="0" collapsed="false">
      <c r="A660" s="65"/>
      <c r="V660" s="64"/>
    </row>
    <row r="661" customFormat="false" ht="26.25" hidden="false" customHeight="true" outlineLevel="0" collapsed="false">
      <c r="A661" s="65"/>
      <c r="V661" s="64"/>
    </row>
    <row r="662" customFormat="false" ht="26.25" hidden="false" customHeight="true" outlineLevel="0" collapsed="false">
      <c r="A662" s="65"/>
      <c r="V662" s="64"/>
    </row>
    <row r="663" customFormat="false" ht="26.25" hidden="false" customHeight="true" outlineLevel="0" collapsed="false">
      <c r="A663" s="65"/>
      <c r="V663" s="64"/>
    </row>
    <row r="664" customFormat="false" ht="26.25" hidden="false" customHeight="true" outlineLevel="0" collapsed="false">
      <c r="A664" s="65"/>
      <c r="V664" s="64"/>
    </row>
    <row r="665" customFormat="false" ht="26.25" hidden="false" customHeight="true" outlineLevel="0" collapsed="false">
      <c r="A665" s="65"/>
      <c r="V665" s="64"/>
    </row>
    <row r="666" customFormat="false" ht="26.25" hidden="false" customHeight="true" outlineLevel="0" collapsed="false">
      <c r="A666" s="65"/>
      <c r="V666" s="64"/>
    </row>
    <row r="667" customFormat="false" ht="26.25" hidden="false" customHeight="true" outlineLevel="0" collapsed="false">
      <c r="A667" s="65"/>
      <c r="V667" s="64"/>
    </row>
    <row r="668" customFormat="false" ht="26.25" hidden="false" customHeight="true" outlineLevel="0" collapsed="false">
      <c r="A668" s="65"/>
      <c r="V668" s="64"/>
    </row>
    <row r="669" customFormat="false" ht="26.25" hidden="false" customHeight="true" outlineLevel="0" collapsed="false">
      <c r="A669" s="65"/>
      <c r="V669" s="64"/>
    </row>
    <row r="670" customFormat="false" ht="26.25" hidden="false" customHeight="true" outlineLevel="0" collapsed="false">
      <c r="A670" s="65"/>
      <c r="V670" s="64"/>
    </row>
    <row r="671" customFormat="false" ht="26.25" hidden="false" customHeight="true" outlineLevel="0" collapsed="false">
      <c r="A671" s="65"/>
      <c r="V671" s="64"/>
    </row>
    <row r="672" customFormat="false" ht="26.25" hidden="false" customHeight="true" outlineLevel="0" collapsed="false">
      <c r="A672" s="65"/>
      <c r="V672" s="64"/>
    </row>
    <row r="673" customFormat="false" ht="26.25" hidden="false" customHeight="true" outlineLevel="0" collapsed="false">
      <c r="A673" s="65"/>
      <c r="V673" s="64"/>
    </row>
    <row r="674" customFormat="false" ht="26.25" hidden="false" customHeight="true" outlineLevel="0" collapsed="false">
      <c r="A674" s="65"/>
      <c r="V674" s="64"/>
    </row>
    <row r="675" customFormat="false" ht="26.25" hidden="false" customHeight="true" outlineLevel="0" collapsed="false">
      <c r="A675" s="65"/>
      <c r="V675" s="64"/>
    </row>
    <row r="676" customFormat="false" ht="26.25" hidden="false" customHeight="true" outlineLevel="0" collapsed="false">
      <c r="A676" s="65"/>
      <c r="V676" s="64"/>
    </row>
    <row r="677" customFormat="false" ht="26.25" hidden="false" customHeight="true" outlineLevel="0" collapsed="false">
      <c r="A677" s="65"/>
      <c r="V677" s="64"/>
    </row>
    <row r="678" customFormat="false" ht="26.25" hidden="false" customHeight="true" outlineLevel="0" collapsed="false">
      <c r="A678" s="65"/>
      <c r="V678" s="64"/>
    </row>
    <row r="679" customFormat="false" ht="26.25" hidden="false" customHeight="true" outlineLevel="0" collapsed="false">
      <c r="A679" s="65"/>
      <c r="V679" s="64"/>
    </row>
    <row r="680" customFormat="false" ht="26.25" hidden="false" customHeight="true" outlineLevel="0" collapsed="false">
      <c r="A680" s="65"/>
      <c r="V680" s="64"/>
    </row>
    <row r="681" customFormat="false" ht="26.25" hidden="false" customHeight="true" outlineLevel="0" collapsed="false">
      <c r="A681" s="65"/>
      <c r="V681" s="64"/>
    </row>
    <row r="682" customFormat="false" ht="26.25" hidden="false" customHeight="true" outlineLevel="0" collapsed="false">
      <c r="A682" s="65"/>
      <c r="V682" s="64"/>
    </row>
    <row r="683" customFormat="false" ht="26.25" hidden="false" customHeight="true" outlineLevel="0" collapsed="false">
      <c r="A683" s="65"/>
      <c r="V683" s="64"/>
    </row>
    <row r="684" customFormat="false" ht="26.25" hidden="false" customHeight="true" outlineLevel="0" collapsed="false">
      <c r="A684" s="65"/>
      <c r="V684" s="64"/>
    </row>
    <row r="685" customFormat="false" ht="26.25" hidden="false" customHeight="true" outlineLevel="0" collapsed="false">
      <c r="A685" s="65"/>
      <c r="V685" s="64"/>
    </row>
    <row r="686" customFormat="false" ht="26.25" hidden="false" customHeight="true" outlineLevel="0" collapsed="false">
      <c r="A686" s="65"/>
      <c r="V686" s="64"/>
    </row>
    <row r="687" customFormat="false" ht="26.25" hidden="false" customHeight="true" outlineLevel="0" collapsed="false">
      <c r="A687" s="65"/>
      <c r="V687" s="64"/>
    </row>
    <row r="688" customFormat="false" ht="26.25" hidden="false" customHeight="true" outlineLevel="0" collapsed="false">
      <c r="A688" s="65"/>
      <c r="V688" s="64"/>
    </row>
    <row r="689" customFormat="false" ht="26.25" hidden="false" customHeight="true" outlineLevel="0" collapsed="false">
      <c r="A689" s="65"/>
      <c r="V689" s="64"/>
    </row>
    <row r="690" customFormat="false" ht="26.25" hidden="false" customHeight="true" outlineLevel="0" collapsed="false">
      <c r="A690" s="65"/>
      <c r="V690" s="64"/>
    </row>
    <row r="691" customFormat="false" ht="26.25" hidden="false" customHeight="true" outlineLevel="0" collapsed="false">
      <c r="A691" s="65"/>
      <c r="V691" s="64"/>
    </row>
    <row r="692" customFormat="false" ht="26.25" hidden="false" customHeight="true" outlineLevel="0" collapsed="false">
      <c r="A692" s="65"/>
      <c r="V692" s="64"/>
    </row>
    <row r="693" customFormat="false" ht="26.25" hidden="false" customHeight="true" outlineLevel="0" collapsed="false">
      <c r="A693" s="65"/>
      <c r="V693" s="64"/>
    </row>
    <row r="694" customFormat="false" ht="26.25" hidden="false" customHeight="true" outlineLevel="0" collapsed="false">
      <c r="A694" s="65"/>
      <c r="V694" s="64"/>
    </row>
    <row r="695" customFormat="false" ht="26.25" hidden="false" customHeight="true" outlineLevel="0" collapsed="false">
      <c r="A695" s="65"/>
      <c r="V695" s="64"/>
    </row>
    <row r="696" customFormat="false" ht="26.25" hidden="false" customHeight="true" outlineLevel="0" collapsed="false">
      <c r="A696" s="65"/>
      <c r="V696" s="64"/>
    </row>
    <row r="697" customFormat="false" ht="26.25" hidden="false" customHeight="true" outlineLevel="0" collapsed="false">
      <c r="A697" s="65"/>
      <c r="V697" s="64"/>
    </row>
    <row r="698" customFormat="false" ht="26.25" hidden="false" customHeight="true" outlineLevel="0" collapsed="false">
      <c r="A698" s="65"/>
      <c r="V698" s="64"/>
    </row>
    <row r="699" customFormat="false" ht="26.25" hidden="false" customHeight="true" outlineLevel="0" collapsed="false">
      <c r="A699" s="65"/>
      <c r="V699" s="64"/>
    </row>
    <row r="700" customFormat="false" ht="26.25" hidden="false" customHeight="true" outlineLevel="0" collapsed="false">
      <c r="A700" s="65"/>
      <c r="V700" s="64"/>
    </row>
    <row r="701" customFormat="false" ht="26.25" hidden="false" customHeight="true" outlineLevel="0" collapsed="false">
      <c r="A701" s="65"/>
      <c r="V701" s="64"/>
    </row>
    <row r="702" customFormat="false" ht="26.25" hidden="false" customHeight="true" outlineLevel="0" collapsed="false">
      <c r="A702" s="65"/>
      <c r="V702" s="64"/>
    </row>
    <row r="703" customFormat="false" ht="26.25" hidden="false" customHeight="true" outlineLevel="0" collapsed="false">
      <c r="A703" s="65"/>
      <c r="V703" s="64"/>
    </row>
    <row r="704" customFormat="false" ht="26.25" hidden="false" customHeight="true" outlineLevel="0" collapsed="false">
      <c r="A704" s="65"/>
      <c r="V704" s="64"/>
    </row>
    <row r="705" customFormat="false" ht="26.25" hidden="false" customHeight="true" outlineLevel="0" collapsed="false">
      <c r="A705" s="65"/>
      <c r="V705" s="64"/>
    </row>
    <row r="706" customFormat="false" ht="26.25" hidden="false" customHeight="true" outlineLevel="0" collapsed="false">
      <c r="A706" s="65"/>
      <c r="V706" s="64"/>
    </row>
    <row r="707" customFormat="false" ht="26.25" hidden="false" customHeight="true" outlineLevel="0" collapsed="false">
      <c r="A707" s="65"/>
      <c r="V707" s="64"/>
    </row>
    <row r="708" customFormat="false" ht="26.25" hidden="false" customHeight="true" outlineLevel="0" collapsed="false">
      <c r="A708" s="65"/>
      <c r="V708" s="64"/>
    </row>
    <row r="709" customFormat="false" ht="26.25" hidden="false" customHeight="true" outlineLevel="0" collapsed="false">
      <c r="A709" s="65"/>
      <c r="V709" s="64"/>
    </row>
    <row r="710" customFormat="false" ht="26.25" hidden="false" customHeight="true" outlineLevel="0" collapsed="false">
      <c r="A710" s="65"/>
      <c r="V710" s="64"/>
    </row>
    <row r="711" customFormat="false" ht="26.25" hidden="false" customHeight="true" outlineLevel="0" collapsed="false">
      <c r="A711" s="65"/>
      <c r="V711" s="64"/>
    </row>
    <row r="712" customFormat="false" ht="26.25" hidden="false" customHeight="true" outlineLevel="0" collapsed="false">
      <c r="A712" s="65"/>
      <c r="V712" s="64"/>
    </row>
    <row r="713" customFormat="false" ht="26.25" hidden="false" customHeight="true" outlineLevel="0" collapsed="false">
      <c r="A713" s="65"/>
      <c r="V713" s="64"/>
    </row>
    <row r="714" customFormat="false" ht="26.25" hidden="false" customHeight="true" outlineLevel="0" collapsed="false">
      <c r="A714" s="65"/>
      <c r="V714" s="64"/>
    </row>
    <row r="715" customFormat="false" ht="26.25" hidden="false" customHeight="true" outlineLevel="0" collapsed="false">
      <c r="A715" s="65"/>
      <c r="V715" s="64"/>
    </row>
    <row r="716" customFormat="false" ht="26.25" hidden="false" customHeight="true" outlineLevel="0" collapsed="false">
      <c r="A716" s="65"/>
      <c r="V716" s="64"/>
    </row>
    <row r="717" customFormat="false" ht="26.25" hidden="false" customHeight="true" outlineLevel="0" collapsed="false">
      <c r="A717" s="65"/>
      <c r="V717" s="64"/>
    </row>
    <row r="718" customFormat="false" ht="26.25" hidden="false" customHeight="true" outlineLevel="0" collapsed="false">
      <c r="A718" s="65"/>
      <c r="V718" s="64"/>
    </row>
    <row r="719" customFormat="false" ht="26.25" hidden="false" customHeight="true" outlineLevel="0" collapsed="false">
      <c r="A719" s="65"/>
      <c r="V719" s="64"/>
    </row>
    <row r="720" customFormat="false" ht="26.25" hidden="false" customHeight="true" outlineLevel="0" collapsed="false">
      <c r="A720" s="65"/>
      <c r="V720" s="64"/>
    </row>
    <row r="721" customFormat="false" ht="26.25" hidden="false" customHeight="true" outlineLevel="0" collapsed="false">
      <c r="A721" s="65"/>
      <c r="V721" s="64"/>
    </row>
    <row r="722" customFormat="false" ht="26.25" hidden="false" customHeight="true" outlineLevel="0" collapsed="false">
      <c r="A722" s="65"/>
      <c r="V722" s="64"/>
    </row>
    <row r="723" customFormat="false" ht="26.25" hidden="false" customHeight="true" outlineLevel="0" collapsed="false">
      <c r="A723" s="65"/>
      <c r="V723" s="64"/>
    </row>
    <row r="724" customFormat="false" ht="26.25" hidden="false" customHeight="true" outlineLevel="0" collapsed="false">
      <c r="A724" s="65"/>
      <c r="V724" s="64"/>
    </row>
    <row r="725" customFormat="false" ht="26.25" hidden="false" customHeight="true" outlineLevel="0" collapsed="false">
      <c r="A725" s="65"/>
      <c r="V725" s="64"/>
    </row>
    <row r="726" customFormat="false" ht="26.25" hidden="false" customHeight="true" outlineLevel="0" collapsed="false">
      <c r="A726" s="65"/>
      <c r="V726" s="64"/>
    </row>
    <row r="727" customFormat="false" ht="26.25" hidden="false" customHeight="true" outlineLevel="0" collapsed="false">
      <c r="A727" s="65"/>
      <c r="V727" s="64"/>
    </row>
    <row r="728" customFormat="false" ht="26.25" hidden="false" customHeight="true" outlineLevel="0" collapsed="false">
      <c r="A728" s="65"/>
      <c r="V728" s="64"/>
    </row>
    <row r="729" customFormat="false" ht="26.25" hidden="false" customHeight="true" outlineLevel="0" collapsed="false">
      <c r="A729" s="65"/>
      <c r="V729" s="64"/>
    </row>
    <row r="730" customFormat="false" ht="26.25" hidden="false" customHeight="true" outlineLevel="0" collapsed="false">
      <c r="A730" s="65"/>
      <c r="V730" s="64"/>
    </row>
    <row r="731" customFormat="false" ht="26.25" hidden="false" customHeight="true" outlineLevel="0" collapsed="false">
      <c r="A731" s="65"/>
      <c r="V731" s="64"/>
    </row>
    <row r="732" customFormat="false" ht="26.25" hidden="false" customHeight="true" outlineLevel="0" collapsed="false">
      <c r="A732" s="65"/>
      <c r="V732" s="64"/>
    </row>
    <row r="733" customFormat="false" ht="26.25" hidden="false" customHeight="true" outlineLevel="0" collapsed="false">
      <c r="A733" s="65"/>
      <c r="V733" s="64"/>
    </row>
    <row r="734" customFormat="false" ht="26.25" hidden="false" customHeight="true" outlineLevel="0" collapsed="false">
      <c r="A734" s="65"/>
      <c r="V734" s="64"/>
    </row>
    <row r="735" customFormat="false" ht="26.25" hidden="false" customHeight="true" outlineLevel="0" collapsed="false">
      <c r="A735" s="65"/>
      <c r="V735" s="64"/>
    </row>
    <row r="736" customFormat="false" ht="26.25" hidden="false" customHeight="true" outlineLevel="0" collapsed="false">
      <c r="A736" s="65"/>
      <c r="V736" s="64"/>
    </row>
    <row r="737" customFormat="false" ht="26.25" hidden="false" customHeight="true" outlineLevel="0" collapsed="false">
      <c r="A737" s="65"/>
      <c r="V737" s="64"/>
    </row>
    <row r="738" customFormat="false" ht="26.25" hidden="false" customHeight="true" outlineLevel="0" collapsed="false">
      <c r="A738" s="65"/>
      <c r="V738" s="64"/>
    </row>
    <row r="739" customFormat="false" ht="26.25" hidden="false" customHeight="true" outlineLevel="0" collapsed="false">
      <c r="A739" s="65"/>
      <c r="V739" s="64"/>
    </row>
    <row r="740" customFormat="false" ht="26.25" hidden="false" customHeight="true" outlineLevel="0" collapsed="false">
      <c r="A740" s="65"/>
      <c r="V740" s="64"/>
    </row>
    <row r="741" customFormat="false" ht="26.25" hidden="false" customHeight="true" outlineLevel="0" collapsed="false">
      <c r="A741" s="65"/>
      <c r="V741" s="64"/>
    </row>
    <row r="742" customFormat="false" ht="26.25" hidden="false" customHeight="true" outlineLevel="0" collapsed="false">
      <c r="A742" s="65"/>
      <c r="V742" s="64"/>
    </row>
    <row r="743" customFormat="false" ht="26.25" hidden="false" customHeight="true" outlineLevel="0" collapsed="false">
      <c r="A743" s="65"/>
      <c r="V743" s="64"/>
    </row>
    <row r="744" customFormat="false" ht="26.25" hidden="false" customHeight="true" outlineLevel="0" collapsed="false">
      <c r="A744" s="65"/>
      <c r="V744" s="64"/>
    </row>
    <row r="745" customFormat="false" ht="26.25" hidden="false" customHeight="true" outlineLevel="0" collapsed="false">
      <c r="A745" s="65"/>
      <c r="V745" s="64"/>
    </row>
    <row r="746" customFormat="false" ht="26.25" hidden="false" customHeight="true" outlineLevel="0" collapsed="false">
      <c r="A746" s="65"/>
      <c r="V746" s="64"/>
    </row>
    <row r="747" customFormat="false" ht="26.25" hidden="false" customHeight="true" outlineLevel="0" collapsed="false">
      <c r="A747" s="65"/>
      <c r="V747" s="64"/>
    </row>
    <row r="748" customFormat="false" ht="26.25" hidden="false" customHeight="true" outlineLevel="0" collapsed="false">
      <c r="A748" s="65"/>
      <c r="V748" s="64"/>
    </row>
    <row r="749" customFormat="false" ht="26.25" hidden="false" customHeight="true" outlineLevel="0" collapsed="false">
      <c r="A749" s="65"/>
      <c r="V749" s="64"/>
    </row>
    <row r="750" customFormat="false" ht="26.25" hidden="false" customHeight="true" outlineLevel="0" collapsed="false">
      <c r="A750" s="65"/>
      <c r="V750" s="64"/>
    </row>
    <row r="751" customFormat="false" ht="26.25" hidden="false" customHeight="true" outlineLevel="0" collapsed="false">
      <c r="A751" s="65"/>
      <c r="V751" s="64"/>
    </row>
    <row r="752" customFormat="false" ht="26.25" hidden="false" customHeight="true" outlineLevel="0" collapsed="false">
      <c r="A752" s="65"/>
      <c r="V752" s="64"/>
    </row>
    <row r="753" customFormat="false" ht="26.25" hidden="false" customHeight="true" outlineLevel="0" collapsed="false">
      <c r="A753" s="65"/>
      <c r="V753" s="64"/>
    </row>
    <row r="754" customFormat="false" ht="26.25" hidden="false" customHeight="true" outlineLevel="0" collapsed="false">
      <c r="A754" s="65"/>
      <c r="V754" s="64"/>
    </row>
    <row r="755" customFormat="false" ht="26.25" hidden="false" customHeight="true" outlineLevel="0" collapsed="false">
      <c r="A755" s="65"/>
      <c r="V755" s="64"/>
    </row>
    <row r="756" customFormat="false" ht="26.25" hidden="false" customHeight="true" outlineLevel="0" collapsed="false">
      <c r="A756" s="65"/>
      <c r="V756" s="64"/>
    </row>
    <row r="757" customFormat="false" ht="26.25" hidden="false" customHeight="true" outlineLevel="0" collapsed="false">
      <c r="A757" s="65"/>
      <c r="V757" s="64"/>
    </row>
    <row r="758" customFormat="false" ht="26.25" hidden="false" customHeight="true" outlineLevel="0" collapsed="false">
      <c r="A758" s="65"/>
      <c r="V758" s="64"/>
    </row>
    <row r="759" customFormat="false" ht="26.25" hidden="false" customHeight="true" outlineLevel="0" collapsed="false">
      <c r="A759" s="65"/>
      <c r="V759" s="64"/>
    </row>
    <row r="760" customFormat="false" ht="26.25" hidden="false" customHeight="true" outlineLevel="0" collapsed="false">
      <c r="A760" s="65"/>
      <c r="V760" s="64"/>
    </row>
    <row r="761" customFormat="false" ht="26.25" hidden="false" customHeight="true" outlineLevel="0" collapsed="false">
      <c r="A761" s="65"/>
      <c r="V761" s="64"/>
    </row>
    <row r="762" customFormat="false" ht="26.25" hidden="false" customHeight="true" outlineLevel="0" collapsed="false">
      <c r="A762" s="65"/>
      <c r="V762" s="64"/>
    </row>
    <row r="763" customFormat="false" ht="26.25" hidden="false" customHeight="true" outlineLevel="0" collapsed="false">
      <c r="A763" s="65"/>
      <c r="V763" s="64"/>
    </row>
    <row r="764" customFormat="false" ht="26.25" hidden="false" customHeight="true" outlineLevel="0" collapsed="false">
      <c r="A764" s="65"/>
      <c r="V764" s="64"/>
    </row>
    <row r="765" customFormat="false" ht="26.25" hidden="false" customHeight="true" outlineLevel="0" collapsed="false">
      <c r="A765" s="65"/>
      <c r="V765" s="64"/>
    </row>
    <row r="766" customFormat="false" ht="26.25" hidden="false" customHeight="true" outlineLevel="0" collapsed="false">
      <c r="A766" s="65"/>
      <c r="V766" s="64"/>
    </row>
    <row r="767" customFormat="false" ht="26.25" hidden="false" customHeight="true" outlineLevel="0" collapsed="false">
      <c r="A767" s="65"/>
      <c r="V767" s="64"/>
    </row>
    <row r="768" customFormat="false" ht="26.25" hidden="false" customHeight="true" outlineLevel="0" collapsed="false">
      <c r="A768" s="65"/>
      <c r="V768" s="64"/>
    </row>
    <row r="769" customFormat="false" ht="26.25" hidden="false" customHeight="true" outlineLevel="0" collapsed="false">
      <c r="A769" s="65"/>
      <c r="V769" s="64"/>
    </row>
    <row r="770" customFormat="false" ht="26.25" hidden="false" customHeight="true" outlineLevel="0" collapsed="false">
      <c r="A770" s="65"/>
      <c r="V770" s="64"/>
    </row>
    <row r="771" customFormat="false" ht="26.25" hidden="false" customHeight="true" outlineLevel="0" collapsed="false">
      <c r="A771" s="65"/>
      <c r="V771" s="64"/>
    </row>
    <row r="772" customFormat="false" ht="26.25" hidden="false" customHeight="true" outlineLevel="0" collapsed="false">
      <c r="A772" s="65"/>
      <c r="V772" s="64"/>
    </row>
    <row r="773" customFormat="false" ht="26.25" hidden="false" customHeight="true" outlineLevel="0" collapsed="false">
      <c r="A773" s="65"/>
      <c r="V773" s="64"/>
    </row>
    <row r="774" customFormat="false" ht="26.25" hidden="false" customHeight="true" outlineLevel="0" collapsed="false">
      <c r="A774" s="65"/>
      <c r="V774" s="64"/>
    </row>
    <row r="775" customFormat="false" ht="26.25" hidden="false" customHeight="true" outlineLevel="0" collapsed="false">
      <c r="A775" s="65"/>
      <c r="V775" s="64"/>
    </row>
    <row r="776" customFormat="false" ht="26.25" hidden="false" customHeight="true" outlineLevel="0" collapsed="false">
      <c r="A776" s="65"/>
      <c r="V776" s="64"/>
    </row>
    <row r="777" customFormat="false" ht="26.25" hidden="false" customHeight="true" outlineLevel="0" collapsed="false">
      <c r="A777" s="65"/>
      <c r="V777" s="64"/>
    </row>
    <row r="778" customFormat="false" ht="26.25" hidden="false" customHeight="true" outlineLevel="0" collapsed="false">
      <c r="A778" s="65"/>
      <c r="V778" s="64"/>
    </row>
    <row r="779" customFormat="false" ht="26.25" hidden="false" customHeight="true" outlineLevel="0" collapsed="false">
      <c r="A779" s="65"/>
      <c r="V779" s="64"/>
    </row>
    <row r="780" customFormat="false" ht="26.25" hidden="false" customHeight="true" outlineLevel="0" collapsed="false">
      <c r="A780" s="65"/>
      <c r="V780" s="64"/>
    </row>
    <row r="781" customFormat="false" ht="26.25" hidden="false" customHeight="true" outlineLevel="0" collapsed="false">
      <c r="A781" s="65"/>
      <c r="V781" s="64"/>
    </row>
    <row r="782" customFormat="false" ht="26.25" hidden="false" customHeight="true" outlineLevel="0" collapsed="false">
      <c r="A782" s="65"/>
      <c r="V782" s="64"/>
    </row>
    <row r="783" customFormat="false" ht="26.25" hidden="false" customHeight="true" outlineLevel="0" collapsed="false">
      <c r="A783" s="65"/>
      <c r="V783" s="64"/>
    </row>
    <row r="784" customFormat="false" ht="26.25" hidden="false" customHeight="true" outlineLevel="0" collapsed="false">
      <c r="A784" s="65"/>
      <c r="V784" s="64"/>
    </row>
    <row r="785" customFormat="false" ht="26.25" hidden="false" customHeight="true" outlineLevel="0" collapsed="false">
      <c r="A785" s="65"/>
      <c r="V785" s="64"/>
    </row>
    <row r="786" customFormat="false" ht="26.25" hidden="false" customHeight="true" outlineLevel="0" collapsed="false">
      <c r="A786" s="65"/>
      <c r="V786" s="64"/>
    </row>
    <row r="787" customFormat="false" ht="26.25" hidden="false" customHeight="true" outlineLevel="0" collapsed="false">
      <c r="A787" s="65"/>
      <c r="V787" s="64"/>
    </row>
    <row r="788" customFormat="false" ht="26.25" hidden="false" customHeight="true" outlineLevel="0" collapsed="false">
      <c r="A788" s="65"/>
      <c r="V788" s="64"/>
    </row>
    <row r="789" customFormat="false" ht="26.25" hidden="false" customHeight="true" outlineLevel="0" collapsed="false">
      <c r="A789" s="65"/>
      <c r="V789" s="64"/>
    </row>
    <row r="790" customFormat="false" ht="26.25" hidden="false" customHeight="true" outlineLevel="0" collapsed="false">
      <c r="A790" s="65"/>
      <c r="V790" s="64"/>
    </row>
    <row r="791" customFormat="false" ht="26.25" hidden="false" customHeight="true" outlineLevel="0" collapsed="false">
      <c r="A791" s="65"/>
      <c r="V791" s="64"/>
    </row>
    <row r="792" customFormat="false" ht="26.25" hidden="false" customHeight="true" outlineLevel="0" collapsed="false">
      <c r="A792" s="65"/>
      <c r="V792" s="64"/>
    </row>
    <row r="793" customFormat="false" ht="26.25" hidden="false" customHeight="true" outlineLevel="0" collapsed="false">
      <c r="A793" s="65"/>
      <c r="V793" s="64"/>
    </row>
    <row r="794" customFormat="false" ht="26.25" hidden="false" customHeight="true" outlineLevel="0" collapsed="false">
      <c r="A794" s="65"/>
      <c r="V794" s="64"/>
    </row>
    <row r="795" customFormat="false" ht="26.25" hidden="false" customHeight="true" outlineLevel="0" collapsed="false">
      <c r="A795" s="65"/>
      <c r="V795" s="64"/>
    </row>
    <row r="796" customFormat="false" ht="26.25" hidden="false" customHeight="true" outlineLevel="0" collapsed="false">
      <c r="A796" s="65"/>
      <c r="V796" s="64"/>
    </row>
    <row r="797" customFormat="false" ht="26.25" hidden="false" customHeight="true" outlineLevel="0" collapsed="false">
      <c r="A797" s="65"/>
      <c r="V797" s="64"/>
    </row>
    <row r="798" customFormat="false" ht="26.25" hidden="false" customHeight="true" outlineLevel="0" collapsed="false">
      <c r="A798" s="65"/>
      <c r="V798" s="64"/>
    </row>
    <row r="799" customFormat="false" ht="26.25" hidden="false" customHeight="true" outlineLevel="0" collapsed="false">
      <c r="A799" s="65"/>
      <c r="V799" s="64"/>
    </row>
    <row r="800" customFormat="false" ht="26.25" hidden="false" customHeight="true" outlineLevel="0" collapsed="false">
      <c r="A800" s="65"/>
      <c r="V800" s="64"/>
    </row>
    <row r="801" customFormat="false" ht="26.25" hidden="false" customHeight="true" outlineLevel="0" collapsed="false">
      <c r="A801" s="65"/>
      <c r="V801" s="64"/>
    </row>
    <row r="802" customFormat="false" ht="26.25" hidden="false" customHeight="true" outlineLevel="0" collapsed="false">
      <c r="A802" s="65"/>
      <c r="V802" s="64"/>
    </row>
    <row r="803" customFormat="false" ht="26.25" hidden="false" customHeight="true" outlineLevel="0" collapsed="false">
      <c r="A803" s="65"/>
      <c r="V803" s="64"/>
    </row>
    <row r="804" customFormat="false" ht="26.25" hidden="false" customHeight="true" outlineLevel="0" collapsed="false">
      <c r="A804" s="65"/>
      <c r="V804" s="64"/>
    </row>
    <row r="805" customFormat="false" ht="26.25" hidden="false" customHeight="true" outlineLevel="0" collapsed="false">
      <c r="A805" s="65"/>
      <c r="V805" s="64"/>
    </row>
    <row r="806" customFormat="false" ht="26.25" hidden="false" customHeight="true" outlineLevel="0" collapsed="false">
      <c r="A806" s="65"/>
      <c r="V806" s="64"/>
    </row>
    <row r="807" customFormat="false" ht="26.25" hidden="false" customHeight="true" outlineLevel="0" collapsed="false">
      <c r="A807" s="65"/>
      <c r="V807" s="64"/>
    </row>
    <row r="808" customFormat="false" ht="26.25" hidden="false" customHeight="true" outlineLevel="0" collapsed="false">
      <c r="A808" s="65"/>
      <c r="V808" s="64"/>
    </row>
    <row r="809" customFormat="false" ht="26.25" hidden="false" customHeight="true" outlineLevel="0" collapsed="false">
      <c r="A809" s="65"/>
      <c r="V809" s="64"/>
    </row>
    <row r="810" customFormat="false" ht="26.25" hidden="false" customHeight="true" outlineLevel="0" collapsed="false">
      <c r="A810" s="65"/>
      <c r="V810" s="64"/>
    </row>
    <row r="811" customFormat="false" ht="26.25" hidden="false" customHeight="true" outlineLevel="0" collapsed="false">
      <c r="A811" s="65"/>
      <c r="V811" s="64"/>
    </row>
    <row r="812" customFormat="false" ht="26.25" hidden="false" customHeight="true" outlineLevel="0" collapsed="false">
      <c r="A812" s="65"/>
      <c r="V812" s="64"/>
    </row>
    <row r="813" customFormat="false" ht="26.25" hidden="false" customHeight="true" outlineLevel="0" collapsed="false">
      <c r="A813" s="65"/>
      <c r="V813" s="64"/>
    </row>
    <row r="814" customFormat="false" ht="26.25" hidden="false" customHeight="true" outlineLevel="0" collapsed="false">
      <c r="A814" s="65"/>
      <c r="V814" s="64"/>
    </row>
    <row r="815" customFormat="false" ht="26.25" hidden="false" customHeight="true" outlineLevel="0" collapsed="false">
      <c r="A815" s="65"/>
      <c r="V815" s="64"/>
    </row>
    <row r="816" customFormat="false" ht="26.25" hidden="false" customHeight="true" outlineLevel="0" collapsed="false">
      <c r="A816" s="65"/>
      <c r="V816" s="64"/>
    </row>
    <row r="817" customFormat="false" ht="26.25" hidden="false" customHeight="true" outlineLevel="0" collapsed="false">
      <c r="A817" s="65"/>
      <c r="V817" s="64"/>
    </row>
    <row r="818" customFormat="false" ht="26.25" hidden="false" customHeight="true" outlineLevel="0" collapsed="false">
      <c r="A818" s="65"/>
      <c r="V818" s="64"/>
    </row>
    <row r="819" customFormat="false" ht="26.25" hidden="false" customHeight="true" outlineLevel="0" collapsed="false">
      <c r="A819" s="65"/>
      <c r="V819" s="64"/>
    </row>
    <row r="820" customFormat="false" ht="26.25" hidden="false" customHeight="true" outlineLevel="0" collapsed="false">
      <c r="A820" s="65"/>
      <c r="V820" s="64"/>
    </row>
    <row r="821" customFormat="false" ht="26.25" hidden="false" customHeight="true" outlineLevel="0" collapsed="false">
      <c r="A821" s="65"/>
      <c r="V821" s="64"/>
    </row>
    <row r="822" customFormat="false" ht="26.25" hidden="false" customHeight="true" outlineLevel="0" collapsed="false">
      <c r="A822" s="65"/>
      <c r="V822" s="64"/>
    </row>
    <row r="823" customFormat="false" ht="26.25" hidden="false" customHeight="true" outlineLevel="0" collapsed="false">
      <c r="A823" s="65"/>
      <c r="V823" s="64"/>
    </row>
    <row r="824" customFormat="false" ht="26.25" hidden="false" customHeight="true" outlineLevel="0" collapsed="false">
      <c r="A824" s="65"/>
      <c r="V824" s="64"/>
    </row>
    <row r="825" customFormat="false" ht="26.25" hidden="false" customHeight="true" outlineLevel="0" collapsed="false">
      <c r="A825" s="65"/>
      <c r="V825" s="64"/>
    </row>
    <row r="826" customFormat="false" ht="26.25" hidden="false" customHeight="true" outlineLevel="0" collapsed="false">
      <c r="A826" s="65"/>
      <c r="V826" s="64"/>
    </row>
    <row r="827" customFormat="false" ht="26.25" hidden="false" customHeight="true" outlineLevel="0" collapsed="false">
      <c r="A827" s="65"/>
      <c r="V827" s="64"/>
    </row>
    <row r="828" customFormat="false" ht="26.25" hidden="false" customHeight="true" outlineLevel="0" collapsed="false">
      <c r="A828" s="65"/>
      <c r="V828" s="64"/>
    </row>
    <row r="829" customFormat="false" ht="26.25" hidden="false" customHeight="true" outlineLevel="0" collapsed="false">
      <c r="A829" s="65"/>
      <c r="V829" s="64"/>
    </row>
    <row r="830" customFormat="false" ht="26.25" hidden="false" customHeight="true" outlineLevel="0" collapsed="false">
      <c r="A830" s="65"/>
      <c r="V830" s="64"/>
    </row>
    <row r="831" customFormat="false" ht="26.25" hidden="false" customHeight="true" outlineLevel="0" collapsed="false">
      <c r="A831" s="65"/>
      <c r="V831" s="64"/>
    </row>
    <row r="832" customFormat="false" ht="26.25" hidden="false" customHeight="true" outlineLevel="0" collapsed="false">
      <c r="A832" s="65"/>
      <c r="V832" s="64"/>
    </row>
    <row r="833" customFormat="false" ht="26.25" hidden="false" customHeight="true" outlineLevel="0" collapsed="false">
      <c r="A833" s="65"/>
      <c r="V833" s="64"/>
    </row>
    <row r="834" customFormat="false" ht="26.25" hidden="false" customHeight="true" outlineLevel="0" collapsed="false">
      <c r="A834" s="65"/>
      <c r="V834" s="64"/>
    </row>
    <row r="835" customFormat="false" ht="26.25" hidden="false" customHeight="true" outlineLevel="0" collapsed="false">
      <c r="A835" s="65"/>
      <c r="V835" s="64"/>
    </row>
    <row r="836" customFormat="false" ht="26.25" hidden="false" customHeight="true" outlineLevel="0" collapsed="false">
      <c r="A836" s="65"/>
      <c r="V836" s="64"/>
    </row>
    <row r="837" customFormat="false" ht="26.25" hidden="false" customHeight="true" outlineLevel="0" collapsed="false">
      <c r="A837" s="65"/>
      <c r="V837" s="64"/>
    </row>
    <row r="838" customFormat="false" ht="26.25" hidden="false" customHeight="true" outlineLevel="0" collapsed="false">
      <c r="A838" s="65"/>
      <c r="V838" s="64"/>
    </row>
    <row r="839" customFormat="false" ht="26.25" hidden="false" customHeight="true" outlineLevel="0" collapsed="false">
      <c r="A839" s="65"/>
      <c r="V839" s="64"/>
    </row>
    <row r="840" customFormat="false" ht="26.25" hidden="false" customHeight="true" outlineLevel="0" collapsed="false">
      <c r="A840" s="65"/>
      <c r="V840" s="64"/>
    </row>
    <row r="841" customFormat="false" ht="26.25" hidden="false" customHeight="true" outlineLevel="0" collapsed="false">
      <c r="A841" s="65"/>
      <c r="V841" s="64"/>
    </row>
    <row r="842" customFormat="false" ht="26.25" hidden="false" customHeight="true" outlineLevel="0" collapsed="false">
      <c r="A842" s="65"/>
      <c r="V842" s="64"/>
    </row>
    <row r="843" customFormat="false" ht="26.25" hidden="false" customHeight="true" outlineLevel="0" collapsed="false">
      <c r="A843" s="65"/>
      <c r="V843" s="64"/>
    </row>
    <row r="844" customFormat="false" ht="26.25" hidden="false" customHeight="true" outlineLevel="0" collapsed="false">
      <c r="A844" s="65"/>
      <c r="V844" s="64"/>
    </row>
    <row r="845" customFormat="false" ht="26.25" hidden="false" customHeight="true" outlineLevel="0" collapsed="false">
      <c r="A845" s="65"/>
      <c r="V845" s="64"/>
    </row>
    <row r="846" customFormat="false" ht="26.25" hidden="false" customHeight="true" outlineLevel="0" collapsed="false">
      <c r="A846" s="65"/>
      <c r="V846" s="64"/>
    </row>
    <row r="847" customFormat="false" ht="26.25" hidden="false" customHeight="true" outlineLevel="0" collapsed="false">
      <c r="A847" s="65"/>
      <c r="V847" s="64"/>
    </row>
    <row r="848" customFormat="false" ht="26.25" hidden="false" customHeight="true" outlineLevel="0" collapsed="false">
      <c r="A848" s="65"/>
      <c r="V848" s="64"/>
    </row>
    <row r="849" customFormat="false" ht="26.25" hidden="false" customHeight="true" outlineLevel="0" collapsed="false">
      <c r="A849" s="65"/>
      <c r="V849" s="64"/>
    </row>
    <row r="850" customFormat="false" ht="26.25" hidden="false" customHeight="true" outlineLevel="0" collapsed="false">
      <c r="A850" s="65"/>
      <c r="V850" s="64"/>
    </row>
    <row r="851" customFormat="false" ht="26.25" hidden="false" customHeight="true" outlineLevel="0" collapsed="false">
      <c r="A851" s="65"/>
      <c r="V851" s="64"/>
    </row>
    <row r="852" customFormat="false" ht="26.25" hidden="false" customHeight="true" outlineLevel="0" collapsed="false">
      <c r="A852" s="65"/>
      <c r="V852" s="64"/>
    </row>
    <row r="853" customFormat="false" ht="26.25" hidden="false" customHeight="true" outlineLevel="0" collapsed="false">
      <c r="A853" s="65"/>
      <c r="V853" s="64"/>
    </row>
    <row r="854" customFormat="false" ht="26.25" hidden="false" customHeight="true" outlineLevel="0" collapsed="false">
      <c r="A854" s="65"/>
      <c r="V854" s="64"/>
    </row>
    <row r="855" customFormat="false" ht="26.25" hidden="false" customHeight="true" outlineLevel="0" collapsed="false">
      <c r="A855" s="65"/>
      <c r="V855" s="64"/>
    </row>
    <row r="856" customFormat="false" ht="26.25" hidden="false" customHeight="true" outlineLevel="0" collapsed="false">
      <c r="A856" s="65"/>
      <c r="V856" s="64"/>
    </row>
    <row r="857" customFormat="false" ht="26.25" hidden="false" customHeight="true" outlineLevel="0" collapsed="false">
      <c r="A857" s="65"/>
      <c r="V857" s="64"/>
    </row>
    <row r="858" customFormat="false" ht="26.25" hidden="false" customHeight="true" outlineLevel="0" collapsed="false">
      <c r="A858" s="65"/>
      <c r="V858" s="64"/>
    </row>
    <row r="859" customFormat="false" ht="26.25" hidden="false" customHeight="true" outlineLevel="0" collapsed="false">
      <c r="A859" s="65"/>
      <c r="V859" s="64"/>
    </row>
    <row r="860" customFormat="false" ht="26.25" hidden="false" customHeight="true" outlineLevel="0" collapsed="false">
      <c r="A860" s="65"/>
      <c r="V860" s="64"/>
    </row>
    <row r="861" customFormat="false" ht="26.25" hidden="false" customHeight="true" outlineLevel="0" collapsed="false">
      <c r="A861" s="65"/>
      <c r="V861" s="64"/>
    </row>
    <row r="862" customFormat="false" ht="26.25" hidden="false" customHeight="true" outlineLevel="0" collapsed="false">
      <c r="A862" s="65"/>
      <c r="V862" s="64"/>
    </row>
    <row r="863" customFormat="false" ht="26.25" hidden="false" customHeight="true" outlineLevel="0" collapsed="false">
      <c r="A863" s="65"/>
      <c r="V863" s="64"/>
    </row>
    <row r="864" customFormat="false" ht="26.25" hidden="false" customHeight="true" outlineLevel="0" collapsed="false">
      <c r="A864" s="65"/>
      <c r="V864" s="64"/>
    </row>
    <row r="865" customFormat="false" ht="26.25" hidden="false" customHeight="true" outlineLevel="0" collapsed="false">
      <c r="A865" s="65"/>
      <c r="V865" s="64"/>
    </row>
    <row r="866" customFormat="false" ht="26.25" hidden="false" customHeight="true" outlineLevel="0" collapsed="false">
      <c r="A866" s="65"/>
      <c r="V866" s="64"/>
    </row>
    <row r="867" customFormat="false" ht="26.25" hidden="false" customHeight="true" outlineLevel="0" collapsed="false">
      <c r="A867" s="65"/>
      <c r="V867" s="64"/>
    </row>
    <row r="868" customFormat="false" ht="26.25" hidden="false" customHeight="true" outlineLevel="0" collapsed="false">
      <c r="A868" s="65"/>
      <c r="V868" s="64"/>
    </row>
    <row r="869" customFormat="false" ht="26.25" hidden="false" customHeight="true" outlineLevel="0" collapsed="false">
      <c r="A869" s="65"/>
      <c r="V869" s="64"/>
    </row>
    <row r="870" customFormat="false" ht="26.25" hidden="false" customHeight="true" outlineLevel="0" collapsed="false">
      <c r="A870" s="65"/>
      <c r="V870" s="64"/>
    </row>
    <row r="871" customFormat="false" ht="26.25" hidden="false" customHeight="true" outlineLevel="0" collapsed="false">
      <c r="A871" s="65"/>
      <c r="V871" s="64"/>
    </row>
    <row r="872" customFormat="false" ht="26.25" hidden="false" customHeight="true" outlineLevel="0" collapsed="false">
      <c r="A872" s="65"/>
      <c r="V872" s="64"/>
    </row>
    <row r="873" customFormat="false" ht="26.25" hidden="false" customHeight="true" outlineLevel="0" collapsed="false">
      <c r="A873" s="65"/>
      <c r="V873" s="64"/>
    </row>
    <row r="874" customFormat="false" ht="26.25" hidden="false" customHeight="true" outlineLevel="0" collapsed="false">
      <c r="A874" s="65"/>
      <c r="V874" s="64"/>
    </row>
    <row r="875" customFormat="false" ht="26.25" hidden="false" customHeight="true" outlineLevel="0" collapsed="false">
      <c r="A875" s="65"/>
      <c r="V875" s="64"/>
    </row>
    <row r="876" customFormat="false" ht="26.25" hidden="false" customHeight="true" outlineLevel="0" collapsed="false">
      <c r="A876" s="65"/>
      <c r="V876" s="64"/>
    </row>
    <row r="877" customFormat="false" ht="26.25" hidden="false" customHeight="true" outlineLevel="0" collapsed="false">
      <c r="A877" s="65"/>
      <c r="V877" s="64"/>
    </row>
    <row r="878" customFormat="false" ht="26.25" hidden="false" customHeight="true" outlineLevel="0" collapsed="false">
      <c r="A878" s="65"/>
      <c r="V878" s="64"/>
    </row>
    <row r="879" customFormat="false" ht="26.25" hidden="false" customHeight="true" outlineLevel="0" collapsed="false">
      <c r="A879" s="65"/>
      <c r="V879" s="64"/>
    </row>
    <row r="880" customFormat="false" ht="26.25" hidden="false" customHeight="true" outlineLevel="0" collapsed="false">
      <c r="A880" s="65"/>
      <c r="V880" s="64"/>
    </row>
    <row r="881" customFormat="false" ht="26.25" hidden="false" customHeight="true" outlineLevel="0" collapsed="false">
      <c r="A881" s="65"/>
      <c r="V881" s="64"/>
    </row>
    <row r="882" customFormat="false" ht="26.25" hidden="false" customHeight="true" outlineLevel="0" collapsed="false">
      <c r="A882" s="65"/>
      <c r="V882" s="64"/>
    </row>
    <row r="883" customFormat="false" ht="26.25" hidden="false" customHeight="true" outlineLevel="0" collapsed="false">
      <c r="A883" s="65"/>
      <c r="V883" s="64"/>
    </row>
    <row r="884" customFormat="false" ht="26.25" hidden="false" customHeight="true" outlineLevel="0" collapsed="false">
      <c r="A884" s="65"/>
      <c r="V884" s="64"/>
    </row>
    <row r="885" customFormat="false" ht="26.25" hidden="false" customHeight="true" outlineLevel="0" collapsed="false">
      <c r="A885" s="65"/>
      <c r="V885" s="64"/>
    </row>
    <row r="886" customFormat="false" ht="26.25" hidden="false" customHeight="true" outlineLevel="0" collapsed="false">
      <c r="A886" s="65"/>
      <c r="V886" s="64"/>
    </row>
    <row r="887" customFormat="false" ht="26.25" hidden="false" customHeight="true" outlineLevel="0" collapsed="false">
      <c r="A887" s="65"/>
      <c r="V887" s="64"/>
    </row>
    <row r="888" customFormat="false" ht="26.25" hidden="false" customHeight="true" outlineLevel="0" collapsed="false">
      <c r="A888" s="65"/>
      <c r="V888" s="64"/>
    </row>
    <row r="889" customFormat="false" ht="26.25" hidden="false" customHeight="true" outlineLevel="0" collapsed="false">
      <c r="A889" s="65"/>
      <c r="V889" s="64"/>
    </row>
    <row r="890" customFormat="false" ht="26.25" hidden="false" customHeight="true" outlineLevel="0" collapsed="false">
      <c r="A890" s="65"/>
      <c r="V890" s="64"/>
    </row>
    <row r="891" customFormat="false" ht="26.25" hidden="false" customHeight="true" outlineLevel="0" collapsed="false">
      <c r="A891" s="65"/>
      <c r="V891" s="64"/>
    </row>
    <row r="892" customFormat="false" ht="26.25" hidden="false" customHeight="true" outlineLevel="0" collapsed="false">
      <c r="A892" s="65"/>
      <c r="V892" s="64"/>
    </row>
    <row r="893" customFormat="false" ht="26.25" hidden="false" customHeight="true" outlineLevel="0" collapsed="false">
      <c r="A893" s="65"/>
      <c r="V893" s="64"/>
    </row>
    <row r="894" customFormat="false" ht="26.25" hidden="false" customHeight="true" outlineLevel="0" collapsed="false">
      <c r="A894" s="65"/>
      <c r="V894" s="64"/>
    </row>
    <row r="895" customFormat="false" ht="26.25" hidden="false" customHeight="true" outlineLevel="0" collapsed="false">
      <c r="A895" s="65"/>
      <c r="V895" s="64"/>
    </row>
    <row r="896" customFormat="false" ht="26.25" hidden="false" customHeight="true" outlineLevel="0" collapsed="false">
      <c r="A896" s="65"/>
      <c r="V896" s="64"/>
    </row>
    <row r="897" customFormat="false" ht="26.25" hidden="false" customHeight="true" outlineLevel="0" collapsed="false">
      <c r="A897" s="65"/>
      <c r="V897" s="64"/>
    </row>
    <row r="898" customFormat="false" ht="26.25" hidden="false" customHeight="true" outlineLevel="0" collapsed="false">
      <c r="A898" s="65"/>
      <c r="V898" s="64"/>
    </row>
    <row r="899" customFormat="false" ht="26.25" hidden="false" customHeight="true" outlineLevel="0" collapsed="false">
      <c r="A899" s="65"/>
      <c r="V899" s="64"/>
    </row>
    <row r="900" customFormat="false" ht="26.25" hidden="false" customHeight="true" outlineLevel="0" collapsed="false">
      <c r="A900" s="65"/>
      <c r="V900" s="64"/>
    </row>
    <row r="901" customFormat="false" ht="26.25" hidden="false" customHeight="true" outlineLevel="0" collapsed="false">
      <c r="A901" s="65"/>
      <c r="V901" s="64"/>
    </row>
    <row r="902" customFormat="false" ht="26.25" hidden="false" customHeight="true" outlineLevel="0" collapsed="false">
      <c r="A902" s="65"/>
      <c r="V902" s="64"/>
    </row>
    <row r="903" customFormat="false" ht="26.25" hidden="false" customHeight="true" outlineLevel="0" collapsed="false">
      <c r="A903" s="65"/>
      <c r="V903" s="64"/>
    </row>
    <row r="904" customFormat="false" ht="26.25" hidden="false" customHeight="true" outlineLevel="0" collapsed="false">
      <c r="A904" s="65"/>
      <c r="V904" s="64"/>
    </row>
    <row r="905" customFormat="false" ht="26.25" hidden="false" customHeight="true" outlineLevel="0" collapsed="false">
      <c r="A905" s="65"/>
      <c r="V905" s="64"/>
    </row>
    <row r="906" customFormat="false" ht="26.25" hidden="false" customHeight="true" outlineLevel="0" collapsed="false">
      <c r="A906" s="65"/>
      <c r="V906" s="64"/>
    </row>
    <row r="907" customFormat="false" ht="26.25" hidden="false" customHeight="true" outlineLevel="0" collapsed="false">
      <c r="A907" s="65"/>
      <c r="V907" s="64"/>
    </row>
    <row r="908" customFormat="false" ht="26.25" hidden="false" customHeight="true" outlineLevel="0" collapsed="false">
      <c r="A908" s="65"/>
      <c r="V908" s="64"/>
    </row>
    <row r="909" customFormat="false" ht="26.25" hidden="false" customHeight="true" outlineLevel="0" collapsed="false">
      <c r="A909" s="65"/>
      <c r="V909" s="64"/>
    </row>
    <row r="910" customFormat="false" ht="26.25" hidden="false" customHeight="true" outlineLevel="0" collapsed="false">
      <c r="A910" s="65"/>
      <c r="V910" s="64"/>
    </row>
    <row r="911" customFormat="false" ht="26.25" hidden="false" customHeight="true" outlineLevel="0" collapsed="false">
      <c r="A911" s="65"/>
      <c r="V911" s="64"/>
    </row>
    <row r="912" customFormat="false" ht="26.25" hidden="false" customHeight="true" outlineLevel="0" collapsed="false">
      <c r="A912" s="65"/>
      <c r="V912" s="64"/>
    </row>
    <row r="913" customFormat="false" ht="26.25" hidden="false" customHeight="true" outlineLevel="0" collapsed="false">
      <c r="A913" s="65"/>
      <c r="V913" s="64"/>
    </row>
    <row r="914" customFormat="false" ht="26.25" hidden="false" customHeight="true" outlineLevel="0" collapsed="false">
      <c r="A914" s="65"/>
      <c r="V914" s="64"/>
    </row>
    <row r="915" customFormat="false" ht="26.25" hidden="false" customHeight="true" outlineLevel="0" collapsed="false">
      <c r="A915" s="65"/>
      <c r="V915" s="64"/>
    </row>
    <row r="916" customFormat="false" ht="26.25" hidden="false" customHeight="true" outlineLevel="0" collapsed="false">
      <c r="A916" s="65"/>
      <c r="V916" s="64"/>
    </row>
    <row r="917" customFormat="false" ht="26.25" hidden="false" customHeight="true" outlineLevel="0" collapsed="false">
      <c r="A917" s="65"/>
      <c r="V917" s="64"/>
    </row>
    <row r="918" customFormat="false" ht="26.25" hidden="false" customHeight="true" outlineLevel="0" collapsed="false">
      <c r="A918" s="65"/>
      <c r="V918" s="64"/>
    </row>
    <row r="919" customFormat="false" ht="26.25" hidden="false" customHeight="true" outlineLevel="0" collapsed="false">
      <c r="A919" s="65"/>
      <c r="V919" s="64"/>
    </row>
    <row r="920" customFormat="false" ht="26.25" hidden="false" customHeight="true" outlineLevel="0" collapsed="false">
      <c r="A920" s="65"/>
      <c r="V920" s="64"/>
    </row>
    <row r="921" customFormat="false" ht="26.25" hidden="false" customHeight="true" outlineLevel="0" collapsed="false">
      <c r="A921" s="65"/>
      <c r="V921" s="64"/>
    </row>
    <row r="922" customFormat="false" ht="26.25" hidden="false" customHeight="true" outlineLevel="0" collapsed="false">
      <c r="A922" s="65"/>
      <c r="V922" s="64"/>
    </row>
    <row r="923" customFormat="false" ht="26.25" hidden="false" customHeight="true" outlineLevel="0" collapsed="false">
      <c r="A923" s="65"/>
      <c r="V923" s="64"/>
    </row>
    <row r="924" customFormat="false" ht="26.25" hidden="false" customHeight="true" outlineLevel="0" collapsed="false">
      <c r="A924" s="65"/>
      <c r="V924" s="64"/>
    </row>
    <row r="925" customFormat="false" ht="26.25" hidden="false" customHeight="true" outlineLevel="0" collapsed="false">
      <c r="A925" s="65"/>
      <c r="V925" s="64"/>
    </row>
    <row r="926" customFormat="false" ht="26.25" hidden="false" customHeight="true" outlineLevel="0" collapsed="false">
      <c r="A926" s="65"/>
      <c r="V926" s="64"/>
    </row>
    <row r="927" customFormat="false" ht="26.25" hidden="false" customHeight="true" outlineLevel="0" collapsed="false">
      <c r="A927" s="65"/>
      <c r="V927" s="64"/>
    </row>
    <row r="928" customFormat="false" ht="26.25" hidden="false" customHeight="true" outlineLevel="0" collapsed="false">
      <c r="A928" s="65"/>
      <c r="V928" s="64"/>
    </row>
    <row r="929" customFormat="false" ht="26.25" hidden="false" customHeight="true" outlineLevel="0" collapsed="false">
      <c r="A929" s="65"/>
      <c r="V929" s="64"/>
    </row>
    <row r="930" customFormat="false" ht="26.25" hidden="false" customHeight="true" outlineLevel="0" collapsed="false">
      <c r="A930" s="65"/>
      <c r="V930" s="64"/>
    </row>
    <row r="931" customFormat="false" ht="26.25" hidden="false" customHeight="true" outlineLevel="0" collapsed="false">
      <c r="A931" s="65"/>
      <c r="V931" s="64"/>
    </row>
    <row r="932" customFormat="false" ht="26.25" hidden="false" customHeight="true" outlineLevel="0" collapsed="false">
      <c r="A932" s="65"/>
      <c r="V932" s="64"/>
    </row>
    <row r="933" customFormat="false" ht="26.25" hidden="false" customHeight="true" outlineLevel="0" collapsed="false">
      <c r="A933" s="65"/>
      <c r="V933" s="64"/>
    </row>
    <row r="934" customFormat="false" ht="26.25" hidden="false" customHeight="true" outlineLevel="0" collapsed="false">
      <c r="A934" s="65"/>
      <c r="V934" s="64"/>
    </row>
    <row r="935" customFormat="false" ht="26.25" hidden="false" customHeight="true" outlineLevel="0" collapsed="false">
      <c r="A935" s="65"/>
      <c r="V935" s="64"/>
    </row>
    <row r="936" customFormat="false" ht="26.25" hidden="false" customHeight="true" outlineLevel="0" collapsed="false">
      <c r="A936" s="65"/>
      <c r="V936" s="64"/>
    </row>
    <row r="937" customFormat="false" ht="26.25" hidden="false" customHeight="true" outlineLevel="0" collapsed="false">
      <c r="A937" s="65"/>
      <c r="V937" s="64"/>
    </row>
    <row r="938" customFormat="false" ht="26.25" hidden="false" customHeight="true" outlineLevel="0" collapsed="false">
      <c r="A938" s="65"/>
      <c r="V938" s="64"/>
    </row>
    <row r="939" customFormat="false" ht="26.25" hidden="false" customHeight="true" outlineLevel="0" collapsed="false">
      <c r="A939" s="65"/>
      <c r="V939" s="64"/>
    </row>
    <row r="940" customFormat="false" ht="26.25" hidden="false" customHeight="true" outlineLevel="0" collapsed="false">
      <c r="A940" s="65"/>
      <c r="V940" s="64"/>
    </row>
    <row r="941" customFormat="false" ht="26.25" hidden="false" customHeight="true" outlineLevel="0" collapsed="false">
      <c r="A941" s="65"/>
      <c r="V941" s="64"/>
    </row>
    <row r="942" customFormat="false" ht="26.25" hidden="false" customHeight="true" outlineLevel="0" collapsed="false">
      <c r="A942" s="65"/>
      <c r="V942" s="64"/>
    </row>
    <row r="943" customFormat="false" ht="26.25" hidden="false" customHeight="true" outlineLevel="0" collapsed="false">
      <c r="A943" s="65"/>
      <c r="V943" s="64"/>
    </row>
    <row r="944" customFormat="false" ht="26.25" hidden="false" customHeight="true" outlineLevel="0" collapsed="false">
      <c r="A944" s="65"/>
      <c r="V944" s="64"/>
    </row>
    <row r="945" customFormat="false" ht="26.25" hidden="false" customHeight="true" outlineLevel="0" collapsed="false">
      <c r="A945" s="65"/>
      <c r="V945" s="64"/>
    </row>
    <row r="946" customFormat="false" ht="26.25" hidden="false" customHeight="true" outlineLevel="0" collapsed="false">
      <c r="A946" s="65"/>
      <c r="V946" s="64"/>
    </row>
    <row r="947" customFormat="false" ht="26.25" hidden="false" customHeight="true" outlineLevel="0" collapsed="false">
      <c r="A947" s="65"/>
      <c r="V947" s="64"/>
    </row>
    <row r="948" customFormat="false" ht="26.25" hidden="false" customHeight="true" outlineLevel="0" collapsed="false">
      <c r="A948" s="65"/>
      <c r="V948" s="64"/>
    </row>
    <row r="949" customFormat="false" ht="26.25" hidden="false" customHeight="true" outlineLevel="0" collapsed="false">
      <c r="A949" s="65"/>
      <c r="V949" s="64"/>
    </row>
    <row r="950" customFormat="false" ht="26.25" hidden="false" customHeight="true" outlineLevel="0" collapsed="false">
      <c r="A950" s="65"/>
      <c r="V950" s="64"/>
    </row>
    <row r="951" customFormat="false" ht="26.25" hidden="false" customHeight="true" outlineLevel="0" collapsed="false">
      <c r="A951" s="65"/>
      <c r="V951" s="64"/>
    </row>
    <row r="952" customFormat="false" ht="26.25" hidden="false" customHeight="true" outlineLevel="0" collapsed="false">
      <c r="A952" s="65"/>
      <c r="V952" s="64"/>
    </row>
    <row r="953" customFormat="false" ht="26.25" hidden="false" customHeight="true" outlineLevel="0" collapsed="false">
      <c r="A953" s="65"/>
      <c r="V953" s="64"/>
    </row>
    <row r="954" customFormat="false" ht="26.25" hidden="false" customHeight="true" outlineLevel="0" collapsed="false">
      <c r="A954" s="65"/>
      <c r="V954" s="64"/>
    </row>
    <row r="955" customFormat="false" ht="26.25" hidden="false" customHeight="true" outlineLevel="0" collapsed="false">
      <c r="A955" s="65"/>
      <c r="V955" s="64"/>
    </row>
    <row r="956" customFormat="false" ht="26.25" hidden="false" customHeight="true" outlineLevel="0" collapsed="false">
      <c r="A956" s="65"/>
      <c r="V956" s="64"/>
    </row>
    <row r="957" customFormat="false" ht="26.25" hidden="false" customHeight="true" outlineLevel="0" collapsed="false">
      <c r="A957" s="65"/>
      <c r="V957" s="64"/>
    </row>
    <row r="958" customFormat="false" ht="26.25" hidden="false" customHeight="true" outlineLevel="0" collapsed="false">
      <c r="A958" s="65"/>
      <c r="V958" s="64"/>
    </row>
    <row r="959" customFormat="false" ht="26.25" hidden="false" customHeight="true" outlineLevel="0" collapsed="false">
      <c r="A959" s="65"/>
      <c r="V959" s="64"/>
    </row>
    <row r="960" customFormat="false" ht="26.25" hidden="false" customHeight="true" outlineLevel="0" collapsed="false">
      <c r="A960" s="65"/>
      <c r="V960" s="64"/>
    </row>
    <row r="961" customFormat="false" ht="26.25" hidden="false" customHeight="true" outlineLevel="0" collapsed="false">
      <c r="A961" s="65"/>
      <c r="V961" s="64"/>
    </row>
    <row r="962" customFormat="false" ht="26.25" hidden="false" customHeight="true" outlineLevel="0" collapsed="false">
      <c r="A962" s="65"/>
      <c r="V962" s="64"/>
    </row>
    <row r="963" customFormat="false" ht="26.25" hidden="false" customHeight="true" outlineLevel="0" collapsed="false">
      <c r="A963" s="65"/>
      <c r="V963" s="64"/>
    </row>
    <row r="964" customFormat="false" ht="26.25" hidden="false" customHeight="true" outlineLevel="0" collapsed="false">
      <c r="A964" s="65"/>
      <c r="V964" s="64"/>
    </row>
    <row r="965" customFormat="false" ht="26.25" hidden="false" customHeight="true" outlineLevel="0" collapsed="false">
      <c r="A965" s="65"/>
      <c r="V965" s="64"/>
    </row>
    <row r="966" customFormat="false" ht="26.25" hidden="false" customHeight="true" outlineLevel="0" collapsed="false">
      <c r="A966" s="65"/>
      <c r="V966" s="64"/>
    </row>
    <row r="967" customFormat="false" ht="26.25" hidden="false" customHeight="true" outlineLevel="0" collapsed="false">
      <c r="A967" s="65"/>
      <c r="V967" s="64"/>
    </row>
    <row r="968" customFormat="false" ht="26.25" hidden="false" customHeight="true" outlineLevel="0" collapsed="false">
      <c r="A968" s="65"/>
      <c r="V968" s="64"/>
    </row>
    <row r="969" customFormat="false" ht="26.25" hidden="false" customHeight="true" outlineLevel="0" collapsed="false">
      <c r="A969" s="65"/>
      <c r="V969" s="64"/>
    </row>
    <row r="970" customFormat="false" ht="26.25" hidden="false" customHeight="true" outlineLevel="0" collapsed="false">
      <c r="A970" s="65"/>
      <c r="V970" s="64"/>
    </row>
    <row r="971" customFormat="false" ht="26.25" hidden="false" customHeight="true" outlineLevel="0" collapsed="false">
      <c r="A971" s="65"/>
      <c r="V971" s="64"/>
    </row>
    <row r="972" customFormat="false" ht="26.25" hidden="false" customHeight="true" outlineLevel="0" collapsed="false">
      <c r="A972" s="65"/>
      <c r="V972" s="64"/>
    </row>
    <row r="973" customFormat="false" ht="26.25" hidden="false" customHeight="true" outlineLevel="0" collapsed="false">
      <c r="A973" s="65"/>
      <c r="V973" s="64"/>
    </row>
    <row r="974" customFormat="false" ht="26.25" hidden="false" customHeight="true" outlineLevel="0" collapsed="false">
      <c r="A974" s="65"/>
      <c r="V974" s="64"/>
    </row>
    <row r="975" customFormat="false" ht="26.25" hidden="false" customHeight="true" outlineLevel="0" collapsed="false">
      <c r="A975" s="65"/>
      <c r="V975" s="64"/>
    </row>
    <row r="976" customFormat="false" ht="26.25" hidden="false" customHeight="true" outlineLevel="0" collapsed="false">
      <c r="A976" s="65"/>
      <c r="V976" s="64"/>
    </row>
    <row r="977" customFormat="false" ht="26.25" hidden="false" customHeight="true" outlineLevel="0" collapsed="false">
      <c r="A977" s="65"/>
      <c r="V977" s="64"/>
    </row>
    <row r="978" customFormat="false" ht="26.25" hidden="false" customHeight="true" outlineLevel="0" collapsed="false">
      <c r="A978" s="65"/>
      <c r="V978" s="64"/>
    </row>
    <row r="979" customFormat="false" ht="26.25" hidden="false" customHeight="true" outlineLevel="0" collapsed="false">
      <c r="A979" s="65"/>
      <c r="V979" s="64"/>
    </row>
    <row r="980" customFormat="false" ht="26.25" hidden="false" customHeight="true" outlineLevel="0" collapsed="false">
      <c r="A980" s="65"/>
      <c r="V980" s="64"/>
    </row>
    <row r="981" customFormat="false" ht="26.25" hidden="false" customHeight="true" outlineLevel="0" collapsed="false">
      <c r="A981" s="65"/>
      <c r="V981" s="64"/>
    </row>
    <row r="982" customFormat="false" ht="26.25" hidden="false" customHeight="true" outlineLevel="0" collapsed="false">
      <c r="A982" s="65"/>
      <c r="V982" s="64"/>
    </row>
    <row r="983" customFormat="false" ht="26.25" hidden="false" customHeight="true" outlineLevel="0" collapsed="false">
      <c r="A983" s="65"/>
      <c r="V983" s="64"/>
    </row>
    <row r="984" customFormat="false" ht="26.25" hidden="false" customHeight="true" outlineLevel="0" collapsed="false">
      <c r="A984" s="65"/>
      <c r="V984" s="64"/>
    </row>
    <row r="985" customFormat="false" ht="26.25" hidden="false" customHeight="true" outlineLevel="0" collapsed="false">
      <c r="A985" s="65"/>
      <c r="V985" s="64"/>
    </row>
    <row r="986" customFormat="false" ht="26.25" hidden="false" customHeight="true" outlineLevel="0" collapsed="false">
      <c r="A986" s="65"/>
      <c r="V986" s="64"/>
    </row>
    <row r="987" customFormat="false" ht="26.25" hidden="false" customHeight="true" outlineLevel="0" collapsed="false">
      <c r="A987" s="65"/>
      <c r="V987" s="64"/>
    </row>
    <row r="988" customFormat="false" ht="26.25" hidden="false" customHeight="true" outlineLevel="0" collapsed="false">
      <c r="A988" s="65"/>
      <c r="V988" s="64"/>
    </row>
    <row r="989" customFormat="false" ht="26.25" hidden="false" customHeight="true" outlineLevel="0" collapsed="false">
      <c r="A989" s="65"/>
      <c r="V989" s="64"/>
    </row>
    <row r="990" customFormat="false" ht="26.25" hidden="false" customHeight="true" outlineLevel="0" collapsed="false">
      <c r="A990" s="65"/>
      <c r="V990" s="64"/>
    </row>
    <row r="991" customFormat="false" ht="26.25" hidden="false" customHeight="true" outlineLevel="0" collapsed="false">
      <c r="A991" s="65"/>
      <c r="V991" s="64"/>
    </row>
    <row r="992" customFormat="false" ht="26.25" hidden="false" customHeight="true" outlineLevel="0" collapsed="false">
      <c r="A992" s="65"/>
      <c r="V992" s="64"/>
    </row>
    <row r="993" customFormat="false" ht="26.25" hidden="false" customHeight="true" outlineLevel="0" collapsed="false">
      <c r="A993" s="65"/>
      <c r="V993" s="64"/>
    </row>
    <row r="994" customFormat="false" ht="26.25" hidden="false" customHeight="true" outlineLevel="0" collapsed="false">
      <c r="A994" s="65"/>
      <c r="V994" s="64"/>
    </row>
    <row r="995" customFormat="false" ht="26.25" hidden="false" customHeight="true" outlineLevel="0" collapsed="false">
      <c r="A995" s="65"/>
      <c r="V995" s="64"/>
    </row>
    <row r="996" customFormat="false" ht="26.25" hidden="false" customHeight="true" outlineLevel="0" collapsed="false">
      <c r="A996" s="65"/>
      <c r="V996" s="64"/>
    </row>
    <row r="997" customFormat="false" ht="26.25" hidden="false" customHeight="true" outlineLevel="0" collapsed="false">
      <c r="A997" s="65"/>
      <c r="V997" s="64"/>
    </row>
    <row r="998" customFormat="false" ht="26.25" hidden="false" customHeight="true" outlineLevel="0" collapsed="false">
      <c r="A998" s="65"/>
      <c r="V998" s="64"/>
    </row>
    <row r="999" customFormat="false" ht="26.25" hidden="false" customHeight="true" outlineLevel="0" collapsed="false">
      <c r="A999" s="65"/>
      <c r="V999" s="64"/>
    </row>
    <row r="1000" customFormat="false" ht="26.25" hidden="false" customHeight="true" outlineLevel="0" collapsed="false">
      <c r="A1000" s="65"/>
      <c r="V1000" s="64"/>
    </row>
  </sheetData>
  <mergeCells count="1">
    <mergeCell ref="A1:A29"/>
  </mergeCells>
  <conditionalFormatting sqref="F2:O12 F13:K14 L13:N15 O13:O14">
    <cfRule type="cellIs" priority="2" operator="equal" aboveAverage="0" equalAverage="0" bottom="0" percent="0" rank="0" text="" dxfId="15">
      <formula>"P"</formula>
    </cfRule>
    <cfRule type="cellIs" priority="3" operator="equal" aboveAverage="0" equalAverage="0" bottom="0" percent="0" rank="0" text="" dxfId="16">
      <formula>"A"</formula>
    </cfRule>
  </conditionalFormatting>
  <conditionalFormatting sqref="V2:V1000 R1:R14">
    <cfRule type="colorScale" priority="4">
      <colorScale>
        <cfvo type="percent" val="0"/>
        <cfvo type="percent" val="50"/>
        <cfvo type="percent" val="100"/>
        <color rgb="FFCC0000"/>
        <color rgb="FFFFF2CC"/>
        <color rgb="FF57BB8A"/>
      </colorScale>
    </cfRule>
  </conditionalFormatting>
  <conditionalFormatting sqref="P2:P14">
    <cfRule type="expression" priority="5" aboveAverage="0" equalAverage="0" bottom="0" percent="0" rank="0" text="" dxfId="17">
      <formula>LEN(TRIM(O2))&gt;0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00"/>
  <sheetViews>
    <sheetView showFormulas="false" showGridLines="true" showRowColHeaders="true" showZeros="true" rightToLeft="false" tabSelected="false" showOutlineSymbols="true" defaultGridColor="true" view="normal" topLeftCell="A1" colorId="64" zoomScale="77" zoomScaleNormal="77" zoomScalePageLayoutView="100" workbookViewId="0">
      <selection pane="topLeft" activeCell="S14" activeCellId="0" sqref="S14"/>
    </sheetView>
  </sheetViews>
  <sheetFormatPr defaultColWidth="12.63671875" defaultRowHeight="15" zeroHeight="false" outlineLevelRow="0" outlineLevelCol="0"/>
  <cols>
    <col collapsed="false" customWidth="true" hidden="false" outlineLevel="0" max="1" min="1" style="0" width="5.13"/>
    <col collapsed="false" customWidth="true" hidden="false" outlineLevel="0" max="2" min="2" style="0" width="11.71"/>
    <col collapsed="false" customWidth="true" hidden="false" outlineLevel="0" max="3" min="3" style="0" width="15.31"/>
    <col collapsed="false" customWidth="true" hidden="false" outlineLevel="0" max="4" min="4" style="0" width="24"/>
    <col collapsed="false" customWidth="true" hidden="false" outlineLevel="0" max="5" min="5" style="0" width="13.41"/>
    <col collapsed="false" customWidth="true" hidden="false" outlineLevel="0" max="6" min="6" style="0" width="11.15"/>
    <col collapsed="false" customWidth="true" hidden="false" outlineLevel="0" max="8" min="7" style="0" width="10.2"/>
    <col collapsed="false" customWidth="true" hidden="false" outlineLevel="0" max="9" min="9" style="0" width="12.47"/>
    <col collapsed="false" customWidth="true" hidden="false" outlineLevel="0" max="10" min="10" style="0" width="12.28"/>
    <col collapsed="false" customWidth="true" hidden="false" outlineLevel="0" max="11" min="11" style="0" width="10.38"/>
    <col collapsed="false" customWidth="true" hidden="false" outlineLevel="0" max="12" min="12" style="0" width="9.63"/>
    <col collapsed="false" customWidth="true" hidden="false" outlineLevel="0" max="13" min="13" style="0" width="10.58"/>
    <col collapsed="false" customWidth="true" hidden="false" outlineLevel="0" max="14" min="14" style="0" width="11.34"/>
    <col collapsed="false" customWidth="true" hidden="false" outlineLevel="0" max="15" min="15" style="0" width="11.52"/>
    <col collapsed="false" customWidth="true" hidden="false" outlineLevel="0" max="16" min="16" style="0" width="15.87"/>
    <col collapsed="false" customWidth="true" hidden="false" outlineLevel="0" max="17" min="17" style="0" width="18.14"/>
    <col collapsed="false" customWidth="true" hidden="false" outlineLevel="0" max="18" min="18" style="0" width="26.08"/>
    <col collapsed="false" customWidth="true" hidden="false" outlineLevel="0" max="19" min="19" style="0" width="10"/>
    <col collapsed="false" customWidth="true" hidden="false" outlineLevel="0" max="20" min="20" style="0" width="12.38"/>
    <col collapsed="false" customWidth="true" hidden="false" outlineLevel="0" max="29" min="21" style="0" width="15.63"/>
  </cols>
  <sheetData>
    <row r="1" customFormat="false" ht="103.5" hidden="false" customHeight="true" outlineLevel="0" collapsed="false">
      <c r="A1" s="66" t="s">
        <v>12</v>
      </c>
      <c r="B1" s="67" t="s">
        <v>0</v>
      </c>
      <c r="C1" s="67" t="s">
        <v>1</v>
      </c>
      <c r="D1" s="67" t="s">
        <v>2</v>
      </c>
      <c r="E1" s="68" t="s">
        <v>3</v>
      </c>
      <c r="F1" s="69" t="s">
        <v>111</v>
      </c>
      <c r="G1" s="70" t="s">
        <v>112</v>
      </c>
      <c r="H1" s="70" t="s">
        <v>113</v>
      </c>
      <c r="I1" s="70" t="s">
        <v>114</v>
      </c>
      <c r="J1" s="71" t="s">
        <v>115</v>
      </c>
      <c r="K1" s="69" t="s">
        <v>116</v>
      </c>
      <c r="L1" s="70" t="s">
        <v>117</v>
      </c>
      <c r="M1" s="70" t="s">
        <v>118</v>
      </c>
      <c r="N1" s="70" t="s">
        <v>119</v>
      </c>
      <c r="O1" s="71" t="s">
        <v>120</v>
      </c>
      <c r="P1" s="72" t="s">
        <v>121</v>
      </c>
      <c r="Q1" s="72" t="s">
        <v>122</v>
      </c>
      <c r="R1" s="73" t="s">
        <v>123</v>
      </c>
      <c r="S1" s="74" t="s">
        <v>92</v>
      </c>
      <c r="T1" s="74" t="s">
        <v>93</v>
      </c>
      <c r="U1" s="74" t="s">
        <v>124</v>
      </c>
      <c r="V1" s="75"/>
      <c r="W1" s="75"/>
    </row>
    <row r="2" customFormat="false" ht="26.25" hidden="false" customHeight="true" outlineLevel="0" collapsed="false">
      <c r="A2" s="66"/>
      <c r="B2" s="76" t="str">
        <f aca="false" t="array" ref="B2:E16">_xlfn._xlws.FILTER(StudendEnroll!A2:D44,StudendEnroll!D2:D44=$A$1)</f>
        <v>Elvis</v>
      </c>
      <c r="C2" s="76" t="str">
        <v>Bond</v>
      </c>
      <c r="D2" s="76" t="str">
        <v>Elvison@gmail.com</v>
      </c>
      <c r="E2" s="76" t="str">
        <v>Maths1</v>
      </c>
      <c r="F2" s="77" t="s">
        <v>125</v>
      </c>
      <c r="G2" s="76" t="s">
        <v>125</v>
      </c>
      <c r="H2" s="76" t="s">
        <v>125</v>
      </c>
      <c r="I2" s="76" t="s">
        <v>125</v>
      </c>
      <c r="J2" s="78" t="s">
        <v>125</v>
      </c>
      <c r="K2" s="77" t="s">
        <v>125</v>
      </c>
      <c r="L2" s="76" t="s">
        <v>125</v>
      </c>
      <c r="M2" s="76" t="s">
        <v>125</v>
      </c>
      <c r="N2" s="76" t="s">
        <v>125</v>
      </c>
      <c r="O2" s="79" t="s">
        <v>126</v>
      </c>
      <c r="P2" s="80" t="n">
        <f aca="false">COUNTIF(F2:J2,"P")/COUNTA(F2:J2)</f>
        <v>1</v>
      </c>
      <c r="Q2" s="80" t="n">
        <f aca="false">COUNTIF(K2:O2,"P")/COUNTA(K2:O2)</f>
        <v>0.8</v>
      </c>
      <c r="R2" s="81" t="n">
        <f aca="false">SUM(P2:Q2)/2</f>
        <v>0.9</v>
      </c>
      <c r="S2" s="76" t="n">
        <v>96</v>
      </c>
      <c r="T2" s="76" t="n">
        <v>88</v>
      </c>
      <c r="U2" s="76" t="s">
        <v>127</v>
      </c>
      <c r="V2" s="75"/>
      <c r="W2" s="75"/>
    </row>
    <row r="3" customFormat="false" ht="26.25" hidden="false" customHeight="true" outlineLevel="0" collapsed="false">
      <c r="A3" s="66"/>
      <c r="B3" s="76" t="str">
        <v>Mary</v>
      </c>
      <c r="C3" s="76" t="str">
        <v>Gas</v>
      </c>
      <c r="D3" s="76" t="str">
        <v>Maryas@gmail.com</v>
      </c>
      <c r="E3" s="76" t="str">
        <v>Maths1</v>
      </c>
      <c r="F3" s="77" t="s">
        <v>125</v>
      </c>
      <c r="G3" s="76" t="s">
        <v>125</v>
      </c>
      <c r="H3" s="76" t="s">
        <v>125</v>
      </c>
      <c r="I3" s="76" t="s">
        <v>125</v>
      </c>
      <c r="J3" s="78" t="s">
        <v>125</v>
      </c>
      <c r="K3" s="77" t="s">
        <v>125</v>
      </c>
      <c r="L3" s="76" t="s">
        <v>125</v>
      </c>
      <c r="M3" s="76" t="s">
        <v>125</v>
      </c>
      <c r="N3" s="76" t="s">
        <v>125</v>
      </c>
      <c r="O3" s="79" t="s">
        <v>126</v>
      </c>
      <c r="P3" s="80" t="n">
        <f aca="false">COUNTIF(F3:J3,"P")/COUNTA(F3:J3)</f>
        <v>1</v>
      </c>
      <c r="Q3" s="80" t="n">
        <f aca="false">COUNTIF(K3:O3,"P")/COUNTA(K3:O3)</f>
        <v>0.8</v>
      </c>
      <c r="R3" s="81" t="n">
        <f aca="false">SUM(P3:Q3)/2</f>
        <v>0.9</v>
      </c>
      <c r="S3" s="76" t="n">
        <v>55</v>
      </c>
      <c r="T3" s="76" t="n">
        <v>66</v>
      </c>
      <c r="U3" s="76" t="s">
        <v>128</v>
      </c>
      <c r="V3" s="75"/>
      <c r="W3" s="75"/>
    </row>
    <row r="4" customFormat="false" ht="26.25" hidden="false" customHeight="true" outlineLevel="0" collapsed="false">
      <c r="A4" s="66"/>
      <c r="B4" s="76" t="str">
        <v>Robert</v>
      </c>
      <c r="C4" s="76" t="str">
        <v>Hus</v>
      </c>
      <c r="D4" s="76" t="str">
        <v>Robertus@gmail.com</v>
      </c>
      <c r="E4" s="76" t="str">
        <v>Maths1</v>
      </c>
      <c r="F4" s="77" t="s">
        <v>125</v>
      </c>
      <c r="G4" s="76" t="s">
        <v>125</v>
      </c>
      <c r="H4" s="76" t="s">
        <v>125</v>
      </c>
      <c r="I4" s="76" t="s">
        <v>125</v>
      </c>
      <c r="J4" s="78" t="s">
        <v>125</v>
      </c>
      <c r="K4" s="77" t="s">
        <v>125</v>
      </c>
      <c r="L4" s="76" t="s">
        <v>125</v>
      </c>
      <c r="M4" s="76" t="s">
        <v>125</v>
      </c>
      <c r="N4" s="76" t="s">
        <v>125</v>
      </c>
      <c r="O4" s="79" t="s">
        <v>125</v>
      </c>
      <c r="P4" s="80" t="n">
        <f aca="false">COUNTIF(F4:J4,"P")/COUNTA(F4:J4)</f>
        <v>1</v>
      </c>
      <c r="Q4" s="80" t="n">
        <f aca="false">COUNTIF(K4:O4,"P")/COUNTA(K4:O4)</f>
        <v>1</v>
      </c>
      <c r="R4" s="81" t="n">
        <f aca="false">SUM(P4:Q4)/2</f>
        <v>1</v>
      </c>
      <c r="S4" s="76" t="n">
        <v>81</v>
      </c>
      <c r="T4" s="76" t="n">
        <v>99</v>
      </c>
      <c r="U4" s="76" t="s">
        <v>127</v>
      </c>
      <c r="V4" s="75"/>
      <c r="W4" s="75"/>
    </row>
    <row r="5" customFormat="false" ht="26.25" hidden="false" customHeight="true" outlineLevel="0" collapsed="false">
      <c r="A5" s="66"/>
      <c r="B5" s="76" t="str">
        <v>Omar</v>
      </c>
      <c r="C5" s="76" t="str">
        <v>Kasim</v>
      </c>
      <c r="D5" s="76" t="str">
        <v>Omaras@gmail.com</v>
      </c>
      <c r="E5" s="76" t="str">
        <v>Maths1</v>
      </c>
      <c r="F5" s="77" t="s">
        <v>126</v>
      </c>
      <c r="G5" s="76" t="s">
        <v>126</v>
      </c>
      <c r="H5" s="76" t="s">
        <v>126</v>
      </c>
      <c r="I5" s="76" t="s">
        <v>125</v>
      </c>
      <c r="J5" s="78" t="s">
        <v>125</v>
      </c>
      <c r="K5" s="82" t="s">
        <v>125</v>
      </c>
      <c r="L5" s="83" t="s">
        <v>125</v>
      </c>
      <c r="M5" s="76" t="s">
        <v>126</v>
      </c>
      <c r="N5" s="76" t="s">
        <v>125</v>
      </c>
      <c r="O5" s="79" t="s">
        <v>125</v>
      </c>
      <c r="P5" s="80" t="n">
        <f aca="false">COUNTIF(F5:J5,"P")/COUNTA(F5:J5)</f>
        <v>0.4</v>
      </c>
      <c r="Q5" s="80" t="n">
        <f aca="false">COUNTIF(K5:O5,"P")/COUNTA(K5:O5)</f>
        <v>0.8</v>
      </c>
      <c r="R5" s="81" t="n">
        <f aca="false">SUM(P5:Q5)/2</f>
        <v>0.6</v>
      </c>
      <c r="S5" s="76" t="n">
        <v>77</v>
      </c>
      <c r="T5" s="76" t="n">
        <v>67</v>
      </c>
      <c r="U5" s="76" t="s">
        <v>127</v>
      </c>
      <c r="V5" s="75"/>
      <c r="W5" s="75"/>
    </row>
    <row r="6" customFormat="false" ht="26.25" hidden="false" customHeight="true" outlineLevel="0" collapsed="false">
      <c r="A6" s="66"/>
      <c r="B6" s="76" t="str">
        <v>Denis</v>
      </c>
      <c r="C6" s="76" t="str">
        <v>Rodman</v>
      </c>
      <c r="D6" s="76" t="str">
        <v>Denisod@gmail.com</v>
      </c>
      <c r="E6" s="76" t="str">
        <v>Maths1</v>
      </c>
      <c r="F6" s="77" t="s">
        <v>125</v>
      </c>
      <c r="G6" s="76" t="s">
        <v>125</v>
      </c>
      <c r="H6" s="76" t="s">
        <v>125</v>
      </c>
      <c r="I6" s="76" t="s">
        <v>126</v>
      </c>
      <c r="J6" s="78" t="s">
        <v>125</v>
      </c>
      <c r="K6" s="77" t="s">
        <v>125</v>
      </c>
      <c r="L6" s="76" t="s">
        <v>125</v>
      </c>
      <c r="M6" s="76" t="s">
        <v>125</v>
      </c>
      <c r="N6" s="76" t="s">
        <v>126</v>
      </c>
      <c r="O6" s="79" t="s">
        <v>126</v>
      </c>
      <c r="P6" s="80" t="n">
        <f aca="false">COUNTIF(F6:J6,"P")/COUNTA(F6:J6)</f>
        <v>0.8</v>
      </c>
      <c r="Q6" s="80" t="n">
        <f aca="false">COUNTIF(K6:O6,"P")/COUNTA(K6:O6)</f>
        <v>0.6</v>
      </c>
      <c r="R6" s="81" t="n">
        <f aca="false">SUM(P6:Q6)/2</f>
        <v>0.7</v>
      </c>
      <c r="S6" s="76" t="n">
        <v>80</v>
      </c>
      <c r="T6" s="76" t="n">
        <v>78</v>
      </c>
      <c r="U6" s="76" t="s">
        <v>127</v>
      </c>
      <c r="V6" s="75"/>
      <c r="W6" s="75"/>
    </row>
    <row r="7" customFormat="false" ht="26.25" hidden="false" customHeight="true" outlineLevel="0" collapsed="false">
      <c r="A7" s="66"/>
      <c r="B7" s="76" t="str">
        <v>John</v>
      </c>
      <c r="C7" s="76" t="str">
        <v>Baderas</v>
      </c>
      <c r="D7" s="76" t="str">
        <v>Johnad@gmail.com</v>
      </c>
      <c r="E7" s="76" t="str">
        <v>Maths1</v>
      </c>
      <c r="F7" s="77" t="s">
        <v>125</v>
      </c>
      <c r="G7" s="76" t="s">
        <v>125</v>
      </c>
      <c r="H7" s="76" t="s">
        <v>125</v>
      </c>
      <c r="I7" s="76" t="s">
        <v>125</v>
      </c>
      <c r="J7" s="78" t="s">
        <v>126</v>
      </c>
      <c r="K7" s="77" t="s">
        <v>125</v>
      </c>
      <c r="L7" s="76" t="s">
        <v>125</v>
      </c>
      <c r="M7" s="76" t="s">
        <v>125</v>
      </c>
      <c r="N7" s="76" t="s">
        <v>125</v>
      </c>
      <c r="O7" s="79" t="s">
        <v>125</v>
      </c>
      <c r="P7" s="80" t="n">
        <f aca="false">COUNTIF(F7:J7,"P")/COUNTA(F7:J7)</f>
        <v>0.8</v>
      </c>
      <c r="Q7" s="80" t="n">
        <f aca="false">COUNTIF(K7:O7,"P")/COUNTA(K7:O7)</f>
        <v>1</v>
      </c>
      <c r="R7" s="81" t="n">
        <f aca="false">SUM(P7:Q7)/2</f>
        <v>0.9</v>
      </c>
      <c r="S7" s="76" t="n">
        <v>60</v>
      </c>
      <c r="T7" s="76" t="n">
        <v>94</v>
      </c>
      <c r="U7" s="76" t="s">
        <v>127</v>
      </c>
      <c r="V7" s="75"/>
      <c r="W7" s="75"/>
    </row>
    <row r="8" customFormat="false" ht="26.25" hidden="false" customHeight="true" outlineLevel="0" collapsed="false">
      <c r="A8" s="66"/>
      <c r="B8" s="76" t="str">
        <v>Ronald</v>
      </c>
      <c r="C8" s="76" t="str">
        <v>Connan</v>
      </c>
      <c r="D8" s="76" t="str">
        <v>Ronaldon@gmail.com</v>
      </c>
      <c r="E8" s="76" t="str">
        <v>Maths1</v>
      </c>
      <c r="F8" s="77" t="s">
        <v>126</v>
      </c>
      <c r="G8" s="76" t="s">
        <v>126</v>
      </c>
      <c r="H8" s="83" t="s">
        <v>125</v>
      </c>
      <c r="I8" s="76" t="s">
        <v>126</v>
      </c>
      <c r="J8" s="78" t="s">
        <v>125</v>
      </c>
      <c r="K8" s="82" t="s">
        <v>125</v>
      </c>
      <c r="L8" s="83" t="s">
        <v>125</v>
      </c>
      <c r="M8" s="83" t="s">
        <v>125</v>
      </c>
      <c r="N8" s="83" t="s">
        <v>125</v>
      </c>
      <c r="O8" s="79" t="s">
        <v>126</v>
      </c>
      <c r="P8" s="80" t="n">
        <f aca="false">COUNTIF(F8:J8,"P")/COUNTA(F8:J8)</f>
        <v>0.4</v>
      </c>
      <c r="Q8" s="80" t="n">
        <f aca="false">COUNTIF(K8:O8,"P")/COUNTA(K8:O8)</f>
        <v>0.8</v>
      </c>
      <c r="R8" s="81" t="n">
        <f aca="false">SUM(P8:Q8)/2</f>
        <v>0.6</v>
      </c>
      <c r="S8" s="76" t="n">
        <v>92</v>
      </c>
      <c r="T8" s="76" t="n">
        <v>79</v>
      </c>
      <c r="U8" s="76" t="s">
        <v>127</v>
      </c>
      <c r="V8" s="75"/>
      <c r="W8" s="75"/>
    </row>
    <row r="9" customFormat="false" ht="26.25" hidden="false" customHeight="true" outlineLevel="0" collapsed="false">
      <c r="A9" s="66"/>
      <c r="B9" s="76" t="str">
        <v>Dennis</v>
      </c>
      <c r="C9" s="76" t="str">
        <v>Menace</v>
      </c>
      <c r="D9" s="76" t="str">
        <v>Dennisen@gmail.com</v>
      </c>
      <c r="E9" s="76" t="str">
        <v>Maths1</v>
      </c>
      <c r="F9" s="77" t="s">
        <v>125</v>
      </c>
      <c r="G9" s="76" t="s">
        <v>125</v>
      </c>
      <c r="H9" s="76" t="s">
        <v>125</v>
      </c>
      <c r="I9" s="76" t="s">
        <v>125</v>
      </c>
      <c r="J9" s="78" t="s">
        <v>125</v>
      </c>
      <c r="K9" s="77" t="s">
        <v>125</v>
      </c>
      <c r="L9" s="76" t="s">
        <v>125</v>
      </c>
      <c r="M9" s="76" t="s">
        <v>125</v>
      </c>
      <c r="N9" s="76" t="s">
        <v>125</v>
      </c>
      <c r="O9" s="79" t="s">
        <v>125</v>
      </c>
      <c r="P9" s="80" t="n">
        <f aca="false">COUNTIF(F9:J9,"P")/COUNTA(F9:J9)</f>
        <v>1</v>
      </c>
      <c r="Q9" s="80" t="n">
        <f aca="false">COUNTIF(K9:O9,"P")/COUNTA(K9:O9)</f>
        <v>1</v>
      </c>
      <c r="R9" s="81" t="n">
        <f aca="false">SUM(P9:Q9)/2</f>
        <v>1</v>
      </c>
      <c r="S9" s="76" t="n">
        <v>73</v>
      </c>
      <c r="T9" s="76" t="n">
        <v>99</v>
      </c>
      <c r="U9" s="83" t="s">
        <v>127</v>
      </c>
      <c r="V9" s="75"/>
      <c r="W9" s="75"/>
    </row>
    <row r="10" customFormat="false" ht="26.25" hidden="false" customHeight="true" outlineLevel="0" collapsed="false">
      <c r="A10" s="66"/>
      <c r="B10" s="76" t="str">
        <v>Ronald</v>
      </c>
      <c r="C10" s="76" t="str">
        <v>Pape</v>
      </c>
      <c r="D10" s="76" t="str">
        <v>Ronaldap@gmail.com</v>
      </c>
      <c r="E10" s="76" t="str">
        <v>Maths1</v>
      </c>
      <c r="F10" s="77" t="s">
        <v>126</v>
      </c>
      <c r="G10" s="76" t="s">
        <v>125</v>
      </c>
      <c r="H10" s="76" t="s">
        <v>125</v>
      </c>
      <c r="I10" s="76" t="s">
        <v>125</v>
      </c>
      <c r="J10" s="78" t="s">
        <v>126</v>
      </c>
      <c r="K10" s="77" t="s">
        <v>126</v>
      </c>
      <c r="L10" s="76" t="s">
        <v>125</v>
      </c>
      <c r="M10" s="76" t="s">
        <v>125</v>
      </c>
      <c r="N10" s="76" t="s">
        <v>125</v>
      </c>
      <c r="O10" s="79" t="s">
        <v>125</v>
      </c>
      <c r="P10" s="80" t="n">
        <f aca="false">COUNTIF(F10:J10,"P")/COUNTA(F10:J10)</f>
        <v>0.6</v>
      </c>
      <c r="Q10" s="80" t="n">
        <f aca="false">COUNTIF(K10:O10,"P")/COUNTA(K10:O10)</f>
        <v>0.8</v>
      </c>
      <c r="R10" s="81" t="n">
        <f aca="false">SUM(P10:Q10)/2</f>
        <v>0.7</v>
      </c>
      <c r="S10" s="83" t="n">
        <v>73</v>
      </c>
      <c r="T10" s="76" t="n">
        <v>68</v>
      </c>
      <c r="U10" s="76" t="s">
        <v>127</v>
      </c>
      <c r="V10" s="75"/>
      <c r="W10" s="75"/>
    </row>
    <row r="11" customFormat="false" ht="26.25" hidden="false" customHeight="true" outlineLevel="0" collapsed="false">
      <c r="A11" s="66"/>
      <c r="B11" s="76" t="str">
        <v>Walid</v>
      </c>
      <c r="C11" s="76" t="str">
        <v>Matip</v>
      </c>
      <c r="D11" s="76" t="str">
        <v>Walidat@gmail.com</v>
      </c>
      <c r="E11" s="76" t="str">
        <v>Maths1</v>
      </c>
      <c r="F11" s="77" t="s">
        <v>125</v>
      </c>
      <c r="G11" s="76" t="s">
        <v>125</v>
      </c>
      <c r="H11" s="76" t="s">
        <v>125</v>
      </c>
      <c r="I11" s="76" t="s">
        <v>125</v>
      </c>
      <c r="J11" s="78" t="s">
        <v>125</v>
      </c>
      <c r="K11" s="77" t="s">
        <v>125</v>
      </c>
      <c r="L11" s="76" t="s">
        <v>125</v>
      </c>
      <c r="M11" s="76" t="s">
        <v>125</v>
      </c>
      <c r="N11" s="76" t="s">
        <v>125</v>
      </c>
      <c r="O11" s="79" t="s">
        <v>126</v>
      </c>
      <c r="P11" s="80" t="n">
        <f aca="false">COUNTIF(F11:J11,"P")/COUNTA(F11:J11)</f>
        <v>1</v>
      </c>
      <c r="Q11" s="80" t="n">
        <f aca="false">COUNTIF(K11:O11,"P")/COUNTA(K11:O11)</f>
        <v>0.8</v>
      </c>
      <c r="R11" s="81" t="n">
        <f aca="false">SUM(P11:Q11)/2</f>
        <v>0.9</v>
      </c>
      <c r="S11" s="76" t="n">
        <v>88</v>
      </c>
      <c r="T11" s="76" t="n">
        <v>80</v>
      </c>
      <c r="U11" s="76" t="s">
        <v>127</v>
      </c>
      <c r="V11" s="75"/>
      <c r="W11" s="75"/>
    </row>
    <row r="12" customFormat="false" ht="26.25" hidden="false" customHeight="true" outlineLevel="0" collapsed="false">
      <c r="A12" s="66"/>
      <c r="B12" s="76" t="str">
        <v>Donna</v>
      </c>
      <c r="C12" s="76" t="str">
        <v>Corleone</v>
      </c>
      <c r="D12" s="76" t="str">
        <v>Donnaor@gmail.com</v>
      </c>
      <c r="E12" s="76" t="str">
        <v>Maths1</v>
      </c>
      <c r="F12" s="77" t="s">
        <v>125</v>
      </c>
      <c r="G12" s="76" t="s">
        <v>125</v>
      </c>
      <c r="H12" s="76" t="s">
        <v>125</v>
      </c>
      <c r="I12" s="76" t="s">
        <v>125</v>
      </c>
      <c r="J12" s="78" t="s">
        <v>126</v>
      </c>
      <c r="K12" s="77" t="s">
        <v>125</v>
      </c>
      <c r="L12" s="76" t="s">
        <v>125</v>
      </c>
      <c r="M12" s="76" t="s">
        <v>125</v>
      </c>
      <c r="N12" s="76" t="s">
        <v>125</v>
      </c>
      <c r="O12" s="79" t="s">
        <v>125</v>
      </c>
      <c r="P12" s="80" t="n">
        <f aca="false">COUNTIF(F12:J12,"P")/COUNTA(F12:J12)</f>
        <v>0.8</v>
      </c>
      <c r="Q12" s="80" t="n">
        <f aca="false">COUNTIF(K12:O12,"P")/COUNTA(K12:O12)</f>
        <v>1</v>
      </c>
      <c r="R12" s="81" t="n">
        <f aca="false">SUM(P12:Q12)/2</f>
        <v>0.9</v>
      </c>
      <c r="S12" s="76" t="n">
        <v>96</v>
      </c>
      <c r="T12" s="76" t="n">
        <v>90</v>
      </c>
      <c r="U12" s="76" t="s">
        <v>127</v>
      </c>
      <c r="V12" s="75"/>
      <c r="W12" s="75"/>
    </row>
    <row r="13" customFormat="false" ht="26.25" hidden="false" customHeight="true" outlineLevel="0" collapsed="false">
      <c r="A13" s="66"/>
      <c r="B13" s="76" t="str">
        <v>Mary</v>
      </c>
      <c r="C13" s="76" t="str">
        <v>Connan</v>
      </c>
      <c r="D13" s="76" t="str">
        <v>Maryon@gmail.com</v>
      </c>
      <c r="E13" s="76" t="str">
        <v>Maths1</v>
      </c>
      <c r="F13" s="77" t="s">
        <v>125</v>
      </c>
      <c r="G13" s="76" t="s">
        <v>126</v>
      </c>
      <c r="H13" s="76" t="s">
        <v>125</v>
      </c>
      <c r="I13" s="76" t="s">
        <v>126</v>
      </c>
      <c r="J13" s="78" t="s">
        <v>125</v>
      </c>
      <c r="K13" s="77" t="s">
        <v>125</v>
      </c>
      <c r="L13" s="76" t="s">
        <v>125</v>
      </c>
      <c r="M13" s="76" t="s">
        <v>125</v>
      </c>
      <c r="N13" s="76" t="s">
        <v>126</v>
      </c>
      <c r="O13" s="79" t="s">
        <v>126</v>
      </c>
      <c r="P13" s="80" t="n">
        <f aca="false">COUNTIF(F13:J13,"P")/COUNTA(F13:J13)</f>
        <v>0.6</v>
      </c>
      <c r="Q13" s="80" t="n">
        <f aca="false">COUNTIF(K13:O13,"P")/COUNTA(K13:O13)</f>
        <v>0.6</v>
      </c>
      <c r="R13" s="81" t="n">
        <f aca="false">SUM(P13:Q13)/2</f>
        <v>0.6</v>
      </c>
      <c r="S13" s="76" t="n">
        <v>60</v>
      </c>
      <c r="T13" s="76" t="n">
        <v>91</v>
      </c>
      <c r="U13" s="76" t="s">
        <v>127</v>
      </c>
      <c r="V13" s="75"/>
      <c r="W13" s="75"/>
    </row>
    <row r="14" customFormat="false" ht="26.25" hidden="false" customHeight="true" outlineLevel="0" collapsed="false">
      <c r="A14" s="66"/>
      <c r="B14" s="76" t="str">
        <v>Dustin</v>
      </c>
      <c r="C14" s="76" t="str">
        <v>Boier</v>
      </c>
      <c r="D14" s="76" t="str">
        <v>Dustinoi@gmail.com</v>
      </c>
      <c r="E14" s="76" t="str">
        <v>Maths1</v>
      </c>
      <c r="F14" s="77" t="s">
        <v>126</v>
      </c>
      <c r="G14" s="76" t="s">
        <v>126</v>
      </c>
      <c r="H14" s="76" t="s">
        <v>126</v>
      </c>
      <c r="I14" s="76" t="s">
        <v>126</v>
      </c>
      <c r="J14" s="78" t="s">
        <v>126</v>
      </c>
      <c r="K14" s="77" t="s">
        <v>126</v>
      </c>
      <c r="L14" s="76" t="s">
        <v>126</v>
      </c>
      <c r="M14" s="76" t="s">
        <v>126</v>
      </c>
      <c r="N14" s="83" t="s">
        <v>125</v>
      </c>
      <c r="O14" s="79" t="s">
        <v>125</v>
      </c>
      <c r="P14" s="80" t="n">
        <f aca="false">COUNTIF(F14:J14,"P")/COUNTA(F14:J14)</f>
        <v>0</v>
      </c>
      <c r="Q14" s="80" t="n">
        <f aca="false">COUNTIF(K14:O14,"P")/COUNTA(K14:O14)</f>
        <v>0.4</v>
      </c>
      <c r="R14" s="81" t="n">
        <f aca="false">SUM(P14:Q14)/2</f>
        <v>0.2</v>
      </c>
      <c r="S14" s="83" t="n">
        <v>0</v>
      </c>
      <c r="T14" s="83" t="n">
        <v>37</v>
      </c>
      <c r="U14" s="83" t="s">
        <v>128</v>
      </c>
      <c r="V14" s="75"/>
      <c r="W14" s="75"/>
    </row>
    <row r="15" customFormat="false" ht="26.25" hidden="false" customHeight="true" outlineLevel="0" collapsed="false">
      <c r="A15" s="66"/>
      <c r="B15" s="76" t="str">
        <v>Lana</v>
      </c>
      <c r="C15" s="76" t="str">
        <v>Andie</v>
      </c>
      <c r="D15" s="76" t="str">
        <v>Lanand@gmail.com</v>
      </c>
      <c r="E15" s="76" t="str">
        <v>Maths1</v>
      </c>
      <c r="F15" s="77" t="s">
        <v>125</v>
      </c>
      <c r="G15" s="76" t="s">
        <v>125</v>
      </c>
      <c r="H15" s="76" t="s">
        <v>126</v>
      </c>
      <c r="I15" s="76" t="s">
        <v>125</v>
      </c>
      <c r="J15" s="78" t="s">
        <v>125</v>
      </c>
      <c r="K15" s="77" t="s">
        <v>125</v>
      </c>
      <c r="L15" s="76" t="s">
        <v>125</v>
      </c>
      <c r="M15" s="76" t="s">
        <v>126</v>
      </c>
      <c r="N15" s="76" t="s">
        <v>125</v>
      </c>
      <c r="O15" s="79" t="s">
        <v>126</v>
      </c>
      <c r="P15" s="80" t="n">
        <f aca="false">COUNTIF(F15:J15,"P")/COUNTA(F15:J15)</f>
        <v>0.8</v>
      </c>
      <c r="Q15" s="80" t="n">
        <f aca="false">COUNTIF(K15:O15,"P")/COUNTA(K15:O15)</f>
        <v>0.6</v>
      </c>
      <c r="R15" s="81" t="n">
        <f aca="false">SUM(P15:Q15)/2</f>
        <v>0.7</v>
      </c>
      <c r="S15" s="76" t="n">
        <v>97</v>
      </c>
      <c r="T15" s="76" t="n">
        <v>100</v>
      </c>
      <c r="U15" s="76" t="s">
        <v>127</v>
      </c>
      <c r="V15" s="75"/>
      <c r="W15" s="75"/>
    </row>
    <row r="16" customFormat="false" ht="26.25" hidden="false" customHeight="true" outlineLevel="0" collapsed="false">
      <c r="A16" s="66"/>
      <c r="B16" s="76" t="str">
        <v>Andres</v>
      </c>
      <c r="C16" s="76" t="str">
        <v>Iniesti</v>
      </c>
      <c r="D16" s="76" t="str">
        <v>Andresni@gmail.com</v>
      </c>
      <c r="E16" s="76" t="str">
        <v>Maths1</v>
      </c>
      <c r="F16" s="84" t="s">
        <v>125</v>
      </c>
      <c r="G16" s="85" t="s">
        <v>126</v>
      </c>
      <c r="H16" s="86" t="s">
        <v>125</v>
      </c>
      <c r="I16" s="85" t="s">
        <v>125</v>
      </c>
      <c r="J16" s="87" t="s">
        <v>125</v>
      </c>
      <c r="K16" s="84" t="s">
        <v>125</v>
      </c>
      <c r="L16" s="85" t="s">
        <v>126</v>
      </c>
      <c r="M16" s="85" t="s">
        <v>126</v>
      </c>
      <c r="N16" s="85" t="s">
        <v>125</v>
      </c>
      <c r="O16" s="88" t="s">
        <v>129</v>
      </c>
      <c r="P16" s="80" t="n">
        <f aca="false">COUNTIF(F16:J16,"P")/COUNTA(F16:J16)</f>
        <v>0.8</v>
      </c>
      <c r="Q16" s="80" t="n">
        <f aca="false">COUNTIF(K16:O16,"P")/COUNTA(K16:O16)</f>
        <v>0.6</v>
      </c>
      <c r="R16" s="81" t="n">
        <f aca="false">SUM(P16:Q16)/2</f>
        <v>0.7</v>
      </c>
      <c r="S16" s="76" t="n">
        <v>90</v>
      </c>
      <c r="T16" s="76" t="n">
        <v>87</v>
      </c>
      <c r="U16" s="76" t="s">
        <v>127</v>
      </c>
      <c r="V16" s="75"/>
      <c r="W16" s="75"/>
    </row>
    <row r="17" customFormat="false" ht="15" hidden="false" customHeight="false" outlineLevel="0" collapsed="false">
      <c r="A17" s="89"/>
      <c r="O17" s="90"/>
    </row>
    <row r="18" customFormat="false" ht="15" hidden="false" customHeight="false" outlineLevel="0" collapsed="false">
      <c r="A18" s="89"/>
      <c r="O18" s="90"/>
    </row>
    <row r="19" customFormat="false" ht="15" hidden="false" customHeight="false" outlineLevel="0" collapsed="false">
      <c r="A19" s="89"/>
      <c r="O19" s="90"/>
    </row>
    <row r="20" customFormat="false" ht="15" hidden="false" customHeight="false" outlineLevel="0" collapsed="false">
      <c r="A20" s="89"/>
      <c r="O20" s="90"/>
    </row>
    <row r="21" customFormat="false" ht="15.75" hidden="false" customHeight="true" outlineLevel="0" collapsed="false">
      <c r="A21" s="89"/>
      <c r="O21" s="90"/>
    </row>
    <row r="22" customFormat="false" ht="15.75" hidden="false" customHeight="true" outlineLevel="0" collapsed="false">
      <c r="A22" s="89"/>
      <c r="O22" s="90"/>
    </row>
    <row r="23" customFormat="false" ht="15.75" hidden="false" customHeight="true" outlineLevel="0" collapsed="false">
      <c r="A23" s="89"/>
      <c r="O23" s="90"/>
    </row>
    <row r="24" customFormat="false" ht="15.75" hidden="false" customHeight="true" outlineLevel="0" collapsed="false">
      <c r="A24" s="89"/>
      <c r="O24" s="90"/>
    </row>
    <row r="25" customFormat="false" ht="15.75" hidden="false" customHeight="true" outlineLevel="0" collapsed="false">
      <c r="A25" s="89"/>
      <c r="O25" s="90"/>
    </row>
    <row r="26" customFormat="false" ht="15.75" hidden="false" customHeight="true" outlineLevel="0" collapsed="false">
      <c r="A26" s="89"/>
      <c r="O26" s="90"/>
    </row>
    <row r="27" customFormat="false" ht="15.75" hidden="false" customHeight="true" outlineLevel="0" collapsed="false">
      <c r="A27" s="89"/>
      <c r="O27" s="90"/>
    </row>
    <row r="28" customFormat="false" ht="15.75" hidden="false" customHeight="true" outlineLevel="0" collapsed="false">
      <c r="A28" s="89"/>
      <c r="O28" s="90"/>
    </row>
    <row r="29" customFormat="false" ht="15.75" hidden="false" customHeight="true" outlineLevel="0" collapsed="false">
      <c r="A29" s="89"/>
      <c r="O29" s="90"/>
    </row>
    <row r="30" customFormat="false" ht="15.75" hidden="false" customHeight="true" outlineLevel="0" collapsed="false">
      <c r="A30" s="89"/>
      <c r="O30" s="90"/>
    </row>
    <row r="31" customFormat="false" ht="15.75" hidden="false" customHeight="true" outlineLevel="0" collapsed="false">
      <c r="A31" s="89"/>
      <c r="O31" s="90"/>
    </row>
    <row r="32" customFormat="false" ht="15.75" hidden="false" customHeight="true" outlineLevel="0" collapsed="false">
      <c r="A32" s="89"/>
      <c r="O32" s="90"/>
    </row>
    <row r="33" customFormat="false" ht="15.75" hidden="false" customHeight="true" outlineLevel="0" collapsed="false">
      <c r="A33" s="89"/>
      <c r="O33" s="90"/>
    </row>
    <row r="34" customFormat="false" ht="15.75" hidden="false" customHeight="true" outlineLevel="0" collapsed="false">
      <c r="A34" s="89"/>
      <c r="O34" s="90"/>
    </row>
    <row r="35" customFormat="false" ht="15.75" hidden="false" customHeight="true" outlineLevel="0" collapsed="false">
      <c r="A35" s="89"/>
      <c r="O35" s="90"/>
    </row>
    <row r="36" customFormat="false" ht="15.75" hidden="false" customHeight="true" outlineLevel="0" collapsed="false">
      <c r="A36" s="89"/>
      <c r="O36" s="90"/>
    </row>
    <row r="37" customFormat="false" ht="15.75" hidden="false" customHeight="true" outlineLevel="0" collapsed="false">
      <c r="A37" s="89"/>
      <c r="O37" s="90"/>
    </row>
    <row r="38" customFormat="false" ht="15.75" hidden="false" customHeight="true" outlineLevel="0" collapsed="false">
      <c r="A38" s="89"/>
      <c r="O38" s="90"/>
    </row>
    <row r="39" customFormat="false" ht="15.75" hidden="false" customHeight="true" outlineLevel="0" collapsed="false">
      <c r="A39" s="89"/>
      <c r="O39" s="90"/>
    </row>
    <row r="40" customFormat="false" ht="15.75" hidden="false" customHeight="true" outlineLevel="0" collapsed="false">
      <c r="A40" s="89"/>
      <c r="O40" s="90"/>
    </row>
    <row r="41" customFormat="false" ht="15.75" hidden="false" customHeight="true" outlineLevel="0" collapsed="false">
      <c r="A41" s="89"/>
      <c r="O41" s="90"/>
    </row>
    <row r="42" customFormat="false" ht="15.75" hidden="false" customHeight="true" outlineLevel="0" collapsed="false">
      <c r="A42" s="89"/>
      <c r="O42" s="90"/>
    </row>
    <row r="43" customFormat="false" ht="15.75" hidden="false" customHeight="true" outlineLevel="0" collapsed="false">
      <c r="A43" s="89"/>
      <c r="O43" s="90"/>
    </row>
    <row r="44" customFormat="false" ht="15.75" hidden="false" customHeight="true" outlineLevel="0" collapsed="false">
      <c r="A44" s="89"/>
      <c r="O44" s="90"/>
    </row>
    <row r="45" customFormat="false" ht="15.75" hidden="false" customHeight="true" outlineLevel="0" collapsed="false">
      <c r="A45" s="89"/>
      <c r="O45" s="90"/>
    </row>
    <row r="46" customFormat="false" ht="15.75" hidden="false" customHeight="true" outlineLevel="0" collapsed="false">
      <c r="A46" s="89"/>
      <c r="O46" s="90"/>
    </row>
    <row r="47" customFormat="false" ht="15.75" hidden="false" customHeight="true" outlineLevel="0" collapsed="false">
      <c r="A47" s="89"/>
      <c r="O47" s="90"/>
    </row>
    <row r="48" customFormat="false" ht="15.75" hidden="false" customHeight="true" outlineLevel="0" collapsed="false">
      <c r="A48" s="89"/>
      <c r="O48" s="90"/>
    </row>
    <row r="49" customFormat="false" ht="15.75" hidden="false" customHeight="true" outlineLevel="0" collapsed="false">
      <c r="A49" s="89"/>
      <c r="O49" s="90"/>
    </row>
    <row r="50" customFormat="false" ht="15.75" hidden="false" customHeight="true" outlineLevel="0" collapsed="false">
      <c r="A50" s="89"/>
      <c r="O50" s="90"/>
    </row>
    <row r="51" customFormat="false" ht="15.75" hidden="false" customHeight="true" outlineLevel="0" collapsed="false">
      <c r="A51" s="89"/>
      <c r="O51" s="90"/>
    </row>
    <row r="52" customFormat="false" ht="15.75" hidden="false" customHeight="true" outlineLevel="0" collapsed="false">
      <c r="A52" s="89"/>
      <c r="O52" s="90"/>
    </row>
    <row r="53" customFormat="false" ht="15.75" hidden="false" customHeight="true" outlineLevel="0" collapsed="false">
      <c r="A53" s="89"/>
      <c r="O53" s="90"/>
    </row>
    <row r="54" customFormat="false" ht="15.75" hidden="false" customHeight="true" outlineLevel="0" collapsed="false">
      <c r="A54" s="89"/>
      <c r="O54" s="90"/>
    </row>
    <row r="55" customFormat="false" ht="15.75" hidden="false" customHeight="true" outlineLevel="0" collapsed="false">
      <c r="A55" s="89"/>
      <c r="O55" s="90"/>
    </row>
    <row r="56" customFormat="false" ht="15.75" hidden="false" customHeight="true" outlineLevel="0" collapsed="false">
      <c r="A56" s="89"/>
      <c r="O56" s="90"/>
    </row>
    <row r="57" customFormat="false" ht="15.75" hidden="false" customHeight="true" outlineLevel="0" collapsed="false">
      <c r="A57" s="89"/>
      <c r="O57" s="90"/>
    </row>
    <row r="58" customFormat="false" ht="15.75" hidden="false" customHeight="true" outlineLevel="0" collapsed="false">
      <c r="A58" s="89"/>
      <c r="O58" s="90"/>
    </row>
    <row r="59" customFormat="false" ht="15.75" hidden="false" customHeight="true" outlineLevel="0" collapsed="false">
      <c r="A59" s="89"/>
      <c r="O59" s="90"/>
    </row>
    <row r="60" customFormat="false" ht="15.75" hidden="false" customHeight="true" outlineLevel="0" collapsed="false">
      <c r="A60" s="89"/>
      <c r="O60" s="90"/>
    </row>
    <row r="61" customFormat="false" ht="15.75" hidden="false" customHeight="true" outlineLevel="0" collapsed="false">
      <c r="A61" s="89"/>
      <c r="O61" s="90"/>
    </row>
    <row r="62" customFormat="false" ht="15.75" hidden="false" customHeight="true" outlineLevel="0" collapsed="false">
      <c r="A62" s="89"/>
      <c r="O62" s="90"/>
    </row>
    <row r="63" customFormat="false" ht="15.75" hidden="false" customHeight="true" outlineLevel="0" collapsed="false">
      <c r="A63" s="89"/>
      <c r="O63" s="90"/>
    </row>
    <row r="64" customFormat="false" ht="15.75" hidden="false" customHeight="true" outlineLevel="0" collapsed="false">
      <c r="A64" s="89"/>
      <c r="O64" s="90"/>
    </row>
    <row r="65" customFormat="false" ht="15.75" hidden="false" customHeight="true" outlineLevel="0" collapsed="false">
      <c r="A65" s="89"/>
      <c r="O65" s="90"/>
    </row>
    <row r="66" customFormat="false" ht="15.75" hidden="false" customHeight="true" outlineLevel="0" collapsed="false">
      <c r="A66" s="89"/>
      <c r="O66" s="90"/>
    </row>
    <row r="67" customFormat="false" ht="15.75" hidden="false" customHeight="true" outlineLevel="0" collapsed="false">
      <c r="A67" s="89"/>
      <c r="O67" s="90"/>
    </row>
    <row r="68" customFormat="false" ht="15.75" hidden="false" customHeight="true" outlineLevel="0" collapsed="false">
      <c r="A68" s="89"/>
      <c r="O68" s="90"/>
    </row>
    <row r="69" customFormat="false" ht="15.75" hidden="false" customHeight="true" outlineLevel="0" collapsed="false">
      <c r="A69" s="89"/>
      <c r="O69" s="90"/>
    </row>
    <row r="70" customFormat="false" ht="15.75" hidden="false" customHeight="true" outlineLevel="0" collapsed="false">
      <c r="A70" s="89"/>
      <c r="O70" s="90"/>
    </row>
    <row r="71" customFormat="false" ht="15.75" hidden="false" customHeight="true" outlineLevel="0" collapsed="false">
      <c r="A71" s="89"/>
      <c r="O71" s="90"/>
    </row>
    <row r="72" customFormat="false" ht="15.75" hidden="false" customHeight="true" outlineLevel="0" collapsed="false">
      <c r="A72" s="89"/>
      <c r="O72" s="90"/>
    </row>
    <row r="73" customFormat="false" ht="15.75" hidden="false" customHeight="true" outlineLevel="0" collapsed="false">
      <c r="A73" s="89"/>
      <c r="O73" s="90"/>
    </row>
    <row r="74" customFormat="false" ht="15.75" hidden="false" customHeight="true" outlineLevel="0" collapsed="false">
      <c r="A74" s="89"/>
      <c r="O74" s="90"/>
    </row>
    <row r="75" customFormat="false" ht="15.75" hidden="false" customHeight="true" outlineLevel="0" collapsed="false">
      <c r="A75" s="89"/>
      <c r="O75" s="90"/>
    </row>
    <row r="76" customFormat="false" ht="15.75" hidden="false" customHeight="true" outlineLevel="0" collapsed="false">
      <c r="A76" s="89"/>
      <c r="O76" s="90"/>
    </row>
    <row r="77" customFormat="false" ht="15.75" hidden="false" customHeight="true" outlineLevel="0" collapsed="false">
      <c r="A77" s="89"/>
      <c r="O77" s="90"/>
    </row>
    <row r="78" customFormat="false" ht="15.75" hidden="false" customHeight="true" outlineLevel="0" collapsed="false">
      <c r="A78" s="89"/>
      <c r="O78" s="90"/>
    </row>
    <row r="79" customFormat="false" ht="15.75" hidden="false" customHeight="true" outlineLevel="0" collapsed="false">
      <c r="A79" s="89"/>
      <c r="O79" s="90"/>
    </row>
    <row r="80" customFormat="false" ht="15.75" hidden="false" customHeight="true" outlineLevel="0" collapsed="false">
      <c r="A80" s="89"/>
      <c r="O80" s="90"/>
    </row>
    <row r="81" customFormat="false" ht="15.75" hidden="false" customHeight="true" outlineLevel="0" collapsed="false">
      <c r="A81" s="89"/>
      <c r="O81" s="90"/>
    </row>
    <row r="82" customFormat="false" ht="15.75" hidden="false" customHeight="true" outlineLevel="0" collapsed="false">
      <c r="A82" s="89"/>
      <c r="O82" s="90"/>
    </row>
    <row r="83" customFormat="false" ht="15.75" hidden="false" customHeight="true" outlineLevel="0" collapsed="false">
      <c r="A83" s="89"/>
      <c r="O83" s="90"/>
    </row>
    <row r="84" customFormat="false" ht="15.75" hidden="false" customHeight="true" outlineLevel="0" collapsed="false">
      <c r="A84" s="89"/>
      <c r="O84" s="90"/>
    </row>
    <row r="85" customFormat="false" ht="15.75" hidden="false" customHeight="true" outlineLevel="0" collapsed="false">
      <c r="A85" s="89"/>
      <c r="O85" s="90"/>
    </row>
    <row r="86" customFormat="false" ht="15.75" hidden="false" customHeight="true" outlineLevel="0" collapsed="false">
      <c r="A86" s="89"/>
      <c r="O86" s="90"/>
    </row>
    <row r="87" customFormat="false" ht="15.75" hidden="false" customHeight="true" outlineLevel="0" collapsed="false">
      <c r="A87" s="89"/>
      <c r="O87" s="90"/>
    </row>
    <row r="88" customFormat="false" ht="15.75" hidden="false" customHeight="true" outlineLevel="0" collapsed="false">
      <c r="A88" s="89"/>
      <c r="O88" s="90"/>
    </row>
    <row r="89" customFormat="false" ht="15.75" hidden="false" customHeight="true" outlineLevel="0" collapsed="false">
      <c r="A89" s="89"/>
      <c r="O89" s="90"/>
    </row>
    <row r="90" customFormat="false" ht="15.75" hidden="false" customHeight="true" outlineLevel="0" collapsed="false">
      <c r="A90" s="89"/>
      <c r="O90" s="90"/>
    </row>
    <row r="91" customFormat="false" ht="15.75" hidden="false" customHeight="true" outlineLevel="0" collapsed="false">
      <c r="A91" s="89"/>
      <c r="O91" s="90"/>
    </row>
    <row r="92" customFormat="false" ht="15.75" hidden="false" customHeight="true" outlineLevel="0" collapsed="false">
      <c r="A92" s="89"/>
      <c r="O92" s="90"/>
    </row>
    <row r="93" customFormat="false" ht="15.75" hidden="false" customHeight="true" outlineLevel="0" collapsed="false">
      <c r="A93" s="89"/>
      <c r="O93" s="90"/>
    </row>
    <row r="94" customFormat="false" ht="15.75" hidden="false" customHeight="true" outlineLevel="0" collapsed="false">
      <c r="A94" s="89"/>
      <c r="O94" s="90"/>
    </row>
    <row r="95" customFormat="false" ht="15.75" hidden="false" customHeight="true" outlineLevel="0" collapsed="false">
      <c r="A95" s="89"/>
      <c r="O95" s="90"/>
    </row>
    <row r="96" customFormat="false" ht="15.75" hidden="false" customHeight="true" outlineLevel="0" collapsed="false">
      <c r="A96" s="89"/>
      <c r="O96" s="90"/>
    </row>
    <row r="97" customFormat="false" ht="15.75" hidden="false" customHeight="true" outlineLevel="0" collapsed="false">
      <c r="A97" s="89"/>
      <c r="O97" s="90"/>
    </row>
    <row r="98" customFormat="false" ht="15.75" hidden="false" customHeight="true" outlineLevel="0" collapsed="false">
      <c r="A98" s="89"/>
      <c r="O98" s="90"/>
    </row>
    <row r="99" customFormat="false" ht="15.75" hidden="false" customHeight="true" outlineLevel="0" collapsed="false">
      <c r="A99" s="89"/>
      <c r="O99" s="90"/>
    </row>
    <row r="100" customFormat="false" ht="15.75" hidden="false" customHeight="true" outlineLevel="0" collapsed="false">
      <c r="A100" s="89"/>
      <c r="O100" s="90"/>
    </row>
    <row r="101" customFormat="false" ht="15.75" hidden="false" customHeight="true" outlineLevel="0" collapsed="false">
      <c r="A101" s="89"/>
      <c r="O101" s="90"/>
    </row>
    <row r="102" customFormat="false" ht="15.75" hidden="false" customHeight="true" outlineLevel="0" collapsed="false">
      <c r="A102" s="89"/>
      <c r="O102" s="90"/>
    </row>
    <row r="103" customFormat="false" ht="15.75" hidden="false" customHeight="true" outlineLevel="0" collapsed="false">
      <c r="A103" s="89"/>
      <c r="O103" s="90"/>
    </row>
    <row r="104" customFormat="false" ht="15.75" hidden="false" customHeight="true" outlineLevel="0" collapsed="false">
      <c r="A104" s="89"/>
      <c r="O104" s="90"/>
    </row>
    <row r="105" customFormat="false" ht="15.75" hidden="false" customHeight="true" outlineLevel="0" collapsed="false">
      <c r="A105" s="89"/>
      <c r="O105" s="90"/>
    </row>
    <row r="106" customFormat="false" ht="15.75" hidden="false" customHeight="true" outlineLevel="0" collapsed="false">
      <c r="A106" s="89"/>
      <c r="O106" s="90"/>
    </row>
    <row r="107" customFormat="false" ht="15.75" hidden="false" customHeight="true" outlineLevel="0" collapsed="false">
      <c r="A107" s="89"/>
      <c r="O107" s="90"/>
    </row>
    <row r="108" customFormat="false" ht="15.75" hidden="false" customHeight="true" outlineLevel="0" collapsed="false">
      <c r="A108" s="89"/>
      <c r="O108" s="90"/>
    </row>
    <row r="109" customFormat="false" ht="15.75" hidden="false" customHeight="true" outlineLevel="0" collapsed="false">
      <c r="A109" s="89"/>
      <c r="O109" s="90"/>
    </row>
    <row r="110" customFormat="false" ht="15.75" hidden="false" customHeight="true" outlineLevel="0" collapsed="false">
      <c r="A110" s="89"/>
      <c r="O110" s="90"/>
    </row>
    <row r="111" customFormat="false" ht="15.75" hidden="false" customHeight="true" outlineLevel="0" collapsed="false">
      <c r="A111" s="89"/>
      <c r="O111" s="90"/>
    </row>
    <row r="112" customFormat="false" ht="15.75" hidden="false" customHeight="true" outlineLevel="0" collapsed="false">
      <c r="A112" s="89"/>
      <c r="O112" s="90"/>
    </row>
    <row r="113" customFormat="false" ht="15.75" hidden="false" customHeight="true" outlineLevel="0" collapsed="false">
      <c r="A113" s="89"/>
      <c r="O113" s="90"/>
    </row>
    <row r="114" customFormat="false" ht="15.75" hidden="false" customHeight="true" outlineLevel="0" collapsed="false">
      <c r="A114" s="89"/>
      <c r="O114" s="90"/>
    </row>
    <row r="115" customFormat="false" ht="15.75" hidden="false" customHeight="true" outlineLevel="0" collapsed="false">
      <c r="A115" s="89"/>
      <c r="O115" s="90"/>
    </row>
    <row r="116" customFormat="false" ht="15.75" hidden="false" customHeight="true" outlineLevel="0" collapsed="false">
      <c r="A116" s="89"/>
      <c r="O116" s="90"/>
    </row>
    <row r="117" customFormat="false" ht="15.75" hidden="false" customHeight="true" outlineLevel="0" collapsed="false">
      <c r="A117" s="89"/>
      <c r="O117" s="90"/>
    </row>
    <row r="118" customFormat="false" ht="15.75" hidden="false" customHeight="true" outlineLevel="0" collapsed="false">
      <c r="A118" s="89"/>
      <c r="O118" s="90"/>
    </row>
    <row r="119" customFormat="false" ht="15.75" hidden="false" customHeight="true" outlineLevel="0" collapsed="false">
      <c r="A119" s="89"/>
      <c r="O119" s="90"/>
    </row>
    <row r="120" customFormat="false" ht="15.75" hidden="false" customHeight="true" outlineLevel="0" collapsed="false">
      <c r="A120" s="89"/>
      <c r="O120" s="90"/>
    </row>
    <row r="121" customFormat="false" ht="15.75" hidden="false" customHeight="true" outlineLevel="0" collapsed="false">
      <c r="A121" s="89"/>
      <c r="O121" s="90"/>
    </row>
    <row r="122" customFormat="false" ht="15.75" hidden="false" customHeight="true" outlineLevel="0" collapsed="false">
      <c r="A122" s="89"/>
      <c r="O122" s="90"/>
    </row>
    <row r="123" customFormat="false" ht="15.75" hidden="false" customHeight="true" outlineLevel="0" collapsed="false">
      <c r="A123" s="89"/>
      <c r="O123" s="90"/>
    </row>
    <row r="124" customFormat="false" ht="15.75" hidden="false" customHeight="true" outlineLevel="0" collapsed="false">
      <c r="A124" s="89"/>
      <c r="O124" s="90"/>
    </row>
    <row r="125" customFormat="false" ht="15.75" hidden="false" customHeight="true" outlineLevel="0" collapsed="false">
      <c r="A125" s="89"/>
      <c r="O125" s="90"/>
    </row>
    <row r="126" customFormat="false" ht="15.75" hidden="false" customHeight="true" outlineLevel="0" collapsed="false">
      <c r="A126" s="89"/>
      <c r="O126" s="90"/>
    </row>
    <row r="127" customFormat="false" ht="15.75" hidden="false" customHeight="true" outlineLevel="0" collapsed="false">
      <c r="A127" s="89"/>
      <c r="O127" s="90"/>
    </row>
    <row r="128" customFormat="false" ht="15.75" hidden="false" customHeight="true" outlineLevel="0" collapsed="false">
      <c r="A128" s="89"/>
      <c r="O128" s="90"/>
    </row>
    <row r="129" customFormat="false" ht="15.75" hidden="false" customHeight="true" outlineLevel="0" collapsed="false">
      <c r="A129" s="89"/>
      <c r="O129" s="90"/>
    </row>
    <row r="130" customFormat="false" ht="15.75" hidden="false" customHeight="true" outlineLevel="0" collapsed="false">
      <c r="A130" s="89"/>
      <c r="O130" s="90"/>
    </row>
    <row r="131" customFormat="false" ht="15.75" hidden="false" customHeight="true" outlineLevel="0" collapsed="false">
      <c r="A131" s="89"/>
      <c r="O131" s="90"/>
    </row>
    <row r="132" customFormat="false" ht="15.75" hidden="false" customHeight="true" outlineLevel="0" collapsed="false">
      <c r="A132" s="89"/>
      <c r="O132" s="90"/>
    </row>
    <row r="133" customFormat="false" ht="15.75" hidden="false" customHeight="true" outlineLevel="0" collapsed="false">
      <c r="A133" s="89"/>
      <c r="O133" s="90"/>
    </row>
    <row r="134" customFormat="false" ht="15.75" hidden="false" customHeight="true" outlineLevel="0" collapsed="false">
      <c r="A134" s="89"/>
      <c r="O134" s="90"/>
    </row>
    <row r="135" customFormat="false" ht="15.75" hidden="false" customHeight="true" outlineLevel="0" collapsed="false">
      <c r="A135" s="89"/>
      <c r="O135" s="90"/>
    </row>
    <row r="136" customFormat="false" ht="15.75" hidden="false" customHeight="true" outlineLevel="0" collapsed="false">
      <c r="A136" s="89"/>
      <c r="O136" s="90"/>
    </row>
    <row r="137" customFormat="false" ht="15.75" hidden="false" customHeight="true" outlineLevel="0" collapsed="false">
      <c r="A137" s="89"/>
      <c r="O137" s="90"/>
    </row>
    <row r="138" customFormat="false" ht="15.75" hidden="false" customHeight="true" outlineLevel="0" collapsed="false">
      <c r="A138" s="89"/>
      <c r="O138" s="90"/>
    </row>
    <row r="139" customFormat="false" ht="15.75" hidden="false" customHeight="true" outlineLevel="0" collapsed="false">
      <c r="A139" s="89"/>
      <c r="O139" s="90"/>
    </row>
    <row r="140" customFormat="false" ht="15.75" hidden="false" customHeight="true" outlineLevel="0" collapsed="false">
      <c r="A140" s="89"/>
      <c r="O140" s="90"/>
    </row>
    <row r="141" customFormat="false" ht="15.75" hidden="false" customHeight="true" outlineLevel="0" collapsed="false">
      <c r="A141" s="89"/>
      <c r="O141" s="90"/>
    </row>
    <row r="142" customFormat="false" ht="15.75" hidden="false" customHeight="true" outlineLevel="0" collapsed="false">
      <c r="A142" s="89"/>
      <c r="O142" s="90"/>
    </row>
    <row r="143" customFormat="false" ht="15.75" hidden="false" customHeight="true" outlineLevel="0" collapsed="false">
      <c r="A143" s="89"/>
      <c r="O143" s="90"/>
    </row>
    <row r="144" customFormat="false" ht="15.75" hidden="false" customHeight="true" outlineLevel="0" collapsed="false">
      <c r="A144" s="89"/>
      <c r="O144" s="90"/>
    </row>
    <row r="145" customFormat="false" ht="15.75" hidden="false" customHeight="true" outlineLevel="0" collapsed="false">
      <c r="A145" s="89"/>
      <c r="O145" s="90"/>
    </row>
    <row r="146" customFormat="false" ht="15.75" hidden="false" customHeight="true" outlineLevel="0" collapsed="false">
      <c r="A146" s="89"/>
      <c r="O146" s="90"/>
    </row>
    <row r="147" customFormat="false" ht="15.75" hidden="false" customHeight="true" outlineLevel="0" collapsed="false">
      <c r="A147" s="89"/>
      <c r="O147" s="90"/>
    </row>
    <row r="148" customFormat="false" ht="15.75" hidden="false" customHeight="true" outlineLevel="0" collapsed="false">
      <c r="A148" s="89"/>
      <c r="O148" s="90"/>
    </row>
    <row r="149" customFormat="false" ht="15.75" hidden="false" customHeight="true" outlineLevel="0" collapsed="false">
      <c r="A149" s="89"/>
      <c r="O149" s="90"/>
    </row>
    <row r="150" customFormat="false" ht="15.75" hidden="false" customHeight="true" outlineLevel="0" collapsed="false">
      <c r="A150" s="89"/>
      <c r="O150" s="90"/>
    </row>
    <row r="151" customFormat="false" ht="15.75" hidden="false" customHeight="true" outlineLevel="0" collapsed="false">
      <c r="A151" s="89"/>
      <c r="O151" s="90"/>
    </row>
    <row r="152" customFormat="false" ht="15.75" hidden="false" customHeight="true" outlineLevel="0" collapsed="false">
      <c r="A152" s="89"/>
      <c r="O152" s="90"/>
    </row>
    <row r="153" customFormat="false" ht="15.75" hidden="false" customHeight="true" outlineLevel="0" collapsed="false">
      <c r="A153" s="89"/>
      <c r="O153" s="90"/>
    </row>
    <row r="154" customFormat="false" ht="15.75" hidden="false" customHeight="true" outlineLevel="0" collapsed="false">
      <c r="A154" s="89"/>
      <c r="O154" s="90"/>
    </row>
    <row r="155" customFormat="false" ht="15.75" hidden="false" customHeight="true" outlineLevel="0" collapsed="false">
      <c r="A155" s="89"/>
      <c r="O155" s="90"/>
    </row>
    <row r="156" customFormat="false" ht="15.75" hidden="false" customHeight="true" outlineLevel="0" collapsed="false">
      <c r="A156" s="89"/>
      <c r="O156" s="90"/>
    </row>
    <row r="157" customFormat="false" ht="15.75" hidden="false" customHeight="true" outlineLevel="0" collapsed="false">
      <c r="A157" s="89"/>
      <c r="O157" s="90"/>
    </row>
    <row r="158" customFormat="false" ht="15.75" hidden="false" customHeight="true" outlineLevel="0" collapsed="false">
      <c r="A158" s="89"/>
      <c r="O158" s="90"/>
    </row>
    <row r="159" customFormat="false" ht="15.75" hidden="false" customHeight="true" outlineLevel="0" collapsed="false">
      <c r="A159" s="89"/>
      <c r="O159" s="90"/>
    </row>
    <row r="160" customFormat="false" ht="15.75" hidden="false" customHeight="true" outlineLevel="0" collapsed="false">
      <c r="A160" s="89"/>
      <c r="O160" s="90"/>
    </row>
    <row r="161" customFormat="false" ht="15.75" hidden="false" customHeight="true" outlineLevel="0" collapsed="false">
      <c r="A161" s="89"/>
      <c r="O161" s="90"/>
    </row>
    <row r="162" customFormat="false" ht="15.75" hidden="false" customHeight="true" outlineLevel="0" collapsed="false">
      <c r="A162" s="89"/>
      <c r="O162" s="90"/>
    </row>
    <row r="163" customFormat="false" ht="15.75" hidden="false" customHeight="true" outlineLevel="0" collapsed="false">
      <c r="A163" s="89"/>
      <c r="O163" s="90"/>
    </row>
    <row r="164" customFormat="false" ht="15.75" hidden="false" customHeight="true" outlineLevel="0" collapsed="false">
      <c r="A164" s="89"/>
      <c r="O164" s="90"/>
    </row>
    <row r="165" customFormat="false" ht="15.75" hidden="false" customHeight="true" outlineLevel="0" collapsed="false">
      <c r="A165" s="89"/>
      <c r="O165" s="90"/>
    </row>
    <row r="166" customFormat="false" ht="15.75" hidden="false" customHeight="true" outlineLevel="0" collapsed="false">
      <c r="A166" s="89"/>
      <c r="O166" s="90"/>
    </row>
    <row r="167" customFormat="false" ht="15.75" hidden="false" customHeight="true" outlineLevel="0" collapsed="false">
      <c r="A167" s="89"/>
      <c r="O167" s="90"/>
    </row>
    <row r="168" customFormat="false" ht="15.75" hidden="false" customHeight="true" outlineLevel="0" collapsed="false">
      <c r="A168" s="89"/>
      <c r="O168" s="90"/>
    </row>
    <row r="169" customFormat="false" ht="15.75" hidden="false" customHeight="true" outlineLevel="0" collapsed="false">
      <c r="A169" s="89"/>
      <c r="O169" s="90"/>
    </row>
    <row r="170" customFormat="false" ht="15.75" hidden="false" customHeight="true" outlineLevel="0" collapsed="false">
      <c r="A170" s="89"/>
      <c r="O170" s="90"/>
    </row>
    <row r="171" customFormat="false" ht="15.75" hidden="false" customHeight="true" outlineLevel="0" collapsed="false">
      <c r="A171" s="89"/>
      <c r="O171" s="90"/>
    </row>
    <row r="172" customFormat="false" ht="15.75" hidden="false" customHeight="true" outlineLevel="0" collapsed="false">
      <c r="A172" s="89"/>
      <c r="O172" s="90"/>
    </row>
    <row r="173" customFormat="false" ht="15.75" hidden="false" customHeight="true" outlineLevel="0" collapsed="false">
      <c r="A173" s="89"/>
      <c r="O173" s="90"/>
    </row>
    <row r="174" customFormat="false" ht="15.75" hidden="false" customHeight="true" outlineLevel="0" collapsed="false">
      <c r="A174" s="89"/>
      <c r="O174" s="90"/>
    </row>
    <row r="175" customFormat="false" ht="15.75" hidden="false" customHeight="true" outlineLevel="0" collapsed="false">
      <c r="A175" s="89"/>
      <c r="O175" s="90"/>
    </row>
    <row r="176" customFormat="false" ht="15.75" hidden="false" customHeight="true" outlineLevel="0" collapsed="false">
      <c r="A176" s="89"/>
      <c r="O176" s="90"/>
    </row>
    <row r="177" customFormat="false" ht="15.75" hidden="false" customHeight="true" outlineLevel="0" collapsed="false">
      <c r="A177" s="89"/>
      <c r="O177" s="90"/>
    </row>
    <row r="178" customFormat="false" ht="15.75" hidden="false" customHeight="true" outlineLevel="0" collapsed="false">
      <c r="A178" s="89"/>
      <c r="O178" s="90"/>
    </row>
    <row r="179" customFormat="false" ht="15.75" hidden="false" customHeight="true" outlineLevel="0" collapsed="false">
      <c r="A179" s="89"/>
      <c r="O179" s="90"/>
    </row>
    <row r="180" customFormat="false" ht="15.75" hidden="false" customHeight="true" outlineLevel="0" collapsed="false">
      <c r="A180" s="89"/>
      <c r="O180" s="90"/>
    </row>
    <row r="181" customFormat="false" ht="15.75" hidden="false" customHeight="true" outlineLevel="0" collapsed="false">
      <c r="A181" s="89"/>
      <c r="O181" s="90"/>
    </row>
    <row r="182" customFormat="false" ht="15.75" hidden="false" customHeight="true" outlineLevel="0" collapsed="false">
      <c r="A182" s="89"/>
      <c r="O182" s="90"/>
    </row>
    <row r="183" customFormat="false" ht="15.75" hidden="false" customHeight="true" outlineLevel="0" collapsed="false">
      <c r="A183" s="89"/>
      <c r="O183" s="90"/>
    </row>
    <row r="184" customFormat="false" ht="15.75" hidden="false" customHeight="true" outlineLevel="0" collapsed="false">
      <c r="A184" s="89"/>
      <c r="O184" s="90"/>
    </row>
    <row r="185" customFormat="false" ht="15.75" hidden="false" customHeight="true" outlineLevel="0" collapsed="false">
      <c r="A185" s="89"/>
      <c r="O185" s="90"/>
    </row>
    <row r="186" customFormat="false" ht="15.75" hidden="false" customHeight="true" outlineLevel="0" collapsed="false">
      <c r="A186" s="89"/>
      <c r="O186" s="90"/>
    </row>
    <row r="187" customFormat="false" ht="15.75" hidden="false" customHeight="true" outlineLevel="0" collapsed="false">
      <c r="A187" s="89"/>
      <c r="O187" s="90"/>
    </row>
    <row r="188" customFormat="false" ht="15.75" hidden="false" customHeight="true" outlineLevel="0" collapsed="false">
      <c r="A188" s="89"/>
      <c r="O188" s="90"/>
    </row>
    <row r="189" customFormat="false" ht="15.75" hidden="false" customHeight="true" outlineLevel="0" collapsed="false">
      <c r="A189" s="89"/>
      <c r="O189" s="90"/>
    </row>
    <row r="190" customFormat="false" ht="15.75" hidden="false" customHeight="true" outlineLevel="0" collapsed="false">
      <c r="A190" s="89"/>
      <c r="O190" s="90"/>
    </row>
    <row r="191" customFormat="false" ht="15.75" hidden="false" customHeight="true" outlineLevel="0" collapsed="false">
      <c r="A191" s="89"/>
      <c r="O191" s="90"/>
    </row>
    <row r="192" customFormat="false" ht="15.75" hidden="false" customHeight="true" outlineLevel="0" collapsed="false">
      <c r="A192" s="89"/>
      <c r="O192" s="90"/>
    </row>
    <row r="193" customFormat="false" ht="15.75" hidden="false" customHeight="true" outlineLevel="0" collapsed="false">
      <c r="A193" s="89"/>
      <c r="O193" s="90"/>
    </row>
    <row r="194" customFormat="false" ht="15.75" hidden="false" customHeight="true" outlineLevel="0" collapsed="false">
      <c r="A194" s="89"/>
      <c r="O194" s="90"/>
    </row>
    <row r="195" customFormat="false" ht="15.75" hidden="false" customHeight="true" outlineLevel="0" collapsed="false">
      <c r="A195" s="89"/>
      <c r="O195" s="90"/>
    </row>
    <row r="196" customFormat="false" ht="15.75" hidden="false" customHeight="true" outlineLevel="0" collapsed="false">
      <c r="A196" s="89"/>
      <c r="O196" s="90"/>
    </row>
    <row r="197" customFormat="false" ht="15.75" hidden="false" customHeight="true" outlineLevel="0" collapsed="false">
      <c r="A197" s="89"/>
      <c r="O197" s="90"/>
    </row>
    <row r="198" customFormat="false" ht="15.75" hidden="false" customHeight="true" outlineLevel="0" collapsed="false">
      <c r="A198" s="89"/>
      <c r="O198" s="90"/>
    </row>
    <row r="199" customFormat="false" ht="15.75" hidden="false" customHeight="true" outlineLevel="0" collapsed="false">
      <c r="A199" s="89"/>
      <c r="O199" s="90"/>
    </row>
    <row r="200" customFormat="false" ht="15.75" hidden="false" customHeight="true" outlineLevel="0" collapsed="false">
      <c r="A200" s="89"/>
      <c r="O200" s="90"/>
    </row>
    <row r="201" customFormat="false" ht="15.75" hidden="false" customHeight="true" outlineLevel="0" collapsed="false">
      <c r="A201" s="89"/>
      <c r="O201" s="90"/>
    </row>
    <row r="202" customFormat="false" ht="15.75" hidden="false" customHeight="true" outlineLevel="0" collapsed="false">
      <c r="A202" s="89"/>
      <c r="O202" s="90"/>
    </row>
    <row r="203" customFormat="false" ht="15.75" hidden="false" customHeight="true" outlineLevel="0" collapsed="false">
      <c r="A203" s="89"/>
      <c r="O203" s="90"/>
    </row>
    <row r="204" customFormat="false" ht="15.75" hidden="false" customHeight="true" outlineLevel="0" collapsed="false">
      <c r="A204" s="89"/>
      <c r="O204" s="90"/>
    </row>
    <row r="205" customFormat="false" ht="15.75" hidden="false" customHeight="true" outlineLevel="0" collapsed="false">
      <c r="A205" s="89"/>
      <c r="O205" s="90"/>
    </row>
    <row r="206" customFormat="false" ht="15.75" hidden="false" customHeight="true" outlineLevel="0" collapsed="false">
      <c r="A206" s="89"/>
      <c r="O206" s="90"/>
    </row>
    <row r="207" customFormat="false" ht="15.75" hidden="false" customHeight="true" outlineLevel="0" collapsed="false">
      <c r="A207" s="89"/>
      <c r="O207" s="90"/>
    </row>
    <row r="208" customFormat="false" ht="15.75" hidden="false" customHeight="true" outlineLevel="0" collapsed="false">
      <c r="A208" s="89"/>
      <c r="O208" s="90"/>
    </row>
    <row r="209" customFormat="false" ht="15.75" hidden="false" customHeight="true" outlineLevel="0" collapsed="false">
      <c r="A209" s="89"/>
      <c r="O209" s="90"/>
    </row>
    <row r="210" customFormat="false" ht="15.75" hidden="false" customHeight="true" outlineLevel="0" collapsed="false">
      <c r="A210" s="89"/>
      <c r="O210" s="90"/>
    </row>
    <row r="211" customFormat="false" ht="15.75" hidden="false" customHeight="true" outlineLevel="0" collapsed="false">
      <c r="A211" s="89"/>
      <c r="O211" s="90"/>
    </row>
    <row r="212" customFormat="false" ht="15.75" hidden="false" customHeight="true" outlineLevel="0" collapsed="false">
      <c r="A212" s="89"/>
      <c r="O212" s="90"/>
    </row>
    <row r="213" customFormat="false" ht="15.75" hidden="false" customHeight="true" outlineLevel="0" collapsed="false">
      <c r="A213" s="89"/>
      <c r="O213" s="90"/>
    </row>
    <row r="214" customFormat="false" ht="15.75" hidden="false" customHeight="true" outlineLevel="0" collapsed="false">
      <c r="A214" s="89"/>
      <c r="O214" s="90"/>
    </row>
    <row r="215" customFormat="false" ht="15.75" hidden="false" customHeight="true" outlineLevel="0" collapsed="false">
      <c r="A215" s="89"/>
      <c r="O215" s="90"/>
    </row>
    <row r="216" customFormat="false" ht="15.75" hidden="false" customHeight="true" outlineLevel="0" collapsed="false">
      <c r="A216" s="89"/>
      <c r="O216" s="90"/>
    </row>
    <row r="217" customFormat="false" ht="15.75" hidden="false" customHeight="true" outlineLevel="0" collapsed="false">
      <c r="A217" s="89"/>
      <c r="O217" s="90"/>
    </row>
    <row r="218" customFormat="false" ht="15.75" hidden="false" customHeight="true" outlineLevel="0" collapsed="false">
      <c r="A218" s="89"/>
      <c r="O218" s="90"/>
    </row>
    <row r="219" customFormat="false" ht="15.75" hidden="false" customHeight="true" outlineLevel="0" collapsed="false">
      <c r="A219" s="89"/>
      <c r="O219" s="90"/>
    </row>
    <row r="220" customFormat="false" ht="15.75" hidden="false" customHeight="true" outlineLevel="0" collapsed="false">
      <c r="A220" s="89"/>
      <c r="O220" s="90"/>
    </row>
    <row r="221" customFormat="false" ht="15.75" hidden="false" customHeight="true" outlineLevel="0" collapsed="false">
      <c r="A221" s="89"/>
      <c r="O221" s="90"/>
    </row>
    <row r="222" customFormat="false" ht="15.75" hidden="false" customHeight="true" outlineLevel="0" collapsed="false">
      <c r="A222" s="89"/>
      <c r="O222" s="90"/>
    </row>
    <row r="223" customFormat="false" ht="15.75" hidden="false" customHeight="true" outlineLevel="0" collapsed="false">
      <c r="A223" s="89"/>
      <c r="O223" s="90"/>
    </row>
    <row r="224" customFormat="false" ht="15.75" hidden="false" customHeight="true" outlineLevel="0" collapsed="false">
      <c r="A224" s="89"/>
      <c r="O224" s="90"/>
    </row>
    <row r="225" customFormat="false" ht="15.75" hidden="false" customHeight="true" outlineLevel="0" collapsed="false">
      <c r="A225" s="89"/>
      <c r="O225" s="90"/>
    </row>
    <row r="226" customFormat="false" ht="15.75" hidden="false" customHeight="true" outlineLevel="0" collapsed="false">
      <c r="A226" s="89"/>
      <c r="O226" s="90"/>
    </row>
    <row r="227" customFormat="false" ht="15.75" hidden="false" customHeight="true" outlineLevel="0" collapsed="false">
      <c r="A227" s="89"/>
      <c r="O227" s="90"/>
    </row>
    <row r="228" customFormat="false" ht="15.75" hidden="false" customHeight="true" outlineLevel="0" collapsed="false">
      <c r="A228" s="89"/>
      <c r="O228" s="90"/>
    </row>
    <row r="229" customFormat="false" ht="15.75" hidden="false" customHeight="true" outlineLevel="0" collapsed="false">
      <c r="A229" s="89"/>
      <c r="O229" s="90"/>
    </row>
    <row r="230" customFormat="false" ht="15.75" hidden="false" customHeight="true" outlineLevel="0" collapsed="false">
      <c r="A230" s="89"/>
      <c r="O230" s="90"/>
    </row>
    <row r="231" customFormat="false" ht="15.75" hidden="false" customHeight="true" outlineLevel="0" collapsed="false">
      <c r="A231" s="89"/>
      <c r="O231" s="90"/>
    </row>
    <row r="232" customFormat="false" ht="15.75" hidden="false" customHeight="true" outlineLevel="0" collapsed="false">
      <c r="A232" s="89"/>
      <c r="O232" s="90"/>
    </row>
    <row r="233" customFormat="false" ht="15.75" hidden="false" customHeight="true" outlineLevel="0" collapsed="false">
      <c r="A233" s="89"/>
      <c r="O233" s="90"/>
    </row>
    <row r="234" customFormat="false" ht="15.75" hidden="false" customHeight="true" outlineLevel="0" collapsed="false">
      <c r="A234" s="89"/>
      <c r="O234" s="90"/>
    </row>
    <row r="235" customFormat="false" ht="15.75" hidden="false" customHeight="true" outlineLevel="0" collapsed="false">
      <c r="A235" s="89"/>
      <c r="O235" s="90"/>
    </row>
    <row r="236" customFormat="false" ht="15.75" hidden="false" customHeight="true" outlineLevel="0" collapsed="false">
      <c r="A236" s="89"/>
      <c r="O236" s="90"/>
    </row>
    <row r="237" customFormat="false" ht="15.75" hidden="false" customHeight="true" outlineLevel="0" collapsed="false">
      <c r="A237" s="89"/>
      <c r="O237" s="90"/>
    </row>
    <row r="238" customFormat="false" ht="15.75" hidden="false" customHeight="true" outlineLevel="0" collapsed="false">
      <c r="A238" s="89"/>
      <c r="O238" s="90"/>
    </row>
    <row r="239" customFormat="false" ht="15.75" hidden="false" customHeight="true" outlineLevel="0" collapsed="false">
      <c r="A239" s="89"/>
      <c r="O239" s="90"/>
    </row>
    <row r="240" customFormat="false" ht="15.75" hidden="false" customHeight="true" outlineLevel="0" collapsed="false">
      <c r="A240" s="89"/>
      <c r="O240" s="90"/>
    </row>
    <row r="241" customFormat="false" ht="15.75" hidden="false" customHeight="true" outlineLevel="0" collapsed="false">
      <c r="A241" s="89"/>
      <c r="O241" s="90"/>
    </row>
    <row r="242" customFormat="false" ht="15.75" hidden="false" customHeight="true" outlineLevel="0" collapsed="false">
      <c r="A242" s="89"/>
      <c r="O242" s="90"/>
    </row>
    <row r="243" customFormat="false" ht="15.75" hidden="false" customHeight="true" outlineLevel="0" collapsed="false">
      <c r="A243" s="89"/>
      <c r="O243" s="90"/>
    </row>
    <row r="244" customFormat="false" ht="15.75" hidden="false" customHeight="true" outlineLevel="0" collapsed="false">
      <c r="A244" s="89"/>
      <c r="O244" s="90"/>
    </row>
    <row r="245" customFormat="false" ht="15.75" hidden="false" customHeight="true" outlineLevel="0" collapsed="false">
      <c r="A245" s="89"/>
      <c r="O245" s="90"/>
    </row>
    <row r="246" customFormat="false" ht="15.75" hidden="false" customHeight="true" outlineLevel="0" collapsed="false">
      <c r="A246" s="89"/>
      <c r="O246" s="90"/>
    </row>
    <row r="247" customFormat="false" ht="15.75" hidden="false" customHeight="true" outlineLevel="0" collapsed="false">
      <c r="A247" s="89"/>
      <c r="O247" s="90"/>
    </row>
    <row r="248" customFormat="false" ht="15.75" hidden="false" customHeight="true" outlineLevel="0" collapsed="false">
      <c r="A248" s="89"/>
      <c r="O248" s="90"/>
    </row>
    <row r="249" customFormat="false" ht="15.75" hidden="false" customHeight="true" outlineLevel="0" collapsed="false">
      <c r="A249" s="89"/>
      <c r="O249" s="90"/>
    </row>
    <row r="250" customFormat="false" ht="15.75" hidden="false" customHeight="true" outlineLevel="0" collapsed="false">
      <c r="A250" s="89"/>
      <c r="O250" s="90"/>
    </row>
    <row r="251" customFormat="false" ht="15.75" hidden="false" customHeight="true" outlineLevel="0" collapsed="false">
      <c r="A251" s="89"/>
      <c r="O251" s="90"/>
    </row>
    <row r="252" customFormat="false" ht="15.75" hidden="false" customHeight="true" outlineLevel="0" collapsed="false">
      <c r="A252" s="89"/>
      <c r="O252" s="90"/>
    </row>
    <row r="253" customFormat="false" ht="15.75" hidden="false" customHeight="true" outlineLevel="0" collapsed="false">
      <c r="A253" s="89"/>
      <c r="O253" s="90"/>
    </row>
    <row r="254" customFormat="false" ht="15.75" hidden="false" customHeight="true" outlineLevel="0" collapsed="false">
      <c r="A254" s="89"/>
      <c r="O254" s="90"/>
    </row>
    <row r="255" customFormat="false" ht="15.75" hidden="false" customHeight="true" outlineLevel="0" collapsed="false">
      <c r="A255" s="89"/>
      <c r="O255" s="90"/>
    </row>
    <row r="256" customFormat="false" ht="15.75" hidden="false" customHeight="true" outlineLevel="0" collapsed="false">
      <c r="A256" s="89"/>
      <c r="O256" s="90"/>
    </row>
    <row r="257" customFormat="false" ht="15.75" hidden="false" customHeight="true" outlineLevel="0" collapsed="false">
      <c r="A257" s="89"/>
      <c r="O257" s="90"/>
    </row>
    <row r="258" customFormat="false" ht="15.75" hidden="false" customHeight="true" outlineLevel="0" collapsed="false">
      <c r="A258" s="89"/>
      <c r="O258" s="90"/>
    </row>
    <row r="259" customFormat="false" ht="15.75" hidden="false" customHeight="true" outlineLevel="0" collapsed="false">
      <c r="A259" s="89"/>
      <c r="O259" s="90"/>
    </row>
    <row r="260" customFormat="false" ht="15.75" hidden="false" customHeight="true" outlineLevel="0" collapsed="false">
      <c r="A260" s="89"/>
      <c r="O260" s="90"/>
    </row>
    <row r="261" customFormat="false" ht="15.75" hidden="false" customHeight="true" outlineLevel="0" collapsed="false">
      <c r="A261" s="89"/>
      <c r="O261" s="90"/>
    </row>
    <row r="262" customFormat="false" ht="15.75" hidden="false" customHeight="true" outlineLevel="0" collapsed="false">
      <c r="A262" s="89"/>
      <c r="O262" s="90"/>
    </row>
    <row r="263" customFormat="false" ht="15.75" hidden="false" customHeight="true" outlineLevel="0" collapsed="false">
      <c r="A263" s="89"/>
      <c r="O263" s="90"/>
    </row>
    <row r="264" customFormat="false" ht="15.75" hidden="false" customHeight="true" outlineLevel="0" collapsed="false">
      <c r="A264" s="89"/>
      <c r="O264" s="90"/>
    </row>
    <row r="265" customFormat="false" ht="15.75" hidden="false" customHeight="true" outlineLevel="0" collapsed="false">
      <c r="A265" s="89"/>
      <c r="O265" s="90"/>
    </row>
    <row r="266" customFormat="false" ht="15.75" hidden="false" customHeight="true" outlineLevel="0" collapsed="false">
      <c r="A266" s="89"/>
      <c r="O266" s="90"/>
    </row>
    <row r="267" customFormat="false" ht="15.75" hidden="false" customHeight="true" outlineLevel="0" collapsed="false">
      <c r="A267" s="89"/>
      <c r="O267" s="90"/>
    </row>
    <row r="268" customFormat="false" ht="15.75" hidden="false" customHeight="true" outlineLevel="0" collapsed="false">
      <c r="A268" s="89"/>
      <c r="O268" s="90"/>
    </row>
    <row r="269" customFormat="false" ht="15.75" hidden="false" customHeight="true" outlineLevel="0" collapsed="false">
      <c r="A269" s="89"/>
      <c r="O269" s="90"/>
    </row>
    <row r="270" customFormat="false" ht="15.75" hidden="false" customHeight="true" outlineLevel="0" collapsed="false">
      <c r="A270" s="89"/>
      <c r="O270" s="90"/>
    </row>
    <row r="271" customFormat="false" ht="15.75" hidden="false" customHeight="true" outlineLevel="0" collapsed="false">
      <c r="A271" s="89"/>
      <c r="O271" s="90"/>
    </row>
    <row r="272" customFormat="false" ht="15.75" hidden="false" customHeight="true" outlineLevel="0" collapsed="false">
      <c r="A272" s="89"/>
      <c r="O272" s="90"/>
    </row>
    <row r="273" customFormat="false" ht="15.75" hidden="false" customHeight="true" outlineLevel="0" collapsed="false">
      <c r="A273" s="89"/>
      <c r="O273" s="90"/>
    </row>
    <row r="274" customFormat="false" ht="15.75" hidden="false" customHeight="true" outlineLevel="0" collapsed="false">
      <c r="A274" s="89"/>
      <c r="O274" s="90"/>
    </row>
    <row r="275" customFormat="false" ht="15.75" hidden="false" customHeight="true" outlineLevel="0" collapsed="false">
      <c r="A275" s="89"/>
      <c r="O275" s="90"/>
    </row>
    <row r="276" customFormat="false" ht="15.75" hidden="false" customHeight="true" outlineLevel="0" collapsed="false">
      <c r="A276" s="89"/>
      <c r="O276" s="90"/>
    </row>
    <row r="277" customFormat="false" ht="15.75" hidden="false" customHeight="true" outlineLevel="0" collapsed="false">
      <c r="A277" s="89"/>
      <c r="O277" s="90"/>
    </row>
    <row r="278" customFormat="false" ht="15.75" hidden="false" customHeight="true" outlineLevel="0" collapsed="false">
      <c r="A278" s="89"/>
      <c r="O278" s="90"/>
    </row>
    <row r="279" customFormat="false" ht="15.75" hidden="false" customHeight="true" outlineLevel="0" collapsed="false">
      <c r="A279" s="89"/>
      <c r="O279" s="90"/>
    </row>
    <row r="280" customFormat="false" ht="15.75" hidden="false" customHeight="true" outlineLevel="0" collapsed="false">
      <c r="A280" s="89"/>
      <c r="O280" s="90"/>
    </row>
    <row r="281" customFormat="false" ht="15.75" hidden="false" customHeight="true" outlineLevel="0" collapsed="false">
      <c r="A281" s="89"/>
      <c r="O281" s="90"/>
    </row>
    <row r="282" customFormat="false" ht="15.75" hidden="false" customHeight="true" outlineLevel="0" collapsed="false">
      <c r="A282" s="89"/>
      <c r="O282" s="90"/>
    </row>
    <row r="283" customFormat="false" ht="15.75" hidden="false" customHeight="true" outlineLevel="0" collapsed="false">
      <c r="A283" s="89"/>
      <c r="O283" s="90"/>
    </row>
    <row r="284" customFormat="false" ht="15.75" hidden="false" customHeight="true" outlineLevel="0" collapsed="false">
      <c r="A284" s="89"/>
      <c r="O284" s="90"/>
    </row>
    <row r="285" customFormat="false" ht="15.75" hidden="false" customHeight="true" outlineLevel="0" collapsed="false">
      <c r="A285" s="89"/>
      <c r="O285" s="90"/>
    </row>
    <row r="286" customFormat="false" ht="15.75" hidden="false" customHeight="true" outlineLevel="0" collapsed="false">
      <c r="A286" s="89"/>
      <c r="O286" s="90"/>
    </row>
    <row r="287" customFormat="false" ht="15.75" hidden="false" customHeight="true" outlineLevel="0" collapsed="false">
      <c r="A287" s="89"/>
      <c r="O287" s="90"/>
    </row>
    <row r="288" customFormat="false" ht="15.75" hidden="false" customHeight="true" outlineLevel="0" collapsed="false">
      <c r="A288" s="89"/>
      <c r="O288" s="90"/>
    </row>
    <row r="289" customFormat="false" ht="15.75" hidden="false" customHeight="true" outlineLevel="0" collapsed="false">
      <c r="A289" s="89"/>
      <c r="O289" s="90"/>
    </row>
    <row r="290" customFormat="false" ht="15.75" hidden="false" customHeight="true" outlineLevel="0" collapsed="false">
      <c r="A290" s="89"/>
      <c r="O290" s="90"/>
    </row>
    <row r="291" customFormat="false" ht="15.75" hidden="false" customHeight="true" outlineLevel="0" collapsed="false">
      <c r="A291" s="89"/>
      <c r="O291" s="90"/>
    </row>
    <row r="292" customFormat="false" ht="15.75" hidden="false" customHeight="true" outlineLevel="0" collapsed="false">
      <c r="A292" s="89"/>
      <c r="O292" s="90"/>
    </row>
    <row r="293" customFormat="false" ht="15.75" hidden="false" customHeight="true" outlineLevel="0" collapsed="false">
      <c r="A293" s="89"/>
      <c r="O293" s="90"/>
    </row>
    <row r="294" customFormat="false" ht="15.75" hidden="false" customHeight="true" outlineLevel="0" collapsed="false">
      <c r="A294" s="89"/>
      <c r="O294" s="90"/>
    </row>
    <row r="295" customFormat="false" ht="15.75" hidden="false" customHeight="true" outlineLevel="0" collapsed="false">
      <c r="A295" s="89"/>
      <c r="O295" s="90"/>
    </row>
    <row r="296" customFormat="false" ht="15.75" hidden="false" customHeight="true" outlineLevel="0" collapsed="false">
      <c r="A296" s="89"/>
      <c r="O296" s="90"/>
    </row>
    <row r="297" customFormat="false" ht="15.75" hidden="false" customHeight="true" outlineLevel="0" collapsed="false">
      <c r="A297" s="89"/>
      <c r="O297" s="90"/>
    </row>
    <row r="298" customFormat="false" ht="15.75" hidden="false" customHeight="true" outlineLevel="0" collapsed="false">
      <c r="A298" s="89"/>
      <c r="O298" s="90"/>
    </row>
    <row r="299" customFormat="false" ht="15.75" hidden="false" customHeight="true" outlineLevel="0" collapsed="false">
      <c r="A299" s="89"/>
      <c r="O299" s="90"/>
    </row>
    <row r="300" customFormat="false" ht="15.75" hidden="false" customHeight="true" outlineLevel="0" collapsed="false">
      <c r="A300" s="89"/>
      <c r="O300" s="90"/>
    </row>
    <row r="301" customFormat="false" ht="15.75" hidden="false" customHeight="true" outlineLevel="0" collapsed="false">
      <c r="A301" s="89"/>
      <c r="O301" s="90"/>
    </row>
    <row r="302" customFormat="false" ht="15.75" hidden="false" customHeight="true" outlineLevel="0" collapsed="false">
      <c r="A302" s="89"/>
      <c r="O302" s="90"/>
    </row>
    <row r="303" customFormat="false" ht="15.75" hidden="false" customHeight="true" outlineLevel="0" collapsed="false">
      <c r="A303" s="89"/>
      <c r="O303" s="90"/>
    </row>
    <row r="304" customFormat="false" ht="15.75" hidden="false" customHeight="true" outlineLevel="0" collapsed="false">
      <c r="A304" s="89"/>
      <c r="O304" s="90"/>
    </row>
    <row r="305" customFormat="false" ht="15.75" hidden="false" customHeight="true" outlineLevel="0" collapsed="false">
      <c r="A305" s="89"/>
      <c r="O305" s="90"/>
    </row>
    <row r="306" customFormat="false" ht="15.75" hidden="false" customHeight="true" outlineLevel="0" collapsed="false">
      <c r="A306" s="89"/>
      <c r="O306" s="90"/>
    </row>
    <row r="307" customFormat="false" ht="15.75" hidden="false" customHeight="true" outlineLevel="0" collapsed="false">
      <c r="A307" s="89"/>
      <c r="O307" s="90"/>
    </row>
    <row r="308" customFormat="false" ht="15.75" hidden="false" customHeight="true" outlineLevel="0" collapsed="false">
      <c r="A308" s="89"/>
      <c r="O308" s="90"/>
    </row>
    <row r="309" customFormat="false" ht="15.75" hidden="false" customHeight="true" outlineLevel="0" collapsed="false">
      <c r="A309" s="89"/>
      <c r="O309" s="90"/>
    </row>
    <row r="310" customFormat="false" ht="15.75" hidden="false" customHeight="true" outlineLevel="0" collapsed="false">
      <c r="A310" s="89"/>
      <c r="O310" s="90"/>
    </row>
    <row r="311" customFormat="false" ht="15.75" hidden="false" customHeight="true" outlineLevel="0" collapsed="false">
      <c r="A311" s="89"/>
      <c r="O311" s="90"/>
    </row>
    <row r="312" customFormat="false" ht="15.75" hidden="false" customHeight="true" outlineLevel="0" collapsed="false">
      <c r="A312" s="89"/>
      <c r="O312" s="90"/>
    </row>
    <row r="313" customFormat="false" ht="15.75" hidden="false" customHeight="true" outlineLevel="0" collapsed="false">
      <c r="A313" s="89"/>
      <c r="O313" s="90"/>
    </row>
    <row r="314" customFormat="false" ht="15.75" hidden="false" customHeight="true" outlineLevel="0" collapsed="false">
      <c r="A314" s="89"/>
      <c r="O314" s="90"/>
    </row>
    <row r="315" customFormat="false" ht="15.75" hidden="false" customHeight="true" outlineLevel="0" collapsed="false">
      <c r="A315" s="89"/>
      <c r="O315" s="90"/>
    </row>
    <row r="316" customFormat="false" ht="15.75" hidden="false" customHeight="true" outlineLevel="0" collapsed="false">
      <c r="A316" s="89"/>
      <c r="O316" s="90"/>
    </row>
    <row r="317" customFormat="false" ht="15.75" hidden="false" customHeight="true" outlineLevel="0" collapsed="false">
      <c r="A317" s="89"/>
      <c r="O317" s="90"/>
    </row>
    <row r="318" customFormat="false" ht="15.75" hidden="false" customHeight="true" outlineLevel="0" collapsed="false">
      <c r="A318" s="89"/>
      <c r="O318" s="90"/>
    </row>
    <row r="319" customFormat="false" ht="15.75" hidden="false" customHeight="true" outlineLevel="0" collapsed="false">
      <c r="A319" s="89"/>
      <c r="O319" s="90"/>
    </row>
    <row r="320" customFormat="false" ht="15.75" hidden="false" customHeight="true" outlineLevel="0" collapsed="false">
      <c r="A320" s="89"/>
      <c r="O320" s="90"/>
    </row>
    <row r="321" customFormat="false" ht="15.75" hidden="false" customHeight="true" outlineLevel="0" collapsed="false">
      <c r="A321" s="89"/>
      <c r="O321" s="90"/>
    </row>
    <row r="322" customFormat="false" ht="15.75" hidden="false" customHeight="true" outlineLevel="0" collapsed="false">
      <c r="A322" s="89"/>
      <c r="O322" s="90"/>
    </row>
    <row r="323" customFormat="false" ht="15.75" hidden="false" customHeight="true" outlineLevel="0" collapsed="false">
      <c r="A323" s="89"/>
      <c r="O323" s="90"/>
    </row>
    <row r="324" customFormat="false" ht="15.75" hidden="false" customHeight="true" outlineLevel="0" collapsed="false">
      <c r="A324" s="89"/>
      <c r="O324" s="90"/>
    </row>
    <row r="325" customFormat="false" ht="15.75" hidden="false" customHeight="true" outlineLevel="0" collapsed="false">
      <c r="A325" s="89"/>
      <c r="O325" s="90"/>
    </row>
    <row r="326" customFormat="false" ht="15.75" hidden="false" customHeight="true" outlineLevel="0" collapsed="false">
      <c r="A326" s="89"/>
      <c r="O326" s="90"/>
    </row>
    <row r="327" customFormat="false" ht="15.75" hidden="false" customHeight="true" outlineLevel="0" collapsed="false">
      <c r="A327" s="89"/>
      <c r="O327" s="90"/>
    </row>
    <row r="328" customFormat="false" ht="15.75" hidden="false" customHeight="true" outlineLevel="0" collapsed="false">
      <c r="A328" s="89"/>
      <c r="O328" s="90"/>
    </row>
    <row r="329" customFormat="false" ht="15.75" hidden="false" customHeight="true" outlineLevel="0" collapsed="false">
      <c r="A329" s="89"/>
      <c r="O329" s="90"/>
    </row>
    <row r="330" customFormat="false" ht="15.75" hidden="false" customHeight="true" outlineLevel="0" collapsed="false">
      <c r="A330" s="89"/>
      <c r="O330" s="90"/>
    </row>
    <row r="331" customFormat="false" ht="15.75" hidden="false" customHeight="true" outlineLevel="0" collapsed="false">
      <c r="A331" s="89"/>
      <c r="O331" s="90"/>
    </row>
    <row r="332" customFormat="false" ht="15.75" hidden="false" customHeight="true" outlineLevel="0" collapsed="false">
      <c r="A332" s="89"/>
      <c r="O332" s="90"/>
    </row>
    <row r="333" customFormat="false" ht="15.75" hidden="false" customHeight="true" outlineLevel="0" collapsed="false">
      <c r="A333" s="89"/>
      <c r="O333" s="90"/>
    </row>
    <row r="334" customFormat="false" ht="15.75" hidden="false" customHeight="true" outlineLevel="0" collapsed="false">
      <c r="A334" s="89"/>
      <c r="O334" s="90"/>
    </row>
    <row r="335" customFormat="false" ht="15.75" hidden="false" customHeight="true" outlineLevel="0" collapsed="false">
      <c r="A335" s="89"/>
      <c r="O335" s="90"/>
    </row>
    <row r="336" customFormat="false" ht="15.75" hidden="false" customHeight="true" outlineLevel="0" collapsed="false">
      <c r="A336" s="89"/>
      <c r="O336" s="90"/>
    </row>
    <row r="337" customFormat="false" ht="15.75" hidden="false" customHeight="true" outlineLevel="0" collapsed="false">
      <c r="A337" s="89"/>
      <c r="O337" s="90"/>
    </row>
    <row r="338" customFormat="false" ht="15.75" hidden="false" customHeight="true" outlineLevel="0" collapsed="false">
      <c r="A338" s="89"/>
      <c r="O338" s="90"/>
    </row>
    <row r="339" customFormat="false" ht="15.75" hidden="false" customHeight="true" outlineLevel="0" collapsed="false">
      <c r="A339" s="89"/>
      <c r="O339" s="90"/>
    </row>
    <row r="340" customFormat="false" ht="15.75" hidden="false" customHeight="true" outlineLevel="0" collapsed="false">
      <c r="A340" s="89"/>
      <c r="O340" s="90"/>
    </row>
    <row r="341" customFormat="false" ht="15.75" hidden="false" customHeight="true" outlineLevel="0" collapsed="false">
      <c r="A341" s="89"/>
      <c r="O341" s="90"/>
    </row>
    <row r="342" customFormat="false" ht="15.75" hidden="false" customHeight="true" outlineLevel="0" collapsed="false">
      <c r="A342" s="89"/>
      <c r="O342" s="90"/>
    </row>
    <row r="343" customFormat="false" ht="15.75" hidden="false" customHeight="true" outlineLevel="0" collapsed="false">
      <c r="A343" s="89"/>
      <c r="O343" s="90"/>
    </row>
    <row r="344" customFormat="false" ht="15.75" hidden="false" customHeight="true" outlineLevel="0" collapsed="false">
      <c r="A344" s="89"/>
      <c r="O344" s="90"/>
    </row>
    <row r="345" customFormat="false" ht="15.75" hidden="false" customHeight="true" outlineLevel="0" collapsed="false">
      <c r="A345" s="89"/>
      <c r="O345" s="90"/>
    </row>
    <row r="346" customFormat="false" ht="15.75" hidden="false" customHeight="true" outlineLevel="0" collapsed="false">
      <c r="A346" s="89"/>
      <c r="O346" s="90"/>
    </row>
    <row r="347" customFormat="false" ht="15.75" hidden="false" customHeight="true" outlineLevel="0" collapsed="false">
      <c r="A347" s="89"/>
      <c r="O347" s="90"/>
    </row>
    <row r="348" customFormat="false" ht="15.75" hidden="false" customHeight="true" outlineLevel="0" collapsed="false">
      <c r="A348" s="89"/>
      <c r="O348" s="90"/>
    </row>
    <row r="349" customFormat="false" ht="15.75" hidden="false" customHeight="true" outlineLevel="0" collapsed="false">
      <c r="A349" s="89"/>
      <c r="O349" s="90"/>
    </row>
    <row r="350" customFormat="false" ht="15.75" hidden="false" customHeight="true" outlineLevel="0" collapsed="false">
      <c r="A350" s="89"/>
      <c r="O350" s="90"/>
    </row>
    <row r="351" customFormat="false" ht="15.75" hidden="false" customHeight="true" outlineLevel="0" collapsed="false">
      <c r="A351" s="89"/>
      <c r="O351" s="90"/>
    </row>
    <row r="352" customFormat="false" ht="15.75" hidden="false" customHeight="true" outlineLevel="0" collapsed="false">
      <c r="A352" s="89"/>
      <c r="O352" s="90"/>
    </row>
    <row r="353" customFormat="false" ht="15.75" hidden="false" customHeight="true" outlineLevel="0" collapsed="false">
      <c r="A353" s="89"/>
      <c r="O353" s="90"/>
    </row>
    <row r="354" customFormat="false" ht="15.75" hidden="false" customHeight="true" outlineLevel="0" collapsed="false">
      <c r="A354" s="89"/>
      <c r="O354" s="90"/>
    </row>
    <row r="355" customFormat="false" ht="15.75" hidden="false" customHeight="true" outlineLevel="0" collapsed="false">
      <c r="A355" s="89"/>
      <c r="O355" s="90"/>
    </row>
    <row r="356" customFormat="false" ht="15.75" hidden="false" customHeight="true" outlineLevel="0" collapsed="false">
      <c r="A356" s="89"/>
      <c r="O356" s="90"/>
    </row>
    <row r="357" customFormat="false" ht="15.75" hidden="false" customHeight="true" outlineLevel="0" collapsed="false">
      <c r="A357" s="89"/>
      <c r="O357" s="90"/>
    </row>
    <row r="358" customFormat="false" ht="15.75" hidden="false" customHeight="true" outlineLevel="0" collapsed="false">
      <c r="A358" s="89"/>
      <c r="O358" s="90"/>
    </row>
    <row r="359" customFormat="false" ht="15.75" hidden="false" customHeight="true" outlineLevel="0" collapsed="false">
      <c r="A359" s="89"/>
      <c r="O359" s="90"/>
    </row>
    <row r="360" customFormat="false" ht="15.75" hidden="false" customHeight="true" outlineLevel="0" collapsed="false">
      <c r="A360" s="89"/>
      <c r="O360" s="90"/>
    </row>
    <row r="361" customFormat="false" ht="15.75" hidden="false" customHeight="true" outlineLevel="0" collapsed="false">
      <c r="A361" s="89"/>
      <c r="O361" s="90"/>
    </row>
    <row r="362" customFormat="false" ht="15.75" hidden="false" customHeight="true" outlineLevel="0" collapsed="false">
      <c r="A362" s="89"/>
      <c r="O362" s="90"/>
    </row>
    <row r="363" customFormat="false" ht="15.75" hidden="false" customHeight="true" outlineLevel="0" collapsed="false">
      <c r="A363" s="89"/>
      <c r="O363" s="90"/>
    </row>
    <row r="364" customFormat="false" ht="15.75" hidden="false" customHeight="true" outlineLevel="0" collapsed="false">
      <c r="A364" s="89"/>
      <c r="O364" s="90"/>
    </row>
    <row r="365" customFormat="false" ht="15.75" hidden="false" customHeight="true" outlineLevel="0" collapsed="false">
      <c r="A365" s="89"/>
      <c r="O365" s="90"/>
    </row>
    <row r="366" customFormat="false" ht="15.75" hidden="false" customHeight="true" outlineLevel="0" collapsed="false">
      <c r="A366" s="89"/>
      <c r="O366" s="90"/>
    </row>
    <row r="367" customFormat="false" ht="15.75" hidden="false" customHeight="true" outlineLevel="0" collapsed="false">
      <c r="A367" s="89"/>
      <c r="O367" s="90"/>
    </row>
    <row r="368" customFormat="false" ht="15.75" hidden="false" customHeight="true" outlineLevel="0" collapsed="false">
      <c r="A368" s="89"/>
      <c r="O368" s="90"/>
    </row>
    <row r="369" customFormat="false" ht="15.75" hidden="false" customHeight="true" outlineLevel="0" collapsed="false">
      <c r="A369" s="89"/>
      <c r="O369" s="90"/>
    </row>
    <row r="370" customFormat="false" ht="15.75" hidden="false" customHeight="true" outlineLevel="0" collapsed="false">
      <c r="A370" s="89"/>
      <c r="O370" s="90"/>
    </row>
    <row r="371" customFormat="false" ht="15.75" hidden="false" customHeight="true" outlineLevel="0" collapsed="false">
      <c r="A371" s="89"/>
      <c r="O371" s="90"/>
    </row>
    <row r="372" customFormat="false" ht="15.75" hidden="false" customHeight="true" outlineLevel="0" collapsed="false">
      <c r="A372" s="89"/>
      <c r="O372" s="90"/>
    </row>
    <row r="373" customFormat="false" ht="15.75" hidden="false" customHeight="true" outlineLevel="0" collapsed="false">
      <c r="A373" s="89"/>
      <c r="O373" s="90"/>
    </row>
    <row r="374" customFormat="false" ht="15.75" hidden="false" customHeight="true" outlineLevel="0" collapsed="false">
      <c r="A374" s="89"/>
      <c r="O374" s="90"/>
    </row>
    <row r="375" customFormat="false" ht="15.75" hidden="false" customHeight="true" outlineLevel="0" collapsed="false">
      <c r="A375" s="89"/>
      <c r="O375" s="90"/>
    </row>
    <row r="376" customFormat="false" ht="15.75" hidden="false" customHeight="true" outlineLevel="0" collapsed="false">
      <c r="A376" s="89"/>
      <c r="O376" s="90"/>
    </row>
    <row r="377" customFormat="false" ht="15.75" hidden="false" customHeight="true" outlineLevel="0" collapsed="false">
      <c r="A377" s="89"/>
      <c r="O377" s="90"/>
    </row>
    <row r="378" customFormat="false" ht="15.75" hidden="false" customHeight="true" outlineLevel="0" collapsed="false">
      <c r="A378" s="89"/>
      <c r="O378" s="90"/>
    </row>
    <row r="379" customFormat="false" ht="15.75" hidden="false" customHeight="true" outlineLevel="0" collapsed="false">
      <c r="A379" s="89"/>
      <c r="O379" s="90"/>
    </row>
    <row r="380" customFormat="false" ht="15.75" hidden="false" customHeight="true" outlineLevel="0" collapsed="false">
      <c r="A380" s="89"/>
      <c r="O380" s="90"/>
    </row>
    <row r="381" customFormat="false" ht="15.75" hidden="false" customHeight="true" outlineLevel="0" collapsed="false">
      <c r="A381" s="89"/>
      <c r="O381" s="90"/>
    </row>
    <row r="382" customFormat="false" ht="15.75" hidden="false" customHeight="true" outlineLevel="0" collapsed="false">
      <c r="A382" s="89"/>
      <c r="O382" s="90"/>
    </row>
    <row r="383" customFormat="false" ht="15.75" hidden="false" customHeight="true" outlineLevel="0" collapsed="false">
      <c r="A383" s="89"/>
      <c r="O383" s="90"/>
    </row>
    <row r="384" customFormat="false" ht="15.75" hidden="false" customHeight="true" outlineLevel="0" collapsed="false">
      <c r="A384" s="89"/>
      <c r="O384" s="90"/>
    </row>
    <row r="385" customFormat="false" ht="15.75" hidden="false" customHeight="true" outlineLevel="0" collapsed="false">
      <c r="A385" s="89"/>
      <c r="O385" s="90"/>
    </row>
    <row r="386" customFormat="false" ht="15.75" hidden="false" customHeight="true" outlineLevel="0" collapsed="false">
      <c r="A386" s="89"/>
      <c r="O386" s="90"/>
    </row>
    <row r="387" customFormat="false" ht="15.75" hidden="false" customHeight="true" outlineLevel="0" collapsed="false">
      <c r="A387" s="89"/>
      <c r="O387" s="90"/>
    </row>
    <row r="388" customFormat="false" ht="15.75" hidden="false" customHeight="true" outlineLevel="0" collapsed="false">
      <c r="A388" s="89"/>
      <c r="O388" s="90"/>
    </row>
    <row r="389" customFormat="false" ht="15.75" hidden="false" customHeight="true" outlineLevel="0" collapsed="false">
      <c r="A389" s="89"/>
      <c r="O389" s="90"/>
    </row>
    <row r="390" customFormat="false" ht="15.75" hidden="false" customHeight="true" outlineLevel="0" collapsed="false">
      <c r="A390" s="89"/>
      <c r="O390" s="90"/>
    </row>
    <row r="391" customFormat="false" ht="15.75" hidden="false" customHeight="true" outlineLevel="0" collapsed="false">
      <c r="A391" s="89"/>
      <c r="O391" s="90"/>
    </row>
    <row r="392" customFormat="false" ht="15.75" hidden="false" customHeight="true" outlineLevel="0" collapsed="false">
      <c r="A392" s="89"/>
      <c r="O392" s="90"/>
    </row>
    <row r="393" customFormat="false" ht="15.75" hidden="false" customHeight="true" outlineLevel="0" collapsed="false">
      <c r="A393" s="89"/>
      <c r="O393" s="90"/>
    </row>
    <row r="394" customFormat="false" ht="15.75" hidden="false" customHeight="true" outlineLevel="0" collapsed="false">
      <c r="A394" s="89"/>
      <c r="O394" s="90"/>
    </row>
    <row r="395" customFormat="false" ht="15.75" hidden="false" customHeight="true" outlineLevel="0" collapsed="false">
      <c r="A395" s="89"/>
      <c r="O395" s="90"/>
    </row>
    <row r="396" customFormat="false" ht="15.75" hidden="false" customHeight="true" outlineLevel="0" collapsed="false">
      <c r="A396" s="89"/>
      <c r="O396" s="90"/>
    </row>
    <row r="397" customFormat="false" ht="15.75" hidden="false" customHeight="true" outlineLevel="0" collapsed="false">
      <c r="A397" s="89"/>
      <c r="O397" s="90"/>
    </row>
    <row r="398" customFormat="false" ht="15.75" hidden="false" customHeight="true" outlineLevel="0" collapsed="false">
      <c r="A398" s="89"/>
      <c r="O398" s="90"/>
    </row>
    <row r="399" customFormat="false" ht="15.75" hidden="false" customHeight="true" outlineLevel="0" collapsed="false">
      <c r="A399" s="89"/>
      <c r="O399" s="90"/>
    </row>
    <row r="400" customFormat="false" ht="15.75" hidden="false" customHeight="true" outlineLevel="0" collapsed="false">
      <c r="A400" s="89"/>
      <c r="O400" s="90"/>
    </row>
    <row r="401" customFormat="false" ht="15.75" hidden="false" customHeight="true" outlineLevel="0" collapsed="false">
      <c r="A401" s="89"/>
      <c r="O401" s="90"/>
    </row>
    <row r="402" customFormat="false" ht="15.75" hidden="false" customHeight="true" outlineLevel="0" collapsed="false">
      <c r="A402" s="89"/>
      <c r="O402" s="90"/>
    </row>
    <row r="403" customFormat="false" ht="15.75" hidden="false" customHeight="true" outlineLevel="0" collapsed="false">
      <c r="A403" s="89"/>
      <c r="O403" s="90"/>
    </row>
    <row r="404" customFormat="false" ht="15.75" hidden="false" customHeight="true" outlineLevel="0" collapsed="false">
      <c r="A404" s="89"/>
      <c r="O404" s="90"/>
    </row>
    <row r="405" customFormat="false" ht="15.75" hidden="false" customHeight="true" outlineLevel="0" collapsed="false">
      <c r="A405" s="89"/>
      <c r="O405" s="90"/>
    </row>
    <row r="406" customFormat="false" ht="15.75" hidden="false" customHeight="true" outlineLevel="0" collapsed="false">
      <c r="A406" s="89"/>
      <c r="O406" s="90"/>
    </row>
    <row r="407" customFormat="false" ht="15.75" hidden="false" customHeight="true" outlineLevel="0" collapsed="false">
      <c r="A407" s="89"/>
      <c r="O407" s="90"/>
    </row>
    <row r="408" customFormat="false" ht="15.75" hidden="false" customHeight="true" outlineLevel="0" collapsed="false">
      <c r="A408" s="89"/>
      <c r="O408" s="90"/>
    </row>
    <row r="409" customFormat="false" ht="15.75" hidden="false" customHeight="true" outlineLevel="0" collapsed="false">
      <c r="A409" s="89"/>
      <c r="O409" s="90"/>
    </row>
    <row r="410" customFormat="false" ht="15.75" hidden="false" customHeight="true" outlineLevel="0" collapsed="false">
      <c r="A410" s="89"/>
      <c r="O410" s="90"/>
    </row>
    <row r="411" customFormat="false" ht="15.75" hidden="false" customHeight="true" outlineLevel="0" collapsed="false">
      <c r="A411" s="89"/>
      <c r="O411" s="90"/>
    </row>
    <row r="412" customFormat="false" ht="15.75" hidden="false" customHeight="true" outlineLevel="0" collapsed="false">
      <c r="A412" s="89"/>
      <c r="O412" s="90"/>
    </row>
    <row r="413" customFormat="false" ht="15.75" hidden="false" customHeight="true" outlineLevel="0" collapsed="false">
      <c r="A413" s="89"/>
      <c r="O413" s="90"/>
    </row>
    <row r="414" customFormat="false" ht="15.75" hidden="false" customHeight="true" outlineLevel="0" collapsed="false">
      <c r="A414" s="89"/>
      <c r="O414" s="90"/>
    </row>
    <row r="415" customFormat="false" ht="15.75" hidden="false" customHeight="true" outlineLevel="0" collapsed="false">
      <c r="A415" s="89"/>
      <c r="O415" s="90"/>
    </row>
    <row r="416" customFormat="false" ht="15.75" hidden="false" customHeight="true" outlineLevel="0" collapsed="false">
      <c r="A416" s="89"/>
      <c r="O416" s="90"/>
    </row>
    <row r="417" customFormat="false" ht="15.75" hidden="false" customHeight="true" outlineLevel="0" collapsed="false">
      <c r="A417" s="89"/>
      <c r="O417" s="90"/>
    </row>
    <row r="418" customFormat="false" ht="15.75" hidden="false" customHeight="true" outlineLevel="0" collapsed="false">
      <c r="A418" s="89"/>
      <c r="O418" s="90"/>
    </row>
    <row r="419" customFormat="false" ht="15.75" hidden="false" customHeight="true" outlineLevel="0" collapsed="false">
      <c r="A419" s="89"/>
      <c r="O419" s="90"/>
    </row>
    <row r="420" customFormat="false" ht="15.75" hidden="false" customHeight="true" outlineLevel="0" collapsed="false">
      <c r="A420" s="89"/>
      <c r="O420" s="90"/>
    </row>
    <row r="421" customFormat="false" ht="15.75" hidden="false" customHeight="true" outlineLevel="0" collapsed="false">
      <c r="A421" s="89"/>
      <c r="O421" s="90"/>
    </row>
    <row r="422" customFormat="false" ht="15.75" hidden="false" customHeight="true" outlineLevel="0" collapsed="false">
      <c r="A422" s="89"/>
      <c r="O422" s="90"/>
    </row>
    <row r="423" customFormat="false" ht="15.75" hidden="false" customHeight="true" outlineLevel="0" collapsed="false">
      <c r="A423" s="89"/>
      <c r="O423" s="90"/>
    </row>
    <row r="424" customFormat="false" ht="15.75" hidden="false" customHeight="true" outlineLevel="0" collapsed="false">
      <c r="A424" s="89"/>
      <c r="O424" s="90"/>
    </row>
    <row r="425" customFormat="false" ht="15.75" hidden="false" customHeight="true" outlineLevel="0" collapsed="false">
      <c r="A425" s="89"/>
      <c r="O425" s="90"/>
    </row>
    <row r="426" customFormat="false" ht="15.75" hidden="false" customHeight="true" outlineLevel="0" collapsed="false">
      <c r="A426" s="89"/>
      <c r="O426" s="90"/>
    </row>
    <row r="427" customFormat="false" ht="15.75" hidden="false" customHeight="true" outlineLevel="0" collapsed="false">
      <c r="A427" s="89"/>
      <c r="O427" s="90"/>
    </row>
    <row r="428" customFormat="false" ht="15.75" hidden="false" customHeight="true" outlineLevel="0" collapsed="false">
      <c r="A428" s="89"/>
      <c r="O428" s="90"/>
    </row>
    <row r="429" customFormat="false" ht="15.75" hidden="false" customHeight="true" outlineLevel="0" collapsed="false">
      <c r="A429" s="89"/>
      <c r="O429" s="90"/>
    </row>
    <row r="430" customFormat="false" ht="15.75" hidden="false" customHeight="true" outlineLevel="0" collapsed="false">
      <c r="A430" s="89"/>
      <c r="O430" s="90"/>
    </row>
    <row r="431" customFormat="false" ht="15.75" hidden="false" customHeight="true" outlineLevel="0" collapsed="false">
      <c r="A431" s="89"/>
      <c r="O431" s="90"/>
    </row>
    <row r="432" customFormat="false" ht="15.75" hidden="false" customHeight="true" outlineLevel="0" collapsed="false">
      <c r="A432" s="89"/>
      <c r="O432" s="90"/>
    </row>
    <row r="433" customFormat="false" ht="15.75" hidden="false" customHeight="true" outlineLevel="0" collapsed="false">
      <c r="A433" s="89"/>
      <c r="O433" s="90"/>
    </row>
    <row r="434" customFormat="false" ht="15.75" hidden="false" customHeight="true" outlineLevel="0" collapsed="false">
      <c r="A434" s="89"/>
      <c r="O434" s="90"/>
    </row>
    <row r="435" customFormat="false" ht="15.75" hidden="false" customHeight="true" outlineLevel="0" collapsed="false">
      <c r="A435" s="89"/>
      <c r="O435" s="90"/>
    </row>
    <row r="436" customFormat="false" ht="15.75" hidden="false" customHeight="true" outlineLevel="0" collapsed="false">
      <c r="A436" s="89"/>
      <c r="O436" s="90"/>
    </row>
    <row r="437" customFormat="false" ht="15.75" hidden="false" customHeight="true" outlineLevel="0" collapsed="false">
      <c r="A437" s="89"/>
      <c r="O437" s="90"/>
    </row>
    <row r="438" customFormat="false" ht="15.75" hidden="false" customHeight="true" outlineLevel="0" collapsed="false">
      <c r="A438" s="89"/>
      <c r="O438" s="90"/>
    </row>
    <row r="439" customFormat="false" ht="15.75" hidden="false" customHeight="true" outlineLevel="0" collapsed="false">
      <c r="A439" s="89"/>
      <c r="O439" s="90"/>
    </row>
    <row r="440" customFormat="false" ht="15.75" hidden="false" customHeight="true" outlineLevel="0" collapsed="false">
      <c r="A440" s="89"/>
      <c r="O440" s="90"/>
    </row>
    <row r="441" customFormat="false" ht="15.75" hidden="false" customHeight="true" outlineLevel="0" collapsed="false">
      <c r="A441" s="89"/>
      <c r="O441" s="90"/>
    </row>
    <row r="442" customFormat="false" ht="15.75" hidden="false" customHeight="true" outlineLevel="0" collapsed="false">
      <c r="A442" s="89"/>
      <c r="O442" s="90"/>
    </row>
    <row r="443" customFormat="false" ht="15.75" hidden="false" customHeight="true" outlineLevel="0" collapsed="false">
      <c r="A443" s="89"/>
      <c r="O443" s="90"/>
    </row>
    <row r="444" customFormat="false" ht="15.75" hidden="false" customHeight="true" outlineLevel="0" collapsed="false">
      <c r="A444" s="89"/>
      <c r="O444" s="90"/>
    </row>
    <row r="445" customFormat="false" ht="15.75" hidden="false" customHeight="true" outlineLevel="0" collapsed="false">
      <c r="A445" s="89"/>
      <c r="O445" s="90"/>
    </row>
    <row r="446" customFormat="false" ht="15.75" hidden="false" customHeight="true" outlineLevel="0" collapsed="false">
      <c r="A446" s="89"/>
      <c r="O446" s="90"/>
    </row>
    <row r="447" customFormat="false" ht="15.75" hidden="false" customHeight="true" outlineLevel="0" collapsed="false">
      <c r="A447" s="89"/>
      <c r="O447" s="90"/>
    </row>
    <row r="448" customFormat="false" ht="15.75" hidden="false" customHeight="true" outlineLevel="0" collapsed="false">
      <c r="A448" s="89"/>
      <c r="O448" s="90"/>
    </row>
    <row r="449" customFormat="false" ht="15.75" hidden="false" customHeight="true" outlineLevel="0" collapsed="false">
      <c r="A449" s="89"/>
      <c r="O449" s="90"/>
    </row>
    <row r="450" customFormat="false" ht="15.75" hidden="false" customHeight="true" outlineLevel="0" collapsed="false">
      <c r="A450" s="89"/>
      <c r="O450" s="90"/>
    </row>
    <row r="451" customFormat="false" ht="15.75" hidden="false" customHeight="true" outlineLevel="0" collapsed="false">
      <c r="A451" s="89"/>
      <c r="O451" s="90"/>
    </row>
    <row r="452" customFormat="false" ht="15.75" hidden="false" customHeight="true" outlineLevel="0" collapsed="false">
      <c r="A452" s="89"/>
      <c r="O452" s="90"/>
    </row>
    <row r="453" customFormat="false" ht="15.75" hidden="false" customHeight="true" outlineLevel="0" collapsed="false">
      <c r="A453" s="89"/>
      <c r="O453" s="90"/>
    </row>
    <row r="454" customFormat="false" ht="15.75" hidden="false" customHeight="true" outlineLevel="0" collapsed="false">
      <c r="A454" s="89"/>
      <c r="O454" s="90"/>
    </row>
    <row r="455" customFormat="false" ht="15.75" hidden="false" customHeight="true" outlineLevel="0" collapsed="false">
      <c r="A455" s="89"/>
      <c r="O455" s="90"/>
    </row>
    <row r="456" customFormat="false" ht="15.75" hidden="false" customHeight="true" outlineLevel="0" collapsed="false">
      <c r="A456" s="89"/>
      <c r="O456" s="90"/>
    </row>
    <row r="457" customFormat="false" ht="15.75" hidden="false" customHeight="true" outlineLevel="0" collapsed="false">
      <c r="A457" s="89"/>
      <c r="O457" s="90"/>
    </row>
    <row r="458" customFormat="false" ht="15.75" hidden="false" customHeight="true" outlineLevel="0" collapsed="false">
      <c r="A458" s="89"/>
      <c r="O458" s="90"/>
    </row>
    <row r="459" customFormat="false" ht="15.75" hidden="false" customHeight="true" outlineLevel="0" collapsed="false">
      <c r="A459" s="89"/>
      <c r="O459" s="90"/>
    </row>
    <row r="460" customFormat="false" ht="15.75" hidden="false" customHeight="true" outlineLevel="0" collapsed="false">
      <c r="A460" s="89"/>
      <c r="O460" s="90"/>
    </row>
    <row r="461" customFormat="false" ht="15.75" hidden="false" customHeight="true" outlineLevel="0" collapsed="false">
      <c r="A461" s="89"/>
      <c r="O461" s="90"/>
    </row>
    <row r="462" customFormat="false" ht="15.75" hidden="false" customHeight="true" outlineLevel="0" collapsed="false">
      <c r="A462" s="89"/>
      <c r="O462" s="90"/>
    </row>
    <row r="463" customFormat="false" ht="15.75" hidden="false" customHeight="true" outlineLevel="0" collapsed="false">
      <c r="A463" s="89"/>
      <c r="O463" s="90"/>
    </row>
    <row r="464" customFormat="false" ht="15.75" hidden="false" customHeight="true" outlineLevel="0" collapsed="false">
      <c r="A464" s="89"/>
      <c r="O464" s="90"/>
    </row>
    <row r="465" customFormat="false" ht="15.75" hidden="false" customHeight="true" outlineLevel="0" collapsed="false">
      <c r="A465" s="89"/>
      <c r="O465" s="90"/>
    </row>
    <row r="466" customFormat="false" ht="15.75" hidden="false" customHeight="true" outlineLevel="0" collapsed="false">
      <c r="A466" s="89"/>
      <c r="O466" s="90"/>
    </row>
    <row r="467" customFormat="false" ht="15.75" hidden="false" customHeight="true" outlineLevel="0" collapsed="false">
      <c r="A467" s="89"/>
      <c r="O467" s="90"/>
    </row>
    <row r="468" customFormat="false" ht="15.75" hidden="false" customHeight="true" outlineLevel="0" collapsed="false">
      <c r="A468" s="89"/>
      <c r="O468" s="90"/>
    </row>
    <row r="469" customFormat="false" ht="15.75" hidden="false" customHeight="true" outlineLevel="0" collapsed="false">
      <c r="A469" s="89"/>
      <c r="O469" s="90"/>
    </row>
    <row r="470" customFormat="false" ht="15.75" hidden="false" customHeight="true" outlineLevel="0" collapsed="false">
      <c r="A470" s="89"/>
      <c r="O470" s="90"/>
    </row>
    <row r="471" customFormat="false" ht="15.75" hidden="false" customHeight="true" outlineLevel="0" collapsed="false">
      <c r="A471" s="89"/>
      <c r="O471" s="90"/>
    </row>
    <row r="472" customFormat="false" ht="15.75" hidden="false" customHeight="true" outlineLevel="0" collapsed="false">
      <c r="A472" s="89"/>
      <c r="O472" s="90"/>
    </row>
    <row r="473" customFormat="false" ht="15.75" hidden="false" customHeight="true" outlineLevel="0" collapsed="false">
      <c r="A473" s="89"/>
      <c r="O473" s="90"/>
    </row>
    <row r="474" customFormat="false" ht="15.75" hidden="false" customHeight="true" outlineLevel="0" collapsed="false">
      <c r="A474" s="89"/>
      <c r="O474" s="90"/>
    </row>
    <row r="475" customFormat="false" ht="15.75" hidden="false" customHeight="true" outlineLevel="0" collapsed="false">
      <c r="A475" s="89"/>
      <c r="O475" s="90"/>
    </row>
    <row r="476" customFormat="false" ht="15.75" hidden="false" customHeight="true" outlineLevel="0" collapsed="false">
      <c r="A476" s="89"/>
      <c r="O476" s="90"/>
    </row>
    <row r="477" customFormat="false" ht="15.75" hidden="false" customHeight="true" outlineLevel="0" collapsed="false">
      <c r="A477" s="89"/>
      <c r="O477" s="90"/>
    </row>
    <row r="478" customFormat="false" ht="15.75" hidden="false" customHeight="true" outlineLevel="0" collapsed="false">
      <c r="A478" s="89"/>
      <c r="O478" s="90"/>
    </row>
    <row r="479" customFormat="false" ht="15.75" hidden="false" customHeight="true" outlineLevel="0" collapsed="false">
      <c r="A479" s="89"/>
      <c r="O479" s="90"/>
    </row>
    <row r="480" customFormat="false" ht="15.75" hidden="false" customHeight="true" outlineLevel="0" collapsed="false">
      <c r="A480" s="89"/>
      <c r="O480" s="90"/>
    </row>
    <row r="481" customFormat="false" ht="15.75" hidden="false" customHeight="true" outlineLevel="0" collapsed="false">
      <c r="A481" s="89"/>
      <c r="O481" s="90"/>
    </row>
    <row r="482" customFormat="false" ht="15.75" hidden="false" customHeight="true" outlineLevel="0" collapsed="false">
      <c r="A482" s="89"/>
      <c r="O482" s="90"/>
    </row>
    <row r="483" customFormat="false" ht="15.75" hidden="false" customHeight="true" outlineLevel="0" collapsed="false">
      <c r="A483" s="89"/>
      <c r="O483" s="90"/>
    </row>
    <row r="484" customFormat="false" ht="15.75" hidden="false" customHeight="true" outlineLevel="0" collapsed="false">
      <c r="A484" s="89"/>
      <c r="O484" s="90"/>
    </row>
    <row r="485" customFormat="false" ht="15.75" hidden="false" customHeight="true" outlineLevel="0" collapsed="false">
      <c r="A485" s="89"/>
      <c r="O485" s="90"/>
    </row>
    <row r="486" customFormat="false" ht="15.75" hidden="false" customHeight="true" outlineLevel="0" collapsed="false">
      <c r="A486" s="89"/>
      <c r="O486" s="90"/>
    </row>
    <row r="487" customFormat="false" ht="15.75" hidden="false" customHeight="true" outlineLevel="0" collapsed="false">
      <c r="A487" s="89"/>
      <c r="O487" s="90"/>
    </row>
    <row r="488" customFormat="false" ht="15.75" hidden="false" customHeight="true" outlineLevel="0" collapsed="false">
      <c r="A488" s="89"/>
      <c r="O488" s="90"/>
    </row>
    <row r="489" customFormat="false" ht="15.75" hidden="false" customHeight="true" outlineLevel="0" collapsed="false">
      <c r="A489" s="89"/>
      <c r="O489" s="90"/>
    </row>
    <row r="490" customFormat="false" ht="15.75" hidden="false" customHeight="true" outlineLevel="0" collapsed="false">
      <c r="A490" s="89"/>
      <c r="O490" s="90"/>
    </row>
    <row r="491" customFormat="false" ht="15.75" hidden="false" customHeight="true" outlineLevel="0" collapsed="false">
      <c r="A491" s="89"/>
      <c r="O491" s="90"/>
    </row>
    <row r="492" customFormat="false" ht="15.75" hidden="false" customHeight="true" outlineLevel="0" collapsed="false">
      <c r="A492" s="89"/>
      <c r="O492" s="90"/>
    </row>
    <row r="493" customFormat="false" ht="15.75" hidden="false" customHeight="true" outlineLevel="0" collapsed="false">
      <c r="A493" s="89"/>
      <c r="O493" s="90"/>
    </row>
    <row r="494" customFormat="false" ht="15.75" hidden="false" customHeight="true" outlineLevel="0" collapsed="false">
      <c r="A494" s="89"/>
      <c r="O494" s="90"/>
    </row>
    <row r="495" customFormat="false" ht="15.75" hidden="false" customHeight="true" outlineLevel="0" collapsed="false">
      <c r="A495" s="89"/>
      <c r="O495" s="90"/>
    </row>
    <row r="496" customFormat="false" ht="15.75" hidden="false" customHeight="true" outlineLevel="0" collapsed="false">
      <c r="A496" s="89"/>
      <c r="O496" s="90"/>
    </row>
    <row r="497" customFormat="false" ht="15.75" hidden="false" customHeight="true" outlineLevel="0" collapsed="false">
      <c r="A497" s="89"/>
      <c r="O497" s="90"/>
    </row>
    <row r="498" customFormat="false" ht="15.75" hidden="false" customHeight="true" outlineLevel="0" collapsed="false">
      <c r="A498" s="89"/>
      <c r="O498" s="90"/>
    </row>
    <row r="499" customFormat="false" ht="15.75" hidden="false" customHeight="true" outlineLevel="0" collapsed="false">
      <c r="A499" s="89"/>
      <c r="O499" s="90"/>
    </row>
    <row r="500" customFormat="false" ht="15.75" hidden="false" customHeight="true" outlineLevel="0" collapsed="false">
      <c r="A500" s="89"/>
      <c r="O500" s="90"/>
    </row>
    <row r="501" customFormat="false" ht="15.75" hidden="false" customHeight="true" outlineLevel="0" collapsed="false">
      <c r="A501" s="89"/>
      <c r="O501" s="90"/>
    </row>
    <row r="502" customFormat="false" ht="15.75" hidden="false" customHeight="true" outlineLevel="0" collapsed="false">
      <c r="A502" s="89"/>
      <c r="O502" s="90"/>
    </row>
    <row r="503" customFormat="false" ht="15.75" hidden="false" customHeight="true" outlineLevel="0" collapsed="false">
      <c r="A503" s="89"/>
      <c r="O503" s="90"/>
    </row>
    <row r="504" customFormat="false" ht="15.75" hidden="false" customHeight="true" outlineLevel="0" collapsed="false">
      <c r="A504" s="89"/>
      <c r="O504" s="90"/>
    </row>
    <row r="505" customFormat="false" ht="15.75" hidden="false" customHeight="true" outlineLevel="0" collapsed="false">
      <c r="A505" s="89"/>
      <c r="O505" s="90"/>
    </row>
    <row r="506" customFormat="false" ht="15.75" hidden="false" customHeight="true" outlineLevel="0" collapsed="false">
      <c r="A506" s="89"/>
      <c r="O506" s="90"/>
    </row>
    <row r="507" customFormat="false" ht="15.75" hidden="false" customHeight="true" outlineLevel="0" collapsed="false">
      <c r="A507" s="89"/>
      <c r="O507" s="90"/>
    </row>
    <row r="508" customFormat="false" ht="15.75" hidden="false" customHeight="true" outlineLevel="0" collapsed="false">
      <c r="A508" s="89"/>
      <c r="O508" s="90"/>
    </row>
    <row r="509" customFormat="false" ht="15.75" hidden="false" customHeight="true" outlineLevel="0" collapsed="false">
      <c r="A509" s="89"/>
      <c r="O509" s="90"/>
    </row>
    <row r="510" customFormat="false" ht="15.75" hidden="false" customHeight="true" outlineLevel="0" collapsed="false">
      <c r="A510" s="89"/>
      <c r="O510" s="90"/>
    </row>
    <row r="511" customFormat="false" ht="15.75" hidden="false" customHeight="true" outlineLevel="0" collapsed="false">
      <c r="A511" s="89"/>
      <c r="O511" s="90"/>
    </row>
    <row r="512" customFormat="false" ht="15.75" hidden="false" customHeight="true" outlineLevel="0" collapsed="false">
      <c r="A512" s="89"/>
      <c r="O512" s="90"/>
    </row>
    <row r="513" customFormat="false" ht="15.75" hidden="false" customHeight="true" outlineLevel="0" collapsed="false">
      <c r="A513" s="89"/>
      <c r="O513" s="90"/>
    </row>
    <row r="514" customFormat="false" ht="15.75" hidden="false" customHeight="true" outlineLevel="0" collapsed="false">
      <c r="A514" s="89"/>
      <c r="O514" s="90"/>
    </row>
    <row r="515" customFormat="false" ht="15.75" hidden="false" customHeight="true" outlineLevel="0" collapsed="false">
      <c r="A515" s="89"/>
      <c r="O515" s="90"/>
    </row>
    <row r="516" customFormat="false" ht="15.75" hidden="false" customHeight="true" outlineLevel="0" collapsed="false">
      <c r="A516" s="89"/>
      <c r="O516" s="90"/>
    </row>
    <row r="517" customFormat="false" ht="15.75" hidden="false" customHeight="true" outlineLevel="0" collapsed="false">
      <c r="A517" s="89"/>
      <c r="O517" s="90"/>
    </row>
    <row r="518" customFormat="false" ht="15.75" hidden="false" customHeight="true" outlineLevel="0" collapsed="false">
      <c r="A518" s="89"/>
      <c r="O518" s="90"/>
    </row>
    <row r="519" customFormat="false" ht="15.75" hidden="false" customHeight="true" outlineLevel="0" collapsed="false">
      <c r="A519" s="89"/>
      <c r="O519" s="90"/>
    </row>
    <row r="520" customFormat="false" ht="15.75" hidden="false" customHeight="true" outlineLevel="0" collapsed="false">
      <c r="A520" s="89"/>
      <c r="O520" s="90"/>
    </row>
    <row r="521" customFormat="false" ht="15.75" hidden="false" customHeight="true" outlineLevel="0" collapsed="false">
      <c r="A521" s="89"/>
      <c r="O521" s="90"/>
    </row>
    <row r="522" customFormat="false" ht="15.75" hidden="false" customHeight="true" outlineLevel="0" collapsed="false">
      <c r="A522" s="89"/>
      <c r="O522" s="90"/>
    </row>
    <row r="523" customFormat="false" ht="15.75" hidden="false" customHeight="true" outlineLevel="0" collapsed="false">
      <c r="A523" s="89"/>
      <c r="O523" s="90"/>
    </row>
    <row r="524" customFormat="false" ht="15.75" hidden="false" customHeight="true" outlineLevel="0" collapsed="false">
      <c r="A524" s="89"/>
      <c r="O524" s="90"/>
    </row>
    <row r="525" customFormat="false" ht="15.75" hidden="false" customHeight="true" outlineLevel="0" collapsed="false">
      <c r="A525" s="89"/>
      <c r="O525" s="90"/>
    </row>
    <row r="526" customFormat="false" ht="15.75" hidden="false" customHeight="true" outlineLevel="0" collapsed="false">
      <c r="A526" s="89"/>
      <c r="O526" s="90"/>
    </row>
    <row r="527" customFormat="false" ht="15.75" hidden="false" customHeight="true" outlineLevel="0" collapsed="false">
      <c r="A527" s="89"/>
      <c r="O527" s="90"/>
    </row>
    <row r="528" customFormat="false" ht="15.75" hidden="false" customHeight="true" outlineLevel="0" collapsed="false">
      <c r="A528" s="89"/>
      <c r="O528" s="90"/>
    </row>
    <row r="529" customFormat="false" ht="15.75" hidden="false" customHeight="true" outlineLevel="0" collapsed="false">
      <c r="A529" s="89"/>
      <c r="O529" s="90"/>
    </row>
    <row r="530" customFormat="false" ht="15.75" hidden="false" customHeight="true" outlineLevel="0" collapsed="false">
      <c r="A530" s="89"/>
      <c r="O530" s="90"/>
    </row>
    <row r="531" customFormat="false" ht="15.75" hidden="false" customHeight="true" outlineLevel="0" collapsed="false">
      <c r="A531" s="89"/>
      <c r="O531" s="90"/>
    </row>
    <row r="532" customFormat="false" ht="15.75" hidden="false" customHeight="true" outlineLevel="0" collapsed="false">
      <c r="A532" s="89"/>
      <c r="O532" s="90"/>
    </row>
    <row r="533" customFormat="false" ht="15.75" hidden="false" customHeight="true" outlineLevel="0" collapsed="false">
      <c r="A533" s="89"/>
      <c r="O533" s="90"/>
    </row>
    <row r="534" customFormat="false" ht="15.75" hidden="false" customHeight="true" outlineLevel="0" collapsed="false">
      <c r="A534" s="89"/>
      <c r="O534" s="90"/>
    </row>
    <row r="535" customFormat="false" ht="15.75" hidden="false" customHeight="true" outlineLevel="0" collapsed="false">
      <c r="A535" s="89"/>
      <c r="O535" s="90"/>
    </row>
    <row r="536" customFormat="false" ht="15.75" hidden="false" customHeight="true" outlineLevel="0" collapsed="false">
      <c r="A536" s="89"/>
      <c r="O536" s="90"/>
    </row>
    <row r="537" customFormat="false" ht="15.75" hidden="false" customHeight="true" outlineLevel="0" collapsed="false">
      <c r="A537" s="89"/>
      <c r="O537" s="90"/>
    </row>
    <row r="538" customFormat="false" ht="15.75" hidden="false" customHeight="true" outlineLevel="0" collapsed="false">
      <c r="A538" s="89"/>
      <c r="O538" s="90"/>
    </row>
    <row r="539" customFormat="false" ht="15.75" hidden="false" customHeight="true" outlineLevel="0" collapsed="false">
      <c r="A539" s="89"/>
      <c r="O539" s="90"/>
    </row>
    <row r="540" customFormat="false" ht="15.75" hidden="false" customHeight="true" outlineLevel="0" collapsed="false">
      <c r="A540" s="89"/>
      <c r="O540" s="90"/>
    </row>
    <row r="541" customFormat="false" ht="15.75" hidden="false" customHeight="true" outlineLevel="0" collapsed="false">
      <c r="A541" s="89"/>
      <c r="O541" s="90"/>
    </row>
    <row r="542" customFormat="false" ht="15.75" hidden="false" customHeight="true" outlineLevel="0" collapsed="false">
      <c r="A542" s="89"/>
      <c r="O542" s="90"/>
    </row>
    <row r="543" customFormat="false" ht="15.75" hidden="false" customHeight="true" outlineLevel="0" collapsed="false">
      <c r="A543" s="89"/>
      <c r="O543" s="90"/>
    </row>
    <row r="544" customFormat="false" ht="15.75" hidden="false" customHeight="true" outlineLevel="0" collapsed="false">
      <c r="A544" s="89"/>
      <c r="O544" s="90"/>
    </row>
    <row r="545" customFormat="false" ht="15.75" hidden="false" customHeight="true" outlineLevel="0" collapsed="false">
      <c r="A545" s="89"/>
      <c r="O545" s="90"/>
    </row>
    <row r="546" customFormat="false" ht="15.75" hidden="false" customHeight="true" outlineLevel="0" collapsed="false">
      <c r="A546" s="89"/>
      <c r="O546" s="90"/>
    </row>
    <row r="547" customFormat="false" ht="15.75" hidden="false" customHeight="true" outlineLevel="0" collapsed="false">
      <c r="A547" s="89"/>
      <c r="O547" s="90"/>
    </row>
    <row r="548" customFormat="false" ht="15.75" hidden="false" customHeight="true" outlineLevel="0" collapsed="false">
      <c r="A548" s="89"/>
      <c r="O548" s="90"/>
    </row>
    <row r="549" customFormat="false" ht="15.75" hidden="false" customHeight="true" outlineLevel="0" collapsed="false">
      <c r="A549" s="89"/>
      <c r="O549" s="90"/>
    </row>
    <row r="550" customFormat="false" ht="15.75" hidden="false" customHeight="true" outlineLevel="0" collapsed="false">
      <c r="A550" s="89"/>
      <c r="O550" s="90"/>
    </row>
    <row r="551" customFormat="false" ht="15.75" hidden="false" customHeight="true" outlineLevel="0" collapsed="false">
      <c r="A551" s="89"/>
      <c r="O551" s="90"/>
    </row>
    <row r="552" customFormat="false" ht="15.75" hidden="false" customHeight="true" outlineLevel="0" collapsed="false">
      <c r="A552" s="89"/>
      <c r="O552" s="90"/>
    </row>
    <row r="553" customFormat="false" ht="15.75" hidden="false" customHeight="true" outlineLevel="0" collapsed="false">
      <c r="A553" s="89"/>
      <c r="O553" s="90"/>
    </row>
    <row r="554" customFormat="false" ht="15.75" hidden="false" customHeight="true" outlineLevel="0" collapsed="false">
      <c r="A554" s="89"/>
      <c r="O554" s="90"/>
    </row>
    <row r="555" customFormat="false" ht="15.75" hidden="false" customHeight="true" outlineLevel="0" collapsed="false">
      <c r="A555" s="89"/>
      <c r="O555" s="90"/>
    </row>
    <row r="556" customFormat="false" ht="15.75" hidden="false" customHeight="true" outlineLevel="0" collapsed="false">
      <c r="A556" s="89"/>
      <c r="O556" s="90"/>
    </row>
    <row r="557" customFormat="false" ht="15.75" hidden="false" customHeight="true" outlineLevel="0" collapsed="false">
      <c r="A557" s="89"/>
      <c r="O557" s="90"/>
    </row>
    <row r="558" customFormat="false" ht="15.75" hidden="false" customHeight="true" outlineLevel="0" collapsed="false">
      <c r="A558" s="89"/>
      <c r="O558" s="90"/>
    </row>
    <row r="559" customFormat="false" ht="15.75" hidden="false" customHeight="true" outlineLevel="0" collapsed="false">
      <c r="A559" s="89"/>
      <c r="O559" s="90"/>
    </row>
    <row r="560" customFormat="false" ht="15.75" hidden="false" customHeight="true" outlineLevel="0" collapsed="false">
      <c r="A560" s="89"/>
      <c r="O560" s="90"/>
    </row>
    <row r="561" customFormat="false" ht="15.75" hidden="false" customHeight="true" outlineLevel="0" collapsed="false">
      <c r="A561" s="89"/>
      <c r="O561" s="90"/>
    </row>
    <row r="562" customFormat="false" ht="15.75" hidden="false" customHeight="true" outlineLevel="0" collapsed="false">
      <c r="A562" s="89"/>
      <c r="O562" s="90"/>
    </row>
    <row r="563" customFormat="false" ht="15.75" hidden="false" customHeight="true" outlineLevel="0" collapsed="false">
      <c r="A563" s="89"/>
      <c r="O563" s="90"/>
    </row>
    <row r="564" customFormat="false" ht="15.75" hidden="false" customHeight="true" outlineLevel="0" collapsed="false">
      <c r="A564" s="89"/>
      <c r="O564" s="90"/>
    </row>
    <row r="565" customFormat="false" ht="15.75" hidden="false" customHeight="true" outlineLevel="0" collapsed="false">
      <c r="A565" s="89"/>
      <c r="O565" s="90"/>
    </row>
    <row r="566" customFormat="false" ht="15.75" hidden="false" customHeight="true" outlineLevel="0" collapsed="false">
      <c r="A566" s="89"/>
      <c r="O566" s="90"/>
    </row>
    <row r="567" customFormat="false" ht="15.75" hidden="false" customHeight="true" outlineLevel="0" collapsed="false">
      <c r="A567" s="89"/>
      <c r="O567" s="90"/>
    </row>
    <row r="568" customFormat="false" ht="15.75" hidden="false" customHeight="true" outlineLevel="0" collapsed="false">
      <c r="A568" s="89"/>
      <c r="O568" s="90"/>
    </row>
    <row r="569" customFormat="false" ht="15.75" hidden="false" customHeight="true" outlineLevel="0" collapsed="false">
      <c r="A569" s="89"/>
      <c r="O569" s="90"/>
    </row>
    <row r="570" customFormat="false" ht="15.75" hidden="false" customHeight="true" outlineLevel="0" collapsed="false">
      <c r="A570" s="89"/>
      <c r="O570" s="90"/>
    </row>
    <row r="571" customFormat="false" ht="15.75" hidden="false" customHeight="true" outlineLevel="0" collapsed="false">
      <c r="A571" s="89"/>
      <c r="O571" s="90"/>
    </row>
    <row r="572" customFormat="false" ht="15.75" hidden="false" customHeight="true" outlineLevel="0" collapsed="false">
      <c r="A572" s="89"/>
      <c r="O572" s="90"/>
    </row>
    <row r="573" customFormat="false" ht="15.75" hidden="false" customHeight="true" outlineLevel="0" collapsed="false">
      <c r="A573" s="89"/>
      <c r="O573" s="90"/>
    </row>
    <row r="574" customFormat="false" ht="15.75" hidden="false" customHeight="true" outlineLevel="0" collapsed="false">
      <c r="A574" s="89"/>
      <c r="O574" s="90"/>
    </row>
    <row r="575" customFormat="false" ht="15.75" hidden="false" customHeight="true" outlineLevel="0" collapsed="false">
      <c r="A575" s="89"/>
      <c r="O575" s="90"/>
    </row>
    <row r="576" customFormat="false" ht="15.75" hidden="false" customHeight="true" outlineLevel="0" collapsed="false">
      <c r="A576" s="89"/>
      <c r="O576" s="90"/>
    </row>
    <row r="577" customFormat="false" ht="15.75" hidden="false" customHeight="true" outlineLevel="0" collapsed="false">
      <c r="A577" s="89"/>
      <c r="O577" s="90"/>
    </row>
    <row r="578" customFormat="false" ht="15.75" hidden="false" customHeight="true" outlineLevel="0" collapsed="false">
      <c r="A578" s="89"/>
      <c r="O578" s="90"/>
    </row>
    <row r="579" customFormat="false" ht="15.75" hidden="false" customHeight="true" outlineLevel="0" collapsed="false">
      <c r="A579" s="89"/>
      <c r="O579" s="90"/>
    </row>
    <row r="580" customFormat="false" ht="15.75" hidden="false" customHeight="true" outlineLevel="0" collapsed="false">
      <c r="A580" s="89"/>
      <c r="O580" s="90"/>
    </row>
    <row r="581" customFormat="false" ht="15.75" hidden="false" customHeight="true" outlineLevel="0" collapsed="false">
      <c r="A581" s="89"/>
      <c r="O581" s="90"/>
    </row>
    <row r="582" customFormat="false" ht="15.75" hidden="false" customHeight="true" outlineLevel="0" collapsed="false">
      <c r="A582" s="89"/>
      <c r="O582" s="90"/>
    </row>
    <row r="583" customFormat="false" ht="15.75" hidden="false" customHeight="true" outlineLevel="0" collapsed="false">
      <c r="A583" s="89"/>
      <c r="O583" s="90"/>
    </row>
    <row r="584" customFormat="false" ht="15.75" hidden="false" customHeight="true" outlineLevel="0" collapsed="false">
      <c r="A584" s="89"/>
      <c r="O584" s="90"/>
    </row>
    <row r="585" customFormat="false" ht="15.75" hidden="false" customHeight="true" outlineLevel="0" collapsed="false">
      <c r="A585" s="89"/>
      <c r="O585" s="90"/>
    </row>
    <row r="586" customFormat="false" ht="15.75" hidden="false" customHeight="true" outlineLevel="0" collapsed="false">
      <c r="A586" s="89"/>
      <c r="O586" s="90"/>
    </row>
    <row r="587" customFormat="false" ht="15.75" hidden="false" customHeight="true" outlineLevel="0" collapsed="false">
      <c r="A587" s="89"/>
      <c r="O587" s="90"/>
    </row>
    <row r="588" customFormat="false" ht="15.75" hidden="false" customHeight="true" outlineLevel="0" collapsed="false">
      <c r="A588" s="89"/>
      <c r="O588" s="90"/>
    </row>
    <row r="589" customFormat="false" ht="15.75" hidden="false" customHeight="true" outlineLevel="0" collapsed="false">
      <c r="A589" s="89"/>
      <c r="O589" s="90"/>
    </row>
    <row r="590" customFormat="false" ht="15.75" hidden="false" customHeight="true" outlineLevel="0" collapsed="false">
      <c r="A590" s="89"/>
      <c r="O590" s="90"/>
    </row>
    <row r="591" customFormat="false" ht="15.75" hidden="false" customHeight="true" outlineLevel="0" collapsed="false">
      <c r="A591" s="89"/>
      <c r="O591" s="90"/>
    </row>
    <row r="592" customFormat="false" ht="15.75" hidden="false" customHeight="true" outlineLevel="0" collapsed="false">
      <c r="A592" s="89"/>
      <c r="O592" s="90"/>
    </row>
    <row r="593" customFormat="false" ht="15.75" hidden="false" customHeight="true" outlineLevel="0" collapsed="false">
      <c r="A593" s="89"/>
      <c r="O593" s="90"/>
    </row>
    <row r="594" customFormat="false" ht="15.75" hidden="false" customHeight="true" outlineLevel="0" collapsed="false">
      <c r="A594" s="89"/>
      <c r="O594" s="90"/>
    </row>
    <row r="595" customFormat="false" ht="15.75" hidden="false" customHeight="true" outlineLevel="0" collapsed="false">
      <c r="A595" s="89"/>
      <c r="O595" s="90"/>
    </row>
    <row r="596" customFormat="false" ht="15.75" hidden="false" customHeight="true" outlineLevel="0" collapsed="false">
      <c r="A596" s="89"/>
      <c r="O596" s="90"/>
    </row>
    <row r="597" customFormat="false" ht="15.75" hidden="false" customHeight="true" outlineLevel="0" collapsed="false">
      <c r="A597" s="89"/>
      <c r="O597" s="90"/>
    </row>
    <row r="598" customFormat="false" ht="15.75" hidden="false" customHeight="true" outlineLevel="0" collapsed="false">
      <c r="A598" s="89"/>
      <c r="O598" s="90"/>
    </row>
    <row r="599" customFormat="false" ht="15.75" hidden="false" customHeight="true" outlineLevel="0" collapsed="false">
      <c r="A599" s="89"/>
      <c r="O599" s="90"/>
    </row>
    <row r="600" customFormat="false" ht="15.75" hidden="false" customHeight="true" outlineLevel="0" collapsed="false">
      <c r="A600" s="89"/>
      <c r="O600" s="90"/>
    </row>
    <row r="601" customFormat="false" ht="15.75" hidden="false" customHeight="true" outlineLevel="0" collapsed="false">
      <c r="A601" s="89"/>
      <c r="O601" s="90"/>
    </row>
    <row r="602" customFormat="false" ht="15.75" hidden="false" customHeight="true" outlineLevel="0" collapsed="false">
      <c r="A602" s="89"/>
      <c r="O602" s="90"/>
    </row>
    <row r="603" customFormat="false" ht="15.75" hidden="false" customHeight="true" outlineLevel="0" collapsed="false">
      <c r="A603" s="89"/>
      <c r="O603" s="90"/>
    </row>
    <row r="604" customFormat="false" ht="15.75" hidden="false" customHeight="true" outlineLevel="0" collapsed="false">
      <c r="A604" s="89"/>
      <c r="O604" s="90"/>
    </row>
    <row r="605" customFormat="false" ht="15.75" hidden="false" customHeight="true" outlineLevel="0" collapsed="false">
      <c r="A605" s="89"/>
      <c r="O605" s="90"/>
    </row>
    <row r="606" customFormat="false" ht="15.75" hidden="false" customHeight="true" outlineLevel="0" collapsed="false">
      <c r="A606" s="89"/>
      <c r="O606" s="90"/>
    </row>
    <row r="607" customFormat="false" ht="15.75" hidden="false" customHeight="true" outlineLevel="0" collapsed="false">
      <c r="A607" s="89"/>
      <c r="O607" s="90"/>
    </row>
    <row r="608" customFormat="false" ht="15.75" hidden="false" customHeight="true" outlineLevel="0" collapsed="false">
      <c r="A608" s="89"/>
      <c r="O608" s="90"/>
    </row>
    <row r="609" customFormat="false" ht="15.75" hidden="false" customHeight="true" outlineLevel="0" collapsed="false">
      <c r="A609" s="89"/>
      <c r="O609" s="90"/>
    </row>
    <row r="610" customFormat="false" ht="15.75" hidden="false" customHeight="true" outlineLevel="0" collapsed="false">
      <c r="A610" s="89"/>
      <c r="O610" s="90"/>
    </row>
    <row r="611" customFormat="false" ht="15.75" hidden="false" customHeight="true" outlineLevel="0" collapsed="false">
      <c r="A611" s="89"/>
      <c r="O611" s="90"/>
    </row>
    <row r="612" customFormat="false" ht="15.75" hidden="false" customHeight="true" outlineLevel="0" collapsed="false">
      <c r="A612" s="89"/>
      <c r="O612" s="90"/>
    </row>
    <row r="613" customFormat="false" ht="15.75" hidden="false" customHeight="true" outlineLevel="0" collapsed="false">
      <c r="A613" s="89"/>
      <c r="O613" s="90"/>
    </row>
    <row r="614" customFormat="false" ht="15.75" hidden="false" customHeight="true" outlineLevel="0" collapsed="false">
      <c r="A614" s="89"/>
      <c r="O614" s="90"/>
    </row>
    <row r="615" customFormat="false" ht="15.75" hidden="false" customHeight="true" outlineLevel="0" collapsed="false">
      <c r="A615" s="89"/>
      <c r="O615" s="90"/>
    </row>
    <row r="616" customFormat="false" ht="15.75" hidden="false" customHeight="true" outlineLevel="0" collapsed="false">
      <c r="A616" s="89"/>
      <c r="O616" s="90"/>
    </row>
    <row r="617" customFormat="false" ht="15.75" hidden="false" customHeight="true" outlineLevel="0" collapsed="false">
      <c r="A617" s="89"/>
      <c r="O617" s="90"/>
    </row>
    <row r="618" customFormat="false" ht="15.75" hidden="false" customHeight="true" outlineLevel="0" collapsed="false">
      <c r="A618" s="89"/>
      <c r="O618" s="90"/>
    </row>
    <row r="619" customFormat="false" ht="15.75" hidden="false" customHeight="true" outlineLevel="0" collapsed="false">
      <c r="A619" s="89"/>
      <c r="O619" s="90"/>
    </row>
    <row r="620" customFormat="false" ht="15.75" hidden="false" customHeight="true" outlineLevel="0" collapsed="false">
      <c r="A620" s="89"/>
      <c r="O620" s="90"/>
    </row>
    <row r="621" customFormat="false" ht="15.75" hidden="false" customHeight="true" outlineLevel="0" collapsed="false">
      <c r="A621" s="89"/>
      <c r="O621" s="90"/>
    </row>
    <row r="622" customFormat="false" ht="15.75" hidden="false" customHeight="true" outlineLevel="0" collapsed="false">
      <c r="A622" s="89"/>
      <c r="O622" s="90"/>
    </row>
    <row r="623" customFormat="false" ht="15.75" hidden="false" customHeight="true" outlineLevel="0" collapsed="false">
      <c r="A623" s="89"/>
      <c r="O623" s="90"/>
    </row>
    <row r="624" customFormat="false" ht="15.75" hidden="false" customHeight="true" outlineLevel="0" collapsed="false">
      <c r="A624" s="89"/>
      <c r="O624" s="90"/>
    </row>
    <row r="625" customFormat="false" ht="15.75" hidden="false" customHeight="true" outlineLevel="0" collapsed="false">
      <c r="A625" s="89"/>
      <c r="O625" s="90"/>
    </row>
    <row r="626" customFormat="false" ht="15.75" hidden="false" customHeight="true" outlineLevel="0" collapsed="false">
      <c r="A626" s="89"/>
      <c r="O626" s="90"/>
    </row>
    <row r="627" customFormat="false" ht="15.75" hidden="false" customHeight="true" outlineLevel="0" collapsed="false">
      <c r="A627" s="89"/>
      <c r="O627" s="90"/>
    </row>
    <row r="628" customFormat="false" ht="15.75" hidden="false" customHeight="true" outlineLevel="0" collapsed="false">
      <c r="A628" s="89"/>
      <c r="O628" s="90"/>
    </row>
    <row r="629" customFormat="false" ht="15.75" hidden="false" customHeight="true" outlineLevel="0" collapsed="false">
      <c r="A629" s="89"/>
      <c r="O629" s="90"/>
    </row>
    <row r="630" customFormat="false" ht="15.75" hidden="false" customHeight="true" outlineLevel="0" collapsed="false">
      <c r="A630" s="89"/>
      <c r="O630" s="90"/>
    </row>
    <row r="631" customFormat="false" ht="15.75" hidden="false" customHeight="true" outlineLevel="0" collapsed="false">
      <c r="A631" s="89"/>
      <c r="O631" s="90"/>
    </row>
    <row r="632" customFormat="false" ht="15.75" hidden="false" customHeight="true" outlineLevel="0" collapsed="false">
      <c r="A632" s="89"/>
      <c r="O632" s="90"/>
    </row>
    <row r="633" customFormat="false" ht="15.75" hidden="false" customHeight="true" outlineLevel="0" collapsed="false">
      <c r="A633" s="89"/>
      <c r="O633" s="90"/>
    </row>
    <row r="634" customFormat="false" ht="15.75" hidden="false" customHeight="true" outlineLevel="0" collapsed="false">
      <c r="A634" s="89"/>
      <c r="O634" s="90"/>
    </row>
    <row r="635" customFormat="false" ht="15.75" hidden="false" customHeight="true" outlineLevel="0" collapsed="false">
      <c r="A635" s="89"/>
      <c r="O635" s="90"/>
    </row>
    <row r="636" customFormat="false" ht="15.75" hidden="false" customHeight="true" outlineLevel="0" collapsed="false">
      <c r="A636" s="89"/>
      <c r="O636" s="90"/>
    </row>
    <row r="637" customFormat="false" ht="15.75" hidden="false" customHeight="true" outlineLevel="0" collapsed="false">
      <c r="A637" s="89"/>
      <c r="O637" s="90"/>
    </row>
    <row r="638" customFormat="false" ht="15.75" hidden="false" customHeight="true" outlineLevel="0" collapsed="false">
      <c r="A638" s="89"/>
      <c r="O638" s="90"/>
    </row>
    <row r="639" customFormat="false" ht="15.75" hidden="false" customHeight="true" outlineLevel="0" collapsed="false">
      <c r="A639" s="89"/>
      <c r="O639" s="90"/>
    </row>
    <row r="640" customFormat="false" ht="15.75" hidden="false" customHeight="true" outlineLevel="0" collapsed="false">
      <c r="A640" s="89"/>
      <c r="O640" s="90"/>
    </row>
    <row r="641" customFormat="false" ht="15.75" hidden="false" customHeight="true" outlineLevel="0" collapsed="false">
      <c r="A641" s="89"/>
      <c r="O641" s="90"/>
    </row>
    <row r="642" customFormat="false" ht="15.75" hidden="false" customHeight="true" outlineLevel="0" collapsed="false">
      <c r="A642" s="89"/>
      <c r="O642" s="90"/>
    </row>
    <row r="643" customFormat="false" ht="15.75" hidden="false" customHeight="true" outlineLevel="0" collapsed="false">
      <c r="A643" s="89"/>
      <c r="O643" s="90"/>
    </row>
    <row r="644" customFormat="false" ht="15.75" hidden="false" customHeight="true" outlineLevel="0" collapsed="false">
      <c r="A644" s="89"/>
      <c r="O644" s="90"/>
    </row>
    <row r="645" customFormat="false" ht="15.75" hidden="false" customHeight="true" outlineLevel="0" collapsed="false">
      <c r="A645" s="89"/>
      <c r="O645" s="90"/>
    </row>
    <row r="646" customFormat="false" ht="15.75" hidden="false" customHeight="true" outlineLevel="0" collapsed="false">
      <c r="A646" s="89"/>
      <c r="O646" s="90"/>
    </row>
    <row r="647" customFormat="false" ht="15.75" hidden="false" customHeight="true" outlineLevel="0" collapsed="false">
      <c r="A647" s="89"/>
      <c r="O647" s="90"/>
    </row>
    <row r="648" customFormat="false" ht="15.75" hidden="false" customHeight="true" outlineLevel="0" collapsed="false">
      <c r="A648" s="89"/>
      <c r="O648" s="90"/>
    </row>
    <row r="649" customFormat="false" ht="15.75" hidden="false" customHeight="true" outlineLevel="0" collapsed="false">
      <c r="A649" s="89"/>
      <c r="O649" s="90"/>
    </row>
    <row r="650" customFormat="false" ht="15.75" hidden="false" customHeight="true" outlineLevel="0" collapsed="false">
      <c r="A650" s="89"/>
      <c r="O650" s="90"/>
    </row>
    <row r="651" customFormat="false" ht="15.75" hidden="false" customHeight="true" outlineLevel="0" collapsed="false">
      <c r="A651" s="89"/>
      <c r="O651" s="90"/>
    </row>
    <row r="652" customFormat="false" ht="15.75" hidden="false" customHeight="true" outlineLevel="0" collapsed="false">
      <c r="A652" s="89"/>
      <c r="O652" s="90"/>
    </row>
    <row r="653" customFormat="false" ht="15.75" hidden="false" customHeight="true" outlineLevel="0" collapsed="false">
      <c r="A653" s="89"/>
      <c r="O653" s="90"/>
    </row>
    <row r="654" customFormat="false" ht="15.75" hidden="false" customHeight="true" outlineLevel="0" collapsed="false">
      <c r="A654" s="89"/>
      <c r="O654" s="90"/>
    </row>
    <row r="655" customFormat="false" ht="15.75" hidden="false" customHeight="true" outlineLevel="0" collapsed="false">
      <c r="A655" s="89"/>
      <c r="O655" s="90"/>
    </row>
    <row r="656" customFormat="false" ht="15.75" hidden="false" customHeight="true" outlineLevel="0" collapsed="false">
      <c r="A656" s="89"/>
      <c r="O656" s="90"/>
    </row>
    <row r="657" customFormat="false" ht="15.75" hidden="false" customHeight="true" outlineLevel="0" collapsed="false">
      <c r="A657" s="89"/>
      <c r="O657" s="90"/>
    </row>
    <row r="658" customFormat="false" ht="15.75" hidden="false" customHeight="true" outlineLevel="0" collapsed="false">
      <c r="A658" s="89"/>
      <c r="O658" s="90"/>
    </row>
    <row r="659" customFormat="false" ht="15.75" hidden="false" customHeight="true" outlineLevel="0" collapsed="false">
      <c r="A659" s="89"/>
      <c r="O659" s="90"/>
    </row>
    <row r="660" customFormat="false" ht="15.75" hidden="false" customHeight="true" outlineLevel="0" collapsed="false">
      <c r="A660" s="89"/>
      <c r="O660" s="90"/>
    </row>
    <row r="661" customFormat="false" ht="15.75" hidden="false" customHeight="true" outlineLevel="0" collapsed="false">
      <c r="A661" s="89"/>
      <c r="O661" s="90"/>
    </row>
    <row r="662" customFormat="false" ht="15.75" hidden="false" customHeight="true" outlineLevel="0" collapsed="false">
      <c r="A662" s="89"/>
      <c r="O662" s="90"/>
    </row>
    <row r="663" customFormat="false" ht="15.75" hidden="false" customHeight="true" outlineLevel="0" collapsed="false">
      <c r="A663" s="89"/>
      <c r="O663" s="90"/>
    </row>
    <row r="664" customFormat="false" ht="15.75" hidden="false" customHeight="true" outlineLevel="0" collapsed="false">
      <c r="A664" s="89"/>
      <c r="O664" s="90"/>
    </row>
    <row r="665" customFormat="false" ht="15.75" hidden="false" customHeight="true" outlineLevel="0" collapsed="false">
      <c r="A665" s="89"/>
      <c r="O665" s="90"/>
    </row>
    <row r="666" customFormat="false" ht="15.75" hidden="false" customHeight="true" outlineLevel="0" collapsed="false">
      <c r="A666" s="89"/>
      <c r="O666" s="90"/>
    </row>
    <row r="667" customFormat="false" ht="15.75" hidden="false" customHeight="true" outlineLevel="0" collapsed="false">
      <c r="A667" s="89"/>
      <c r="O667" s="90"/>
    </row>
    <row r="668" customFormat="false" ht="15.75" hidden="false" customHeight="true" outlineLevel="0" collapsed="false">
      <c r="A668" s="89"/>
      <c r="O668" s="90"/>
    </row>
    <row r="669" customFormat="false" ht="15.75" hidden="false" customHeight="true" outlineLevel="0" collapsed="false">
      <c r="A669" s="89"/>
      <c r="O669" s="90"/>
    </row>
    <row r="670" customFormat="false" ht="15.75" hidden="false" customHeight="true" outlineLevel="0" collapsed="false">
      <c r="A670" s="89"/>
      <c r="O670" s="90"/>
    </row>
    <row r="671" customFormat="false" ht="15.75" hidden="false" customHeight="true" outlineLevel="0" collapsed="false">
      <c r="A671" s="89"/>
      <c r="O671" s="90"/>
    </row>
    <row r="672" customFormat="false" ht="15.75" hidden="false" customHeight="true" outlineLevel="0" collapsed="false">
      <c r="A672" s="89"/>
      <c r="O672" s="90"/>
    </row>
    <row r="673" customFormat="false" ht="15.75" hidden="false" customHeight="true" outlineLevel="0" collapsed="false">
      <c r="A673" s="89"/>
      <c r="O673" s="90"/>
    </row>
    <row r="674" customFormat="false" ht="15.75" hidden="false" customHeight="true" outlineLevel="0" collapsed="false">
      <c r="A674" s="89"/>
      <c r="O674" s="90"/>
    </row>
    <row r="675" customFormat="false" ht="15.75" hidden="false" customHeight="true" outlineLevel="0" collapsed="false">
      <c r="A675" s="89"/>
      <c r="O675" s="90"/>
    </row>
    <row r="676" customFormat="false" ht="15.75" hidden="false" customHeight="true" outlineLevel="0" collapsed="false">
      <c r="A676" s="89"/>
      <c r="O676" s="90"/>
    </row>
    <row r="677" customFormat="false" ht="15.75" hidden="false" customHeight="true" outlineLevel="0" collapsed="false">
      <c r="A677" s="89"/>
      <c r="O677" s="90"/>
    </row>
    <row r="678" customFormat="false" ht="15.75" hidden="false" customHeight="true" outlineLevel="0" collapsed="false">
      <c r="A678" s="89"/>
      <c r="O678" s="90"/>
    </row>
    <row r="679" customFormat="false" ht="15.75" hidden="false" customHeight="true" outlineLevel="0" collapsed="false">
      <c r="A679" s="89"/>
      <c r="O679" s="90"/>
    </row>
    <row r="680" customFormat="false" ht="15.75" hidden="false" customHeight="true" outlineLevel="0" collapsed="false">
      <c r="A680" s="89"/>
      <c r="O680" s="90"/>
    </row>
    <row r="681" customFormat="false" ht="15.75" hidden="false" customHeight="true" outlineLevel="0" collapsed="false">
      <c r="A681" s="89"/>
      <c r="O681" s="90"/>
    </row>
    <row r="682" customFormat="false" ht="15.75" hidden="false" customHeight="true" outlineLevel="0" collapsed="false">
      <c r="A682" s="89"/>
      <c r="O682" s="90"/>
    </row>
    <row r="683" customFormat="false" ht="15.75" hidden="false" customHeight="true" outlineLevel="0" collapsed="false">
      <c r="A683" s="89"/>
      <c r="O683" s="90"/>
    </row>
    <row r="684" customFormat="false" ht="15.75" hidden="false" customHeight="true" outlineLevel="0" collapsed="false">
      <c r="A684" s="89"/>
      <c r="O684" s="90"/>
    </row>
    <row r="685" customFormat="false" ht="15.75" hidden="false" customHeight="true" outlineLevel="0" collapsed="false">
      <c r="A685" s="89"/>
      <c r="O685" s="90"/>
    </row>
    <row r="686" customFormat="false" ht="15.75" hidden="false" customHeight="true" outlineLevel="0" collapsed="false">
      <c r="A686" s="89"/>
      <c r="O686" s="90"/>
    </row>
    <row r="687" customFormat="false" ht="15.75" hidden="false" customHeight="true" outlineLevel="0" collapsed="false">
      <c r="A687" s="89"/>
      <c r="O687" s="90"/>
    </row>
    <row r="688" customFormat="false" ht="15.75" hidden="false" customHeight="true" outlineLevel="0" collapsed="false">
      <c r="A688" s="89"/>
      <c r="O688" s="90"/>
    </row>
    <row r="689" customFormat="false" ht="15.75" hidden="false" customHeight="true" outlineLevel="0" collapsed="false">
      <c r="A689" s="89"/>
      <c r="O689" s="90"/>
    </row>
    <row r="690" customFormat="false" ht="15.75" hidden="false" customHeight="true" outlineLevel="0" collapsed="false">
      <c r="A690" s="89"/>
      <c r="O690" s="90"/>
    </row>
    <row r="691" customFormat="false" ht="15.75" hidden="false" customHeight="true" outlineLevel="0" collapsed="false">
      <c r="A691" s="89"/>
      <c r="O691" s="90"/>
    </row>
    <row r="692" customFormat="false" ht="15.75" hidden="false" customHeight="true" outlineLevel="0" collapsed="false">
      <c r="A692" s="89"/>
      <c r="O692" s="90"/>
    </row>
    <row r="693" customFormat="false" ht="15.75" hidden="false" customHeight="true" outlineLevel="0" collapsed="false">
      <c r="A693" s="89"/>
      <c r="O693" s="90"/>
    </row>
    <row r="694" customFormat="false" ht="15.75" hidden="false" customHeight="true" outlineLevel="0" collapsed="false">
      <c r="A694" s="89"/>
      <c r="O694" s="90"/>
    </row>
    <row r="695" customFormat="false" ht="15.75" hidden="false" customHeight="true" outlineLevel="0" collapsed="false">
      <c r="A695" s="89"/>
      <c r="O695" s="90"/>
    </row>
    <row r="696" customFormat="false" ht="15.75" hidden="false" customHeight="true" outlineLevel="0" collapsed="false">
      <c r="A696" s="89"/>
      <c r="O696" s="90"/>
    </row>
    <row r="697" customFormat="false" ht="15.75" hidden="false" customHeight="true" outlineLevel="0" collapsed="false">
      <c r="A697" s="89"/>
      <c r="O697" s="90"/>
    </row>
    <row r="698" customFormat="false" ht="15.75" hidden="false" customHeight="true" outlineLevel="0" collapsed="false">
      <c r="A698" s="89"/>
      <c r="O698" s="90"/>
    </row>
    <row r="699" customFormat="false" ht="15.75" hidden="false" customHeight="true" outlineLevel="0" collapsed="false">
      <c r="A699" s="89"/>
      <c r="O699" s="90"/>
    </row>
    <row r="700" customFormat="false" ht="15.75" hidden="false" customHeight="true" outlineLevel="0" collapsed="false">
      <c r="A700" s="89"/>
      <c r="O700" s="90"/>
    </row>
    <row r="701" customFormat="false" ht="15.75" hidden="false" customHeight="true" outlineLevel="0" collapsed="false">
      <c r="A701" s="89"/>
      <c r="O701" s="90"/>
    </row>
    <row r="702" customFormat="false" ht="15.75" hidden="false" customHeight="true" outlineLevel="0" collapsed="false">
      <c r="A702" s="89"/>
      <c r="O702" s="90"/>
    </row>
    <row r="703" customFormat="false" ht="15.75" hidden="false" customHeight="true" outlineLevel="0" collapsed="false">
      <c r="A703" s="89"/>
      <c r="O703" s="90"/>
    </row>
    <row r="704" customFormat="false" ht="15.75" hidden="false" customHeight="true" outlineLevel="0" collapsed="false">
      <c r="A704" s="89"/>
      <c r="O704" s="90"/>
    </row>
    <row r="705" customFormat="false" ht="15.75" hidden="false" customHeight="true" outlineLevel="0" collapsed="false">
      <c r="A705" s="89"/>
      <c r="O705" s="90"/>
    </row>
    <row r="706" customFormat="false" ht="15.75" hidden="false" customHeight="true" outlineLevel="0" collapsed="false">
      <c r="A706" s="89"/>
      <c r="O706" s="90"/>
    </row>
    <row r="707" customFormat="false" ht="15.75" hidden="false" customHeight="true" outlineLevel="0" collapsed="false">
      <c r="A707" s="89"/>
      <c r="O707" s="90"/>
    </row>
    <row r="708" customFormat="false" ht="15.75" hidden="false" customHeight="true" outlineLevel="0" collapsed="false">
      <c r="A708" s="89"/>
      <c r="O708" s="90"/>
    </row>
    <row r="709" customFormat="false" ht="15.75" hidden="false" customHeight="true" outlineLevel="0" collapsed="false">
      <c r="A709" s="89"/>
      <c r="O709" s="90"/>
    </row>
    <row r="710" customFormat="false" ht="15.75" hidden="false" customHeight="true" outlineLevel="0" collapsed="false">
      <c r="A710" s="89"/>
      <c r="O710" s="90"/>
    </row>
    <row r="711" customFormat="false" ht="15.75" hidden="false" customHeight="true" outlineLevel="0" collapsed="false">
      <c r="A711" s="89"/>
      <c r="O711" s="90"/>
    </row>
    <row r="712" customFormat="false" ht="15.75" hidden="false" customHeight="true" outlineLevel="0" collapsed="false">
      <c r="A712" s="89"/>
      <c r="O712" s="90"/>
    </row>
    <row r="713" customFormat="false" ht="15.75" hidden="false" customHeight="true" outlineLevel="0" collapsed="false">
      <c r="A713" s="89"/>
      <c r="O713" s="90"/>
    </row>
    <row r="714" customFormat="false" ht="15.75" hidden="false" customHeight="true" outlineLevel="0" collapsed="false">
      <c r="A714" s="89"/>
      <c r="O714" s="90"/>
    </row>
    <row r="715" customFormat="false" ht="15.75" hidden="false" customHeight="true" outlineLevel="0" collapsed="false">
      <c r="A715" s="89"/>
      <c r="O715" s="90"/>
    </row>
    <row r="716" customFormat="false" ht="15.75" hidden="false" customHeight="true" outlineLevel="0" collapsed="false">
      <c r="A716" s="89"/>
      <c r="O716" s="90"/>
    </row>
    <row r="717" customFormat="false" ht="15.75" hidden="false" customHeight="true" outlineLevel="0" collapsed="false">
      <c r="A717" s="89"/>
      <c r="O717" s="90"/>
    </row>
    <row r="718" customFormat="false" ht="15.75" hidden="false" customHeight="true" outlineLevel="0" collapsed="false">
      <c r="A718" s="89"/>
      <c r="O718" s="90"/>
    </row>
    <row r="719" customFormat="false" ht="15.75" hidden="false" customHeight="true" outlineLevel="0" collapsed="false">
      <c r="A719" s="89"/>
      <c r="O719" s="90"/>
    </row>
    <row r="720" customFormat="false" ht="15.75" hidden="false" customHeight="true" outlineLevel="0" collapsed="false">
      <c r="A720" s="89"/>
      <c r="O720" s="90"/>
    </row>
    <row r="721" customFormat="false" ht="15.75" hidden="false" customHeight="true" outlineLevel="0" collapsed="false">
      <c r="A721" s="89"/>
      <c r="O721" s="90"/>
    </row>
    <row r="722" customFormat="false" ht="15.75" hidden="false" customHeight="true" outlineLevel="0" collapsed="false">
      <c r="A722" s="89"/>
      <c r="O722" s="90"/>
    </row>
    <row r="723" customFormat="false" ht="15.75" hidden="false" customHeight="true" outlineLevel="0" collapsed="false">
      <c r="A723" s="89"/>
      <c r="O723" s="90"/>
    </row>
    <row r="724" customFormat="false" ht="15.75" hidden="false" customHeight="true" outlineLevel="0" collapsed="false">
      <c r="A724" s="89"/>
      <c r="O724" s="90"/>
    </row>
    <row r="725" customFormat="false" ht="15.75" hidden="false" customHeight="true" outlineLevel="0" collapsed="false">
      <c r="A725" s="89"/>
      <c r="O725" s="90"/>
    </row>
    <row r="726" customFormat="false" ht="15.75" hidden="false" customHeight="true" outlineLevel="0" collapsed="false">
      <c r="A726" s="89"/>
      <c r="O726" s="90"/>
    </row>
    <row r="727" customFormat="false" ht="15.75" hidden="false" customHeight="true" outlineLevel="0" collapsed="false">
      <c r="A727" s="89"/>
      <c r="O727" s="90"/>
    </row>
    <row r="728" customFormat="false" ht="15.75" hidden="false" customHeight="true" outlineLevel="0" collapsed="false">
      <c r="A728" s="89"/>
      <c r="O728" s="90"/>
    </row>
    <row r="729" customFormat="false" ht="15.75" hidden="false" customHeight="true" outlineLevel="0" collapsed="false">
      <c r="A729" s="89"/>
      <c r="O729" s="90"/>
    </row>
    <row r="730" customFormat="false" ht="15.75" hidden="false" customHeight="true" outlineLevel="0" collapsed="false">
      <c r="A730" s="89"/>
      <c r="O730" s="90"/>
    </row>
    <row r="731" customFormat="false" ht="15.75" hidden="false" customHeight="true" outlineLevel="0" collapsed="false">
      <c r="A731" s="89"/>
      <c r="O731" s="90"/>
    </row>
    <row r="732" customFormat="false" ht="15.75" hidden="false" customHeight="true" outlineLevel="0" collapsed="false">
      <c r="A732" s="89"/>
      <c r="O732" s="90"/>
    </row>
    <row r="733" customFormat="false" ht="15.75" hidden="false" customHeight="true" outlineLevel="0" collapsed="false">
      <c r="A733" s="89"/>
      <c r="O733" s="90"/>
    </row>
    <row r="734" customFormat="false" ht="15.75" hidden="false" customHeight="true" outlineLevel="0" collapsed="false">
      <c r="A734" s="89"/>
      <c r="O734" s="90"/>
    </row>
    <row r="735" customFormat="false" ht="15.75" hidden="false" customHeight="true" outlineLevel="0" collapsed="false">
      <c r="A735" s="89"/>
      <c r="O735" s="90"/>
    </row>
    <row r="736" customFormat="false" ht="15.75" hidden="false" customHeight="true" outlineLevel="0" collapsed="false">
      <c r="A736" s="89"/>
      <c r="O736" s="90"/>
    </row>
    <row r="737" customFormat="false" ht="15.75" hidden="false" customHeight="true" outlineLevel="0" collapsed="false">
      <c r="A737" s="89"/>
      <c r="O737" s="90"/>
    </row>
    <row r="738" customFormat="false" ht="15.75" hidden="false" customHeight="true" outlineLevel="0" collapsed="false">
      <c r="A738" s="89"/>
      <c r="O738" s="90"/>
    </row>
    <row r="739" customFormat="false" ht="15.75" hidden="false" customHeight="true" outlineLevel="0" collapsed="false">
      <c r="A739" s="89"/>
      <c r="O739" s="90"/>
    </row>
    <row r="740" customFormat="false" ht="15.75" hidden="false" customHeight="true" outlineLevel="0" collapsed="false">
      <c r="A740" s="89"/>
      <c r="O740" s="90"/>
    </row>
    <row r="741" customFormat="false" ht="15.75" hidden="false" customHeight="true" outlineLevel="0" collapsed="false">
      <c r="A741" s="89"/>
      <c r="O741" s="90"/>
    </row>
    <row r="742" customFormat="false" ht="15.75" hidden="false" customHeight="true" outlineLevel="0" collapsed="false">
      <c r="A742" s="89"/>
      <c r="O742" s="90"/>
    </row>
    <row r="743" customFormat="false" ht="15.75" hidden="false" customHeight="true" outlineLevel="0" collapsed="false">
      <c r="A743" s="89"/>
      <c r="O743" s="90"/>
    </row>
    <row r="744" customFormat="false" ht="15.75" hidden="false" customHeight="true" outlineLevel="0" collapsed="false">
      <c r="A744" s="89"/>
      <c r="O744" s="90"/>
    </row>
    <row r="745" customFormat="false" ht="15.75" hidden="false" customHeight="true" outlineLevel="0" collapsed="false">
      <c r="A745" s="89"/>
      <c r="O745" s="90"/>
    </row>
    <row r="746" customFormat="false" ht="15.75" hidden="false" customHeight="true" outlineLevel="0" collapsed="false">
      <c r="A746" s="89"/>
      <c r="O746" s="90"/>
    </row>
    <row r="747" customFormat="false" ht="15.75" hidden="false" customHeight="true" outlineLevel="0" collapsed="false">
      <c r="A747" s="89"/>
      <c r="O747" s="90"/>
    </row>
    <row r="748" customFormat="false" ht="15.75" hidden="false" customHeight="true" outlineLevel="0" collapsed="false">
      <c r="A748" s="89"/>
      <c r="O748" s="90"/>
    </row>
    <row r="749" customFormat="false" ht="15.75" hidden="false" customHeight="true" outlineLevel="0" collapsed="false">
      <c r="A749" s="89"/>
      <c r="O749" s="90"/>
    </row>
    <row r="750" customFormat="false" ht="15.75" hidden="false" customHeight="true" outlineLevel="0" collapsed="false">
      <c r="A750" s="89"/>
      <c r="O750" s="90"/>
    </row>
    <row r="751" customFormat="false" ht="15.75" hidden="false" customHeight="true" outlineLevel="0" collapsed="false">
      <c r="A751" s="89"/>
      <c r="O751" s="90"/>
    </row>
    <row r="752" customFormat="false" ht="15.75" hidden="false" customHeight="true" outlineLevel="0" collapsed="false">
      <c r="A752" s="89"/>
      <c r="O752" s="90"/>
    </row>
    <row r="753" customFormat="false" ht="15.75" hidden="false" customHeight="true" outlineLevel="0" collapsed="false">
      <c r="A753" s="89"/>
      <c r="O753" s="90"/>
    </row>
    <row r="754" customFormat="false" ht="15.75" hidden="false" customHeight="true" outlineLevel="0" collapsed="false">
      <c r="A754" s="89"/>
      <c r="O754" s="90"/>
    </row>
    <row r="755" customFormat="false" ht="15.75" hidden="false" customHeight="true" outlineLevel="0" collapsed="false">
      <c r="A755" s="89"/>
      <c r="O755" s="90"/>
    </row>
    <row r="756" customFormat="false" ht="15.75" hidden="false" customHeight="true" outlineLevel="0" collapsed="false">
      <c r="A756" s="89"/>
      <c r="O756" s="90"/>
    </row>
    <row r="757" customFormat="false" ht="15.75" hidden="false" customHeight="true" outlineLevel="0" collapsed="false">
      <c r="A757" s="89"/>
      <c r="O757" s="90"/>
    </row>
    <row r="758" customFormat="false" ht="15.75" hidden="false" customHeight="true" outlineLevel="0" collapsed="false">
      <c r="A758" s="89"/>
      <c r="O758" s="90"/>
    </row>
    <row r="759" customFormat="false" ht="15.75" hidden="false" customHeight="true" outlineLevel="0" collapsed="false">
      <c r="A759" s="89"/>
      <c r="O759" s="90"/>
    </row>
    <row r="760" customFormat="false" ht="15.75" hidden="false" customHeight="true" outlineLevel="0" collapsed="false">
      <c r="A760" s="89"/>
      <c r="O760" s="90"/>
    </row>
    <row r="761" customFormat="false" ht="15.75" hidden="false" customHeight="true" outlineLevel="0" collapsed="false">
      <c r="A761" s="89"/>
      <c r="O761" s="90"/>
    </row>
    <row r="762" customFormat="false" ht="15.75" hidden="false" customHeight="true" outlineLevel="0" collapsed="false">
      <c r="A762" s="89"/>
      <c r="O762" s="90"/>
    </row>
    <row r="763" customFormat="false" ht="15.75" hidden="false" customHeight="true" outlineLevel="0" collapsed="false">
      <c r="A763" s="89"/>
      <c r="O763" s="90"/>
    </row>
    <row r="764" customFormat="false" ht="15.75" hidden="false" customHeight="true" outlineLevel="0" collapsed="false">
      <c r="A764" s="89"/>
      <c r="O764" s="90"/>
    </row>
    <row r="765" customFormat="false" ht="15.75" hidden="false" customHeight="true" outlineLevel="0" collapsed="false">
      <c r="A765" s="89"/>
      <c r="O765" s="90"/>
    </row>
    <row r="766" customFormat="false" ht="15.75" hidden="false" customHeight="true" outlineLevel="0" collapsed="false">
      <c r="A766" s="89"/>
      <c r="O766" s="90"/>
    </row>
    <row r="767" customFormat="false" ht="15.75" hidden="false" customHeight="true" outlineLevel="0" collapsed="false">
      <c r="A767" s="89"/>
      <c r="O767" s="90"/>
    </row>
    <row r="768" customFormat="false" ht="15.75" hidden="false" customHeight="true" outlineLevel="0" collapsed="false">
      <c r="A768" s="89"/>
      <c r="O768" s="90"/>
    </row>
    <row r="769" customFormat="false" ht="15.75" hidden="false" customHeight="true" outlineLevel="0" collapsed="false">
      <c r="A769" s="89"/>
      <c r="O769" s="90"/>
    </row>
    <row r="770" customFormat="false" ht="15.75" hidden="false" customHeight="true" outlineLevel="0" collapsed="false">
      <c r="A770" s="89"/>
      <c r="O770" s="90"/>
    </row>
    <row r="771" customFormat="false" ht="15.75" hidden="false" customHeight="true" outlineLevel="0" collapsed="false">
      <c r="A771" s="89"/>
      <c r="O771" s="90"/>
    </row>
    <row r="772" customFormat="false" ht="15.75" hidden="false" customHeight="true" outlineLevel="0" collapsed="false">
      <c r="A772" s="89"/>
      <c r="O772" s="90"/>
    </row>
    <row r="773" customFormat="false" ht="15.75" hidden="false" customHeight="true" outlineLevel="0" collapsed="false">
      <c r="A773" s="89"/>
      <c r="O773" s="90"/>
    </row>
    <row r="774" customFormat="false" ht="15.75" hidden="false" customHeight="true" outlineLevel="0" collapsed="false">
      <c r="A774" s="89"/>
      <c r="O774" s="90"/>
    </row>
    <row r="775" customFormat="false" ht="15.75" hidden="false" customHeight="true" outlineLevel="0" collapsed="false">
      <c r="A775" s="89"/>
      <c r="O775" s="90"/>
    </row>
    <row r="776" customFormat="false" ht="15.75" hidden="false" customHeight="true" outlineLevel="0" collapsed="false">
      <c r="A776" s="89"/>
      <c r="O776" s="90"/>
    </row>
    <row r="777" customFormat="false" ht="15.75" hidden="false" customHeight="true" outlineLevel="0" collapsed="false">
      <c r="A777" s="89"/>
      <c r="O777" s="90"/>
    </row>
    <row r="778" customFormat="false" ht="15.75" hidden="false" customHeight="true" outlineLevel="0" collapsed="false">
      <c r="A778" s="89"/>
      <c r="O778" s="90"/>
    </row>
    <row r="779" customFormat="false" ht="15.75" hidden="false" customHeight="true" outlineLevel="0" collapsed="false">
      <c r="A779" s="89"/>
      <c r="O779" s="90"/>
    </row>
    <row r="780" customFormat="false" ht="15.75" hidden="false" customHeight="true" outlineLevel="0" collapsed="false">
      <c r="A780" s="89"/>
      <c r="O780" s="90"/>
    </row>
    <row r="781" customFormat="false" ht="15.75" hidden="false" customHeight="true" outlineLevel="0" collapsed="false">
      <c r="A781" s="89"/>
      <c r="O781" s="90"/>
    </row>
    <row r="782" customFormat="false" ht="15.75" hidden="false" customHeight="true" outlineLevel="0" collapsed="false">
      <c r="A782" s="89"/>
      <c r="O782" s="90"/>
    </row>
    <row r="783" customFormat="false" ht="15.75" hidden="false" customHeight="true" outlineLevel="0" collapsed="false">
      <c r="A783" s="89"/>
      <c r="O783" s="90"/>
    </row>
    <row r="784" customFormat="false" ht="15.75" hidden="false" customHeight="true" outlineLevel="0" collapsed="false">
      <c r="A784" s="89"/>
      <c r="O784" s="90"/>
    </row>
    <row r="785" customFormat="false" ht="15.75" hidden="false" customHeight="true" outlineLevel="0" collapsed="false">
      <c r="A785" s="89"/>
      <c r="O785" s="90"/>
    </row>
    <row r="786" customFormat="false" ht="15.75" hidden="false" customHeight="true" outlineLevel="0" collapsed="false">
      <c r="A786" s="89"/>
      <c r="O786" s="90"/>
    </row>
    <row r="787" customFormat="false" ht="15.75" hidden="false" customHeight="true" outlineLevel="0" collapsed="false">
      <c r="A787" s="89"/>
      <c r="O787" s="90"/>
    </row>
    <row r="788" customFormat="false" ht="15.75" hidden="false" customHeight="true" outlineLevel="0" collapsed="false">
      <c r="A788" s="89"/>
      <c r="O788" s="90"/>
    </row>
    <row r="789" customFormat="false" ht="15.75" hidden="false" customHeight="true" outlineLevel="0" collapsed="false">
      <c r="A789" s="89"/>
      <c r="O789" s="90"/>
    </row>
    <row r="790" customFormat="false" ht="15.75" hidden="false" customHeight="true" outlineLevel="0" collapsed="false">
      <c r="A790" s="89"/>
      <c r="O790" s="90"/>
    </row>
    <row r="791" customFormat="false" ht="15.75" hidden="false" customHeight="true" outlineLevel="0" collapsed="false">
      <c r="A791" s="89"/>
      <c r="O791" s="90"/>
    </row>
    <row r="792" customFormat="false" ht="15.75" hidden="false" customHeight="true" outlineLevel="0" collapsed="false">
      <c r="A792" s="89"/>
      <c r="O792" s="90"/>
    </row>
    <row r="793" customFormat="false" ht="15.75" hidden="false" customHeight="true" outlineLevel="0" collapsed="false">
      <c r="A793" s="89"/>
      <c r="O793" s="90"/>
    </row>
    <row r="794" customFormat="false" ht="15.75" hidden="false" customHeight="true" outlineLevel="0" collapsed="false">
      <c r="A794" s="89"/>
      <c r="O794" s="90"/>
    </row>
    <row r="795" customFormat="false" ht="15.75" hidden="false" customHeight="true" outlineLevel="0" collapsed="false">
      <c r="A795" s="89"/>
      <c r="O795" s="90"/>
    </row>
    <row r="796" customFormat="false" ht="15.75" hidden="false" customHeight="true" outlineLevel="0" collapsed="false">
      <c r="A796" s="89"/>
      <c r="O796" s="90"/>
    </row>
    <row r="797" customFormat="false" ht="15.75" hidden="false" customHeight="true" outlineLevel="0" collapsed="false">
      <c r="A797" s="89"/>
      <c r="O797" s="90"/>
    </row>
    <row r="798" customFormat="false" ht="15.75" hidden="false" customHeight="true" outlineLevel="0" collapsed="false">
      <c r="A798" s="89"/>
      <c r="O798" s="90"/>
    </row>
    <row r="799" customFormat="false" ht="15.75" hidden="false" customHeight="true" outlineLevel="0" collapsed="false">
      <c r="A799" s="89"/>
      <c r="O799" s="90"/>
    </row>
    <row r="800" customFormat="false" ht="15.75" hidden="false" customHeight="true" outlineLevel="0" collapsed="false">
      <c r="A800" s="89"/>
      <c r="O800" s="90"/>
    </row>
    <row r="801" customFormat="false" ht="15.75" hidden="false" customHeight="true" outlineLevel="0" collapsed="false">
      <c r="A801" s="89"/>
      <c r="O801" s="90"/>
    </row>
    <row r="802" customFormat="false" ht="15.75" hidden="false" customHeight="true" outlineLevel="0" collapsed="false">
      <c r="A802" s="89"/>
      <c r="O802" s="90"/>
    </row>
    <row r="803" customFormat="false" ht="15.75" hidden="false" customHeight="true" outlineLevel="0" collapsed="false">
      <c r="A803" s="89"/>
      <c r="O803" s="90"/>
    </row>
    <row r="804" customFormat="false" ht="15.75" hidden="false" customHeight="true" outlineLevel="0" collapsed="false">
      <c r="A804" s="89"/>
      <c r="O804" s="90"/>
    </row>
    <row r="805" customFormat="false" ht="15.75" hidden="false" customHeight="true" outlineLevel="0" collapsed="false">
      <c r="A805" s="89"/>
      <c r="O805" s="90"/>
    </row>
    <row r="806" customFormat="false" ht="15.75" hidden="false" customHeight="true" outlineLevel="0" collapsed="false">
      <c r="A806" s="89"/>
      <c r="O806" s="90"/>
    </row>
    <row r="807" customFormat="false" ht="15.75" hidden="false" customHeight="true" outlineLevel="0" collapsed="false">
      <c r="A807" s="89"/>
      <c r="O807" s="90"/>
    </row>
    <row r="808" customFormat="false" ht="15.75" hidden="false" customHeight="true" outlineLevel="0" collapsed="false">
      <c r="A808" s="89"/>
      <c r="O808" s="90"/>
    </row>
    <row r="809" customFormat="false" ht="15.75" hidden="false" customHeight="true" outlineLevel="0" collapsed="false">
      <c r="A809" s="89"/>
      <c r="O809" s="90"/>
    </row>
    <row r="810" customFormat="false" ht="15.75" hidden="false" customHeight="true" outlineLevel="0" collapsed="false">
      <c r="A810" s="89"/>
      <c r="O810" s="90"/>
    </row>
    <row r="811" customFormat="false" ht="15.75" hidden="false" customHeight="true" outlineLevel="0" collapsed="false">
      <c r="A811" s="89"/>
      <c r="O811" s="90"/>
    </row>
    <row r="812" customFormat="false" ht="15.75" hidden="false" customHeight="true" outlineLevel="0" collapsed="false">
      <c r="A812" s="89"/>
      <c r="O812" s="90"/>
    </row>
    <row r="813" customFormat="false" ht="15.75" hidden="false" customHeight="true" outlineLevel="0" collapsed="false">
      <c r="A813" s="89"/>
      <c r="O813" s="90"/>
    </row>
    <row r="814" customFormat="false" ht="15.75" hidden="false" customHeight="true" outlineLevel="0" collapsed="false">
      <c r="A814" s="89"/>
      <c r="O814" s="90"/>
    </row>
    <row r="815" customFormat="false" ht="15.75" hidden="false" customHeight="true" outlineLevel="0" collapsed="false">
      <c r="A815" s="89"/>
      <c r="O815" s="90"/>
    </row>
    <row r="816" customFormat="false" ht="15.75" hidden="false" customHeight="true" outlineLevel="0" collapsed="false">
      <c r="A816" s="89"/>
      <c r="O816" s="90"/>
    </row>
    <row r="817" customFormat="false" ht="15.75" hidden="false" customHeight="true" outlineLevel="0" collapsed="false">
      <c r="A817" s="89"/>
      <c r="O817" s="90"/>
    </row>
    <row r="818" customFormat="false" ht="15.75" hidden="false" customHeight="true" outlineLevel="0" collapsed="false">
      <c r="A818" s="89"/>
      <c r="O818" s="90"/>
    </row>
    <row r="819" customFormat="false" ht="15.75" hidden="false" customHeight="true" outlineLevel="0" collapsed="false">
      <c r="A819" s="89"/>
      <c r="O819" s="90"/>
    </row>
    <row r="820" customFormat="false" ht="15.75" hidden="false" customHeight="true" outlineLevel="0" collapsed="false">
      <c r="A820" s="89"/>
      <c r="O820" s="90"/>
    </row>
    <row r="821" customFormat="false" ht="15.75" hidden="false" customHeight="true" outlineLevel="0" collapsed="false">
      <c r="A821" s="89"/>
      <c r="O821" s="90"/>
    </row>
    <row r="822" customFormat="false" ht="15.75" hidden="false" customHeight="true" outlineLevel="0" collapsed="false">
      <c r="A822" s="89"/>
      <c r="O822" s="90"/>
    </row>
    <row r="823" customFormat="false" ht="15.75" hidden="false" customHeight="true" outlineLevel="0" collapsed="false">
      <c r="A823" s="89"/>
      <c r="O823" s="90"/>
    </row>
    <row r="824" customFormat="false" ht="15.75" hidden="false" customHeight="true" outlineLevel="0" collapsed="false">
      <c r="A824" s="89"/>
      <c r="O824" s="90"/>
    </row>
    <row r="825" customFormat="false" ht="15.75" hidden="false" customHeight="true" outlineLevel="0" collapsed="false">
      <c r="A825" s="89"/>
      <c r="O825" s="90"/>
    </row>
    <row r="826" customFormat="false" ht="15.75" hidden="false" customHeight="true" outlineLevel="0" collapsed="false">
      <c r="A826" s="89"/>
      <c r="O826" s="90"/>
    </row>
    <row r="827" customFormat="false" ht="15.75" hidden="false" customHeight="true" outlineLevel="0" collapsed="false">
      <c r="A827" s="89"/>
      <c r="O827" s="90"/>
    </row>
    <row r="828" customFormat="false" ht="15.75" hidden="false" customHeight="true" outlineLevel="0" collapsed="false">
      <c r="A828" s="89"/>
      <c r="O828" s="90"/>
    </row>
    <row r="829" customFormat="false" ht="15.75" hidden="false" customHeight="true" outlineLevel="0" collapsed="false">
      <c r="A829" s="89"/>
      <c r="O829" s="90"/>
    </row>
    <row r="830" customFormat="false" ht="15.75" hidden="false" customHeight="true" outlineLevel="0" collapsed="false">
      <c r="A830" s="89"/>
      <c r="O830" s="90"/>
    </row>
    <row r="831" customFormat="false" ht="15.75" hidden="false" customHeight="true" outlineLevel="0" collapsed="false">
      <c r="A831" s="89"/>
      <c r="O831" s="90"/>
    </row>
    <row r="832" customFormat="false" ht="15.75" hidden="false" customHeight="true" outlineLevel="0" collapsed="false">
      <c r="A832" s="89"/>
      <c r="O832" s="90"/>
    </row>
    <row r="833" customFormat="false" ht="15.75" hidden="false" customHeight="true" outlineLevel="0" collapsed="false">
      <c r="A833" s="89"/>
      <c r="O833" s="90"/>
    </row>
    <row r="834" customFormat="false" ht="15.75" hidden="false" customHeight="true" outlineLevel="0" collapsed="false">
      <c r="A834" s="89"/>
      <c r="O834" s="90"/>
    </row>
    <row r="835" customFormat="false" ht="15.75" hidden="false" customHeight="true" outlineLevel="0" collapsed="false">
      <c r="A835" s="89"/>
      <c r="O835" s="90"/>
    </row>
    <row r="836" customFormat="false" ht="15.75" hidden="false" customHeight="true" outlineLevel="0" collapsed="false">
      <c r="A836" s="89"/>
      <c r="O836" s="90"/>
    </row>
    <row r="837" customFormat="false" ht="15.75" hidden="false" customHeight="true" outlineLevel="0" collapsed="false">
      <c r="A837" s="89"/>
      <c r="O837" s="90"/>
    </row>
    <row r="838" customFormat="false" ht="15.75" hidden="false" customHeight="true" outlineLevel="0" collapsed="false">
      <c r="A838" s="89"/>
      <c r="O838" s="90"/>
    </row>
    <row r="839" customFormat="false" ht="15.75" hidden="false" customHeight="true" outlineLevel="0" collapsed="false">
      <c r="A839" s="89"/>
      <c r="O839" s="90"/>
    </row>
    <row r="840" customFormat="false" ht="15.75" hidden="false" customHeight="true" outlineLevel="0" collapsed="false">
      <c r="A840" s="89"/>
      <c r="O840" s="90"/>
    </row>
    <row r="841" customFormat="false" ht="15.75" hidden="false" customHeight="true" outlineLevel="0" collapsed="false">
      <c r="A841" s="89"/>
      <c r="O841" s="90"/>
    </row>
    <row r="842" customFormat="false" ht="15.75" hidden="false" customHeight="true" outlineLevel="0" collapsed="false">
      <c r="A842" s="89"/>
      <c r="O842" s="90"/>
    </row>
    <row r="843" customFormat="false" ht="15.75" hidden="false" customHeight="true" outlineLevel="0" collapsed="false">
      <c r="A843" s="89"/>
      <c r="O843" s="90"/>
    </row>
    <row r="844" customFormat="false" ht="15.75" hidden="false" customHeight="true" outlineLevel="0" collapsed="false">
      <c r="A844" s="89"/>
      <c r="O844" s="90"/>
    </row>
    <row r="845" customFormat="false" ht="15.75" hidden="false" customHeight="true" outlineLevel="0" collapsed="false">
      <c r="A845" s="89"/>
      <c r="O845" s="90"/>
    </row>
    <row r="846" customFormat="false" ht="15.75" hidden="false" customHeight="true" outlineLevel="0" collapsed="false">
      <c r="A846" s="89"/>
      <c r="O846" s="90"/>
    </row>
    <row r="847" customFormat="false" ht="15.75" hidden="false" customHeight="true" outlineLevel="0" collapsed="false">
      <c r="A847" s="89"/>
      <c r="O847" s="90"/>
    </row>
    <row r="848" customFormat="false" ht="15.75" hidden="false" customHeight="true" outlineLevel="0" collapsed="false">
      <c r="A848" s="89"/>
      <c r="O848" s="90"/>
    </row>
    <row r="849" customFormat="false" ht="15.75" hidden="false" customHeight="true" outlineLevel="0" collapsed="false">
      <c r="A849" s="89"/>
      <c r="O849" s="90"/>
    </row>
    <row r="850" customFormat="false" ht="15.75" hidden="false" customHeight="true" outlineLevel="0" collapsed="false">
      <c r="A850" s="89"/>
      <c r="O850" s="90"/>
    </row>
    <row r="851" customFormat="false" ht="15.75" hidden="false" customHeight="true" outlineLevel="0" collapsed="false">
      <c r="A851" s="89"/>
      <c r="O851" s="90"/>
    </row>
    <row r="852" customFormat="false" ht="15.75" hidden="false" customHeight="true" outlineLevel="0" collapsed="false">
      <c r="A852" s="89"/>
      <c r="O852" s="90"/>
    </row>
    <row r="853" customFormat="false" ht="15.75" hidden="false" customHeight="true" outlineLevel="0" collapsed="false">
      <c r="A853" s="89"/>
      <c r="O853" s="90"/>
    </row>
    <row r="854" customFormat="false" ht="15.75" hidden="false" customHeight="true" outlineLevel="0" collapsed="false">
      <c r="A854" s="89"/>
      <c r="O854" s="90"/>
    </row>
    <row r="855" customFormat="false" ht="15.75" hidden="false" customHeight="true" outlineLevel="0" collapsed="false">
      <c r="A855" s="89"/>
      <c r="O855" s="90"/>
    </row>
    <row r="856" customFormat="false" ht="15.75" hidden="false" customHeight="true" outlineLevel="0" collapsed="false">
      <c r="A856" s="89"/>
      <c r="O856" s="90"/>
    </row>
    <row r="857" customFormat="false" ht="15.75" hidden="false" customHeight="true" outlineLevel="0" collapsed="false">
      <c r="A857" s="89"/>
      <c r="O857" s="90"/>
    </row>
    <row r="858" customFormat="false" ht="15.75" hidden="false" customHeight="true" outlineLevel="0" collapsed="false">
      <c r="A858" s="89"/>
      <c r="O858" s="90"/>
    </row>
    <row r="859" customFormat="false" ht="15.75" hidden="false" customHeight="true" outlineLevel="0" collapsed="false">
      <c r="A859" s="89"/>
      <c r="O859" s="90"/>
    </row>
    <row r="860" customFormat="false" ht="15.75" hidden="false" customHeight="true" outlineLevel="0" collapsed="false">
      <c r="A860" s="89"/>
      <c r="O860" s="90"/>
    </row>
    <row r="861" customFormat="false" ht="15.75" hidden="false" customHeight="true" outlineLevel="0" collapsed="false">
      <c r="A861" s="89"/>
      <c r="O861" s="90"/>
    </row>
    <row r="862" customFormat="false" ht="15.75" hidden="false" customHeight="true" outlineLevel="0" collapsed="false">
      <c r="A862" s="89"/>
      <c r="O862" s="90"/>
    </row>
    <row r="863" customFormat="false" ht="15.75" hidden="false" customHeight="true" outlineLevel="0" collapsed="false">
      <c r="A863" s="89"/>
      <c r="O863" s="90"/>
    </row>
    <row r="864" customFormat="false" ht="15.75" hidden="false" customHeight="true" outlineLevel="0" collapsed="false">
      <c r="A864" s="89"/>
      <c r="O864" s="90"/>
    </row>
    <row r="865" customFormat="false" ht="15.75" hidden="false" customHeight="true" outlineLevel="0" collapsed="false">
      <c r="A865" s="89"/>
      <c r="O865" s="90"/>
    </row>
    <row r="866" customFormat="false" ht="15.75" hidden="false" customHeight="true" outlineLevel="0" collapsed="false">
      <c r="A866" s="89"/>
      <c r="O866" s="90"/>
    </row>
    <row r="867" customFormat="false" ht="15.75" hidden="false" customHeight="true" outlineLevel="0" collapsed="false">
      <c r="A867" s="89"/>
      <c r="O867" s="90"/>
    </row>
    <row r="868" customFormat="false" ht="15.75" hidden="false" customHeight="true" outlineLevel="0" collapsed="false">
      <c r="A868" s="89"/>
      <c r="O868" s="90"/>
    </row>
    <row r="869" customFormat="false" ht="15.75" hidden="false" customHeight="true" outlineLevel="0" collapsed="false">
      <c r="A869" s="89"/>
      <c r="O869" s="90"/>
    </row>
    <row r="870" customFormat="false" ht="15.75" hidden="false" customHeight="true" outlineLevel="0" collapsed="false">
      <c r="A870" s="89"/>
      <c r="O870" s="90"/>
    </row>
    <row r="871" customFormat="false" ht="15.75" hidden="false" customHeight="true" outlineLevel="0" collapsed="false">
      <c r="A871" s="89"/>
      <c r="O871" s="90"/>
    </row>
    <row r="872" customFormat="false" ht="15.75" hidden="false" customHeight="true" outlineLevel="0" collapsed="false">
      <c r="A872" s="89"/>
      <c r="O872" s="90"/>
    </row>
    <row r="873" customFormat="false" ht="15.75" hidden="false" customHeight="true" outlineLevel="0" collapsed="false">
      <c r="A873" s="89"/>
      <c r="O873" s="90"/>
    </row>
    <row r="874" customFormat="false" ht="15.75" hidden="false" customHeight="true" outlineLevel="0" collapsed="false">
      <c r="A874" s="89"/>
      <c r="O874" s="90"/>
    </row>
    <row r="875" customFormat="false" ht="15.75" hidden="false" customHeight="true" outlineLevel="0" collapsed="false">
      <c r="A875" s="89"/>
      <c r="O875" s="90"/>
    </row>
    <row r="876" customFormat="false" ht="15.75" hidden="false" customHeight="true" outlineLevel="0" collapsed="false">
      <c r="A876" s="89"/>
      <c r="O876" s="90"/>
    </row>
    <row r="877" customFormat="false" ht="15.75" hidden="false" customHeight="true" outlineLevel="0" collapsed="false">
      <c r="A877" s="89"/>
      <c r="O877" s="90"/>
    </row>
    <row r="878" customFormat="false" ht="15.75" hidden="false" customHeight="true" outlineLevel="0" collapsed="false">
      <c r="A878" s="89"/>
      <c r="O878" s="90"/>
    </row>
    <row r="879" customFormat="false" ht="15.75" hidden="false" customHeight="true" outlineLevel="0" collapsed="false">
      <c r="A879" s="89"/>
      <c r="O879" s="90"/>
    </row>
    <row r="880" customFormat="false" ht="15.75" hidden="false" customHeight="true" outlineLevel="0" collapsed="false">
      <c r="A880" s="89"/>
      <c r="O880" s="90"/>
    </row>
    <row r="881" customFormat="false" ht="15.75" hidden="false" customHeight="true" outlineLevel="0" collapsed="false">
      <c r="A881" s="89"/>
      <c r="O881" s="90"/>
    </row>
    <row r="882" customFormat="false" ht="15.75" hidden="false" customHeight="true" outlineLevel="0" collapsed="false">
      <c r="A882" s="89"/>
      <c r="O882" s="90"/>
    </row>
    <row r="883" customFormat="false" ht="15.75" hidden="false" customHeight="true" outlineLevel="0" collapsed="false">
      <c r="A883" s="89"/>
      <c r="O883" s="90"/>
    </row>
    <row r="884" customFormat="false" ht="15.75" hidden="false" customHeight="true" outlineLevel="0" collapsed="false">
      <c r="A884" s="89"/>
      <c r="O884" s="90"/>
    </row>
    <row r="885" customFormat="false" ht="15.75" hidden="false" customHeight="true" outlineLevel="0" collapsed="false">
      <c r="A885" s="89"/>
      <c r="O885" s="90"/>
    </row>
    <row r="886" customFormat="false" ht="15.75" hidden="false" customHeight="true" outlineLevel="0" collapsed="false">
      <c r="A886" s="89"/>
      <c r="O886" s="90"/>
    </row>
    <row r="887" customFormat="false" ht="15.75" hidden="false" customHeight="true" outlineLevel="0" collapsed="false">
      <c r="A887" s="89"/>
      <c r="O887" s="90"/>
    </row>
    <row r="888" customFormat="false" ht="15.75" hidden="false" customHeight="true" outlineLevel="0" collapsed="false">
      <c r="A888" s="89"/>
      <c r="O888" s="90"/>
    </row>
    <row r="889" customFormat="false" ht="15.75" hidden="false" customHeight="true" outlineLevel="0" collapsed="false">
      <c r="A889" s="89"/>
      <c r="O889" s="90"/>
    </row>
    <row r="890" customFormat="false" ht="15.75" hidden="false" customHeight="true" outlineLevel="0" collapsed="false">
      <c r="A890" s="89"/>
      <c r="O890" s="90"/>
    </row>
    <row r="891" customFormat="false" ht="15.75" hidden="false" customHeight="true" outlineLevel="0" collapsed="false">
      <c r="A891" s="89"/>
      <c r="O891" s="90"/>
    </row>
    <row r="892" customFormat="false" ht="15.75" hidden="false" customHeight="true" outlineLevel="0" collapsed="false">
      <c r="A892" s="89"/>
      <c r="O892" s="90"/>
    </row>
    <row r="893" customFormat="false" ht="15.75" hidden="false" customHeight="true" outlineLevel="0" collapsed="false">
      <c r="A893" s="89"/>
      <c r="O893" s="90"/>
    </row>
    <row r="894" customFormat="false" ht="15.75" hidden="false" customHeight="true" outlineLevel="0" collapsed="false">
      <c r="A894" s="89"/>
      <c r="O894" s="90"/>
    </row>
    <row r="895" customFormat="false" ht="15.75" hidden="false" customHeight="true" outlineLevel="0" collapsed="false">
      <c r="A895" s="89"/>
      <c r="O895" s="90"/>
    </row>
    <row r="896" customFormat="false" ht="15.75" hidden="false" customHeight="true" outlineLevel="0" collapsed="false">
      <c r="A896" s="89"/>
      <c r="O896" s="90"/>
    </row>
    <row r="897" customFormat="false" ht="15.75" hidden="false" customHeight="true" outlineLevel="0" collapsed="false">
      <c r="A897" s="89"/>
      <c r="O897" s="90"/>
    </row>
    <row r="898" customFormat="false" ht="15.75" hidden="false" customHeight="true" outlineLevel="0" collapsed="false">
      <c r="A898" s="89"/>
      <c r="O898" s="90"/>
    </row>
    <row r="899" customFormat="false" ht="15.75" hidden="false" customHeight="true" outlineLevel="0" collapsed="false">
      <c r="A899" s="89"/>
      <c r="O899" s="90"/>
    </row>
    <row r="900" customFormat="false" ht="15.75" hidden="false" customHeight="true" outlineLevel="0" collapsed="false">
      <c r="A900" s="89"/>
      <c r="O900" s="90"/>
    </row>
    <row r="901" customFormat="false" ht="15.75" hidden="false" customHeight="true" outlineLevel="0" collapsed="false">
      <c r="A901" s="89"/>
      <c r="O901" s="90"/>
    </row>
    <row r="902" customFormat="false" ht="15.75" hidden="false" customHeight="true" outlineLevel="0" collapsed="false">
      <c r="A902" s="89"/>
      <c r="O902" s="90"/>
    </row>
    <row r="903" customFormat="false" ht="15.75" hidden="false" customHeight="true" outlineLevel="0" collapsed="false">
      <c r="A903" s="89"/>
      <c r="O903" s="90"/>
    </row>
    <row r="904" customFormat="false" ht="15.75" hidden="false" customHeight="true" outlineLevel="0" collapsed="false">
      <c r="A904" s="89"/>
      <c r="O904" s="90"/>
    </row>
    <row r="905" customFormat="false" ht="15.75" hidden="false" customHeight="true" outlineLevel="0" collapsed="false">
      <c r="A905" s="89"/>
      <c r="O905" s="90"/>
    </row>
    <row r="906" customFormat="false" ht="15.75" hidden="false" customHeight="true" outlineLevel="0" collapsed="false">
      <c r="A906" s="89"/>
      <c r="O906" s="90"/>
    </row>
    <row r="907" customFormat="false" ht="15.75" hidden="false" customHeight="true" outlineLevel="0" collapsed="false">
      <c r="A907" s="89"/>
      <c r="O907" s="90"/>
    </row>
    <row r="908" customFormat="false" ht="15.75" hidden="false" customHeight="true" outlineLevel="0" collapsed="false">
      <c r="A908" s="89"/>
      <c r="O908" s="90"/>
    </row>
    <row r="909" customFormat="false" ht="15.75" hidden="false" customHeight="true" outlineLevel="0" collapsed="false">
      <c r="A909" s="89"/>
      <c r="O909" s="90"/>
    </row>
    <row r="910" customFormat="false" ht="15.75" hidden="false" customHeight="true" outlineLevel="0" collapsed="false">
      <c r="A910" s="89"/>
      <c r="O910" s="90"/>
    </row>
    <row r="911" customFormat="false" ht="15.75" hidden="false" customHeight="true" outlineLevel="0" collapsed="false">
      <c r="A911" s="89"/>
      <c r="O911" s="90"/>
    </row>
    <row r="912" customFormat="false" ht="15.75" hidden="false" customHeight="true" outlineLevel="0" collapsed="false">
      <c r="A912" s="89"/>
      <c r="O912" s="90"/>
    </row>
    <row r="913" customFormat="false" ht="15.75" hidden="false" customHeight="true" outlineLevel="0" collapsed="false">
      <c r="A913" s="89"/>
      <c r="O913" s="90"/>
    </row>
    <row r="914" customFormat="false" ht="15.75" hidden="false" customHeight="true" outlineLevel="0" collapsed="false">
      <c r="A914" s="89"/>
      <c r="O914" s="90"/>
    </row>
    <row r="915" customFormat="false" ht="15.75" hidden="false" customHeight="true" outlineLevel="0" collapsed="false">
      <c r="A915" s="89"/>
      <c r="O915" s="90"/>
    </row>
    <row r="916" customFormat="false" ht="15.75" hidden="false" customHeight="true" outlineLevel="0" collapsed="false">
      <c r="A916" s="89"/>
      <c r="O916" s="90"/>
    </row>
    <row r="917" customFormat="false" ht="15.75" hidden="false" customHeight="true" outlineLevel="0" collapsed="false">
      <c r="A917" s="89"/>
      <c r="O917" s="90"/>
    </row>
    <row r="918" customFormat="false" ht="15.75" hidden="false" customHeight="true" outlineLevel="0" collapsed="false">
      <c r="A918" s="89"/>
      <c r="O918" s="90"/>
    </row>
    <row r="919" customFormat="false" ht="15.75" hidden="false" customHeight="true" outlineLevel="0" collapsed="false">
      <c r="A919" s="89"/>
      <c r="O919" s="90"/>
    </row>
    <row r="920" customFormat="false" ht="15.75" hidden="false" customHeight="true" outlineLevel="0" collapsed="false">
      <c r="A920" s="89"/>
      <c r="O920" s="90"/>
    </row>
    <row r="921" customFormat="false" ht="15.75" hidden="false" customHeight="true" outlineLevel="0" collapsed="false">
      <c r="A921" s="89"/>
      <c r="O921" s="90"/>
    </row>
    <row r="922" customFormat="false" ht="15.75" hidden="false" customHeight="true" outlineLevel="0" collapsed="false">
      <c r="A922" s="89"/>
      <c r="O922" s="90"/>
    </row>
    <row r="923" customFormat="false" ht="15.75" hidden="false" customHeight="true" outlineLevel="0" collapsed="false">
      <c r="A923" s="89"/>
      <c r="O923" s="90"/>
    </row>
    <row r="924" customFormat="false" ht="15.75" hidden="false" customHeight="true" outlineLevel="0" collapsed="false">
      <c r="A924" s="89"/>
      <c r="O924" s="90"/>
    </row>
    <row r="925" customFormat="false" ht="15.75" hidden="false" customHeight="true" outlineLevel="0" collapsed="false">
      <c r="A925" s="89"/>
      <c r="O925" s="90"/>
    </row>
    <row r="926" customFormat="false" ht="15.75" hidden="false" customHeight="true" outlineLevel="0" collapsed="false">
      <c r="A926" s="89"/>
      <c r="O926" s="90"/>
    </row>
    <row r="927" customFormat="false" ht="15.75" hidden="false" customHeight="true" outlineLevel="0" collapsed="false">
      <c r="A927" s="89"/>
      <c r="O927" s="90"/>
    </row>
    <row r="928" customFormat="false" ht="15.75" hidden="false" customHeight="true" outlineLevel="0" collapsed="false">
      <c r="A928" s="89"/>
      <c r="O928" s="90"/>
    </row>
    <row r="929" customFormat="false" ht="15.75" hidden="false" customHeight="true" outlineLevel="0" collapsed="false">
      <c r="A929" s="89"/>
      <c r="O929" s="90"/>
    </row>
    <row r="930" customFormat="false" ht="15.75" hidden="false" customHeight="true" outlineLevel="0" collapsed="false">
      <c r="A930" s="89"/>
      <c r="O930" s="90"/>
    </row>
    <row r="931" customFormat="false" ht="15.75" hidden="false" customHeight="true" outlineLevel="0" collapsed="false">
      <c r="A931" s="89"/>
      <c r="O931" s="90"/>
    </row>
    <row r="932" customFormat="false" ht="15.75" hidden="false" customHeight="true" outlineLevel="0" collapsed="false">
      <c r="A932" s="89"/>
      <c r="O932" s="90"/>
    </row>
    <row r="933" customFormat="false" ht="15.75" hidden="false" customHeight="true" outlineLevel="0" collapsed="false">
      <c r="A933" s="89"/>
      <c r="O933" s="90"/>
    </row>
    <row r="934" customFormat="false" ht="15.75" hidden="false" customHeight="true" outlineLevel="0" collapsed="false">
      <c r="A934" s="89"/>
      <c r="O934" s="90"/>
    </row>
    <row r="935" customFormat="false" ht="15.75" hidden="false" customHeight="true" outlineLevel="0" collapsed="false">
      <c r="A935" s="89"/>
      <c r="O935" s="90"/>
    </row>
    <row r="936" customFormat="false" ht="15.75" hidden="false" customHeight="true" outlineLevel="0" collapsed="false">
      <c r="A936" s="89"/>
      <c r="O936" s="90"/>
    </row>
    <row r="937" customFormat="false" ht="15.75" hidden="false" customHeight="true" outlineLevel="0" collapsed="false">
      <c r="A937" s="89"/>
      <c r="O937" s="90"/>
    </row>
    <row r="938" customFormat="false" ht="15.75" hidden="false" customHeight="true" outlineLevel="0" collapsed="false">
      <c r="A938" s="89"/>
      <c r="O938" s="90"/>
    </row>
    <row r="939" customFormat="false" ht="15.75" hidden="false" customHeight="true" outlineLevel="0" collapsed="false">
      <c r="A939" s="89"/>
      <c r="O939" s="90"/>
    </row>
    <row r="940" customFormat="false" ht="15.75" hidden="false" customHeight="true" outlineLevel="0" collapsed="false">
      <c r="A940" s="89"/>
      <c r="O940" s="90"/>
    </row>
    <row r="941" customFormat="false" ht="15.75" hidden="false" customHeight="true" outlineLevel="0" collapsed="false">
      <c r="A941" s="89"/>
      <c r="O941" s="90"/>
    </row>
    <row r="942" customFormat="false" ht="15.75" hidden="false" customHeight="true" outlineLevel="0" collapsed="false">
      <c r="A942" s="89"/>
      <c r="O942" s="90"/>
    </row>
    <row r="943" customFormat="false" ht="15.75" hidden="false" customHeight="true" outlineLevel="0" collapsed="false">
      <c r="A943" s="89"/>
      <c r="O943" s="90"/>
    </row>
    <row r="944" customFormat="false" ht="15.75" hidden="false" customHeight="true" outlineLevel="0" collapsed="false">
      <c r="A944" s="89"/>
      <c r="O944" s="90"/>
    </row>
    <row r="945" customFormat="false" ht="15.75" hidden="false" customHeight="true" outlineLevel="0" collapsed="false">
      <c r="A945" s="89"/>
      <c r="O945" s="90"/>
    </row>
    <row r="946" customFormat="false" ht="15.75" hidden="false" customHeight="true" outlineLevel="0" collapsed="false">
      <c r="A946" s="89"/>
      <c r="O946" s="90"/>
    </row>
    <row r="947" customFormat="false" ht="15.75" hidden="false" customHeight="true" outlineLevel="0" collapsed="false">
      <c r="A947" s="89"/>
      <c r="O947" s="90"/>
    </row>
    <row r="948" customFormat="false" ht="15.75" hidden="false" customHeight="true" outlineLevel="0" collapsed="false">
      <c r="A948" s="89"/>
      <c r="O948" s="90"/>
    </row>
    <row r="949" customFormat="false" ht="15.75" hidden="false" customHeight="true" outlineLevel="0" collapsed="false">
      <c r="A949" s="89"/>
      <c r="O949" s="90"/>
    </row>
    <row r="950" customFormat="false" ht="15.75" hidden="false" customHeight="true" outlineLevel="0" collapsed="false">
      <c r="A950" s="89"/>
      <c r="O950" s="90"/>
    </row>
    <row r="951" customFormat="false" ht="15.75" hidden="false" customHeight="true" outlineLevel="0" collapsed="false">
      <c r="A951" s="89"/>
      <c r="O951" s="90"/>
    </row>
    <row r="952" customFormat="false" ht="15.75" hidden="false" customHeight="true" outlineLevel="0" collapsed="false">
      <c r="A952" s="89"/>
      <c r="O952" s="90"/>
    </row>
    <row r="953" customFormat="false" ht="15.75" hidden="false" customHeight="true" outlineLevel="0" collapsed="false">
      <c r="A953" s="89"/>
      <c r="O953" s="90"/>
    </row>
    <row r="954" customFormat="false" ht="15.75" hidden="false" customHeight="true" outlineLevel="0" collapsed="false">
      <c r="A954" s="89"/>
      <c r="O954" s="90"/>
    </row>
    <row r="955" customFormat="false" ht="15.75" hidden="false" customHeight="true" outlineLevel="0" collapsed="false">
      <c r="A955" s="89"/>
      <c r="O955" s="90"/>
    </row>
    <row r="956" customFormat="false" ht="15.75" hidden="false" customHeight="true" outlineLevel="0" collapsed="false">
      <c r="A956" s="89"/>
      <c r="O956" s="90"/>
    </row>
    <row r="957" customFormat="false" ht="15.75" hidden="false" customHeight="true" outlineLevel="0" collapsed="false">
      <c r="A957" s="89"/>
      <c r="O957" s="90"/>
    </row>
    <row r="958" customFormat="false" ht="15.75" hidden="false" customHeight="true" outlineLevel="0" collapsed="false">
      <c r="A958" s="89"/>
      <c r="O958" s="90"/>
    </row>
    <row r="959" customFormat="false" ht="15.75" hidden="false" customHeight="true" outlineLevel="0" collapsed="false">
      <c r="A959" s="89"/>
      <c r="O959" s="90"/>
    </row>
    <row r="960" customFormat="false" ht="15.75" hidden="false" customHeight="true" outlineLevel="0" collapsed="false">
      <c r="A960" s="89"/>
      <c r="O960" s="90"/>
    </row>
    <row r="961" customFormat="false" ht="15.75" hidden="false" customHeight="true" outlineLevel="0" collapsed="false">
      <c r="A961" s="89"/>
      <c r="O961" s="90"/>
    </row>
    <row r="962" customFormat="false" ht="15.75" hidden="false" customHeight="true" outlineLevel="0" collapsed="false">
      <c r="A962" s="89"/>
      <c r="O962" s="90"/>
    </row>
    <row r="963" customFormat="false" ht="15.75" hidden="false" customHeight="true" outlineLevel="0" collapsed="false">
      <c r="A963" s="89"/>
      <c r="O963" s="90"/>
    </row>
    <row r="964" customFormat="false" ht="15.75" hidden="false" customHeight="true" outlineLevel="0" collapsed="false">
      <c r="A964" s="89"/>
      <c r="O964" s="90"/>
    </row>
    <row r="965" customFormat="false" ht="15.75" hidden="false" customHeight="true" outlineLevel="0" collapsed="false">
      <c r="A965" s="89"/>
      <c r="O965" s="90"/>
    </row>
    <row r="966" customFormat="false" ht="15.75" hidden="false" customHeight="true" outlineLevel="0" collapsed="false">
      <c r="A966" s="89"/>
      <c r="O966" s="90"/>
    </row>
    <row r="967" customFormat="false" ht="15.75" hidden="false" customHeight="true" outlineLevel="0" collapsed="false">
      <c r="A967" s="89"/>
      <c r="O967" s="90"/>
    </row>
    <row r="968" customFormat="false" ht="15.75" hidden="false" customHeight="true" outlineLevel="0" collapsed="false">
      <c r="A968" s="89"/>
      <c r="O968" s="90"/>
    </row>
    <row r="969" customFormat="false" ht="15.75" hidden="false" customHeight="true" outlineLevel="0" collapsed="false">
      <c r="A969" s="89"/>
      <c r="O969" s="90"/>
    </row>
    <row r="970" customFormat="false" ht="15.75" hidden="false" customHeight="true" outlineLevel="0" collapsed="false">
      <c r="A970" s="89"/>
      <c r="O970" s="90"/>
    </row>
    <row r="971" customFormat="false" ht="15.75" hidden="false" customHeight="true" outlineLevel="0" collapsed="false">
      <c r="A971" s="89"/>
      <c r="O971" s="90"/>
    </row>
    <row r="972" customFormat="false" ht="15.75" hidden="false" customHeight="true" outlineLevel="0" collapsed="false">
      <c r="A972" s="89"/>
      <c r="O972" s="90"/>
    </row>
    <row r="973" customFormat="false" ht="15.75" hidden="false" customHeight="true" outlineLevel="0" collapsed="false">
      <c r="A973" s="89"/>
      <c r="O973" s="90"/>
    </row>
    <row r="974" customFormat="false" ht="15.75" hidden="false" customHeight="true" outlineLevel="0" collapsed="false">
      <c r="A974" s="89"/>
      <c r="O974" s="90"/>
    </row>
    <row r="975" customFormat="false" ht="15.75" hidden="false" customHeight="true" outlineLevel="0" collapsed="false">
      <c r="A975" s="89"/>
      <c r="O975" s="90"/>
    </row>
    <row r="976" customFormat="false" ht="15.75" hidden="false" customHeight="true" outlineLevel="0" collapsed="false">
      <c r="A976" s="89"/>
      <c r="O976" s="90"/>
    </row>
    <row r="977" customFormat="false" ht="15.75" hidden="false" customHeight="true" outlineLevel="0" collapsed="false">
      <c r="A977" s="89"/>
      <c r="O977" s="90"/>
    </row>
    <row r="978" customFormat="false" ht="15.75" hidden="false" customHeight="true" outlineLevel="0" collapsed="false">
      <c r="A978" s="89"/>
      <c r="O978" s="90"/>
    </row>
    <row r="979" customFormat="false" ht="15.75" hidden="false" customHeight="true" outlineLevel="0" collapsed="false">
      <c r="A979" s="89"/>
      <c r="O979" s="90"/>
    </row>
    <row r="980" customFormat="false" ht="15.75" hidden="false" customHeight="true" outlineLevel="0" collapsed="false">
      <c r="A980" s="89"/>
      <c r="O980" s="90"/>
    </row>
    <row r="981" customFormat="false" ht="15.75" hidden="false" customHeight="true" outlineLevel="0" collapsed="false">
      <c r="A981" s="89"/>
      <c r="O981" s="90"/>
    </row>
    <row r="982" customFormat="false" ht="15.75" hidden="false" customHeight="true" outlineLevel="0" collapsed="false">
      <c r="A982" s="89"/>
      <c r="O982" s="90"/>
    </row>
    <row r="983" customFormat="false" ht="15.75" hidden="false" customHeight="true" outlineLevel="0" collapsed="false">
      <c r="A983" s="89"/>
      <c r="O983" s="90"/>
    </row>
    <row r="984" customFormat="false" ht="15.75" hidden="false" customHeight="true" outlineLevel="0" collapsed="false">
      <c r="A984" s="89"/>
      <c r="O984" s="90"/>
    </row>
    <row r="985" customFormat="false" ht="15.75" hidden="false" customHeight="true" outlineLevel="0" collapsed="false">
      <c r="A985" s="89"/>
      <c r="O985" s="90"/>
    </row>
    <row r="986" customFormat="false" ht="15.75" hidden="false" customHeight="true" outlineLevel="0" collapsed="false">
      <c r="A986" s="89"/>
      <c r="O986" s="90"/>
    </row>
    <row r="987" customFormat="false" ht="15.75" hidden="false" customHeight="true" outlineLevel="0" collapsed="false">
      <c r="A987" s="89"/>
      <c r="O987" s="90"/>
    </row>
    <row r="988" customFormat="false" ht="15.75" hidden="false" customHeight="true" outlineLevel="0" collapsed="false">
      <c r="A988" s="89"/>
      <c r="O988" s="90"/>
    </row>
    <row r="989" customFormat="false" ht="15.75" hidden="false" customHeight="true" outlineLevel="0" collapsed="false">
      <c r="A989" s="89"/>
      <c r="O989" s="90"/>
    </row>
    <row r="990" customFormat="false" ht="15.75" hidden="false" customHeight="true" outlineLevel="0" collapsed="false">
      <c r="A990" s="89"/>
      <c r="O990" s="90"/>
    </row>
    <row r="991" customFormat="false" ht="15.75" hidden="false" customHeight="true" outlineLevel="0" collapsed="false">
      <c r="A991" s="89"/>
      <c r="O991" s="90"/>
    </row>
    <row r="992" customFormat="false" ht="15.75" hidden="false" customHeight="true" outlineLevel="0" collapsed="false">
      <c r="A992" s="89"/>
      <c r="O992" s="90"/>
    </row>
    <row r="993" customFormat="false" ht="15.75" hidden="false" customHeight="true" outlineLevel="0" collapsed="false">
      <c r="A993" s="89"/>
      <c r="O993" s="90"/>
    </row>
    <row r="994" customFormat="false" ht="15.75" hidden="false" customHeight="true" outlineLevel="0" collapsed="false">
      <c r="A994" s="89"/>
      <c r="O994" s="90"/>
    </row>
    <row r="995" customFormat="false" ht="15.75" hidden="false" customHeight="true" outlineLevel="0" collapsed="false">
      <c r="A995" s="89"/>
      <c r="O995" s="90"/>
    </row>
    <row r="996" customFormat="false" ht="15.75" hidden="false" customHeight="true" outlineLevel="0" collapsed="false">
      <c r="A996" s="89"/>
      <c r="O996" s="90"/>
    </row>
    <row r="997" customFormat="false" ht="15.75" hidden="false" customHeight="true" outlineLevel="0" collapsed="false">
      <c r="A997" s="89"/>
      <c r="O997" s="90"/>
    </row>
    <row r="998" customFormat="false" ht="15.75" hidden="false" customHeight="true" outlineLevel="0" collapsed="false">
      <c r="A998" s="89"/>
      <c r="O998" s="90"/>
    </row>
    <row r="999" customFormat="false" ht="15.75" hidden="false" customHeight="true" outlineLevel="0" collapsed="false">
      <c r="A999" s="89"/>
      <c r="O999" s="90"/>
    </row>
    <row r="1000" customFormat="false" ht="15.75" hidden="false" customHeight="true" outlineLevel="0" collapsed="false">
      <c r="A1000" s="89"/>
      <c r="O1000" s="90"/>
    </row>
  </sheetData>
  <mergeCells count="1">
    <mergeCell ref="A1:A16"/>
  </mergeCells>
  <conditionalFormatting sqref="F2:O16">
    <cfRule type="cellIs" priority="2" operator="equal" aboveAverage="0" equalAverage="0" bottom="0" percent="0" rank="0" text="" dxfId="12">
      <formula>"A"</formula>
    </cfRule>
    <cfRule type="cellIs" priority="3" operator="equal" aboveAverage="0" equalAverage="0" bottom="0" percent="0" rank="0" text="" dxfId="15">
      <formula>"P"</formula>
    </cfRule>
  </conditionalFormatting>
  <conditionalFormatting sqref="U2:U1000 R1:R16">
    <cfRule type="colorScale" priority="4">
      <colorScale>
        <cfvo type="percent" val="0"/>
        <cfvo type="percent" val="50"/>
        <cfvo type="percent" val="100"/>
        <color rgb="FFCC0000"/>
        <color rgb="FFFFF2CC"/>
        <color rgb="FF57BB8A"/>
      </colorScale>
    </cfRule>
  </conditionalFormatting>
  <conditionalFormatting sqref="S2:U15">
    <cfRule type="expression" priority="5" aboveAverage="0" equalAverage="0" bottom="0" percent="0" rank="0" text="" dxfId="12">
      <formula>$I2:$I27="Fail"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000"/>
  <sheetViews>
    <sheetView showFormulas="false" showGridLines="true" showRowColHeaders="true" showZeros="true" rightToLeft="false" tabSelected="false" showOutlineSymbols="true" defaultGridColor="true" view="normal" topLeftCell="A1" colorId="64" zoomScale="77" zoomScaleNormal="77" zoomScalePageLayoutView="100" workbookViewId="0">
      <selection pane="topLeft" activeCell="T20" activeCellId="0" sqref="T20"/>
    </sheetView>
  </sheetViews>
  <sheetFormatPr defaultColWidth="12.63671875" defaultRowHeight="15" zeroHeight="false" outlineLevelRow="0" outlineLevelCol="0"/>
  <cols>
    <col collapsed="false" customWidth="true" hidden="false" outlineLevel="0" max="1" min="1" style="0" width="5.13"/>
    <col collapsed="false" customWidth="true" hidden="false" outlineLevel="0" max="2" min="2" style="0" width="7.38"/>
    <col collapsed="false" customWidth="true" hidden="false" outlineLevel="0" max="3" min="3" style="0" width="11"/>
    <col collapsed="false" customWidth="true" hidden="false" outlineLevel="0" max="4" min="4" style="0" width="24"/>
    <col collapsed="false" customWidth="true" hidden="false" outlineLevel="0" max="5" min="5" style="0" width="25.7"/>
    <col collapsed="false" customWidth="true" hidden="false" outlineLevel="0" max="7" min="6" style="0" width="8.38"/>
    <col collapsed="false" customWidth="true" hidden="false" outlineLevel="0" max="8" min="8" style="0" width="10.38"/>
    <col collapsed="false" customWidth="true" hidden="false" outlineLevel="0" max="9" min="9" style="0" width="8.63"/>
    <col collapsed="false" customWidth="true" hidden="false" outlineLevel="0" max="10" min="10" style="0" width="10.63"/>
    <col collapsed="false" customWidth="true" hidden="false" outlineLevel="0" max="11" min="11" style="0" width="10.38"/>
    <col collapsed="false" customWidth="true" hidden="false" outlineLevel="0" max="12" min="12" style="0" width="9.63"/>
    <col collapsed="false" customWidth="true" hidden="false" outlineLevel="0" max="13" min="13" style="0" width="8.38"/>
    <col collapsed="false" customWidth="true" hidden="false" outlineLevel="0" max="14" min="14" style="0" width="8.63"/>
    <col collapsed="false" customWidth="true" hidden="false" outlineLevel="0" max="16" min="15" style="0" width="13.75"/>
    <col collapsed="false" customWidth="true" hidden="false" outlineLevel="0" max="17" min="17" style="0" width="17"/>
    <col collapsed="false" customWidth="true" hidden="false" outlineLevel="0" max="18" min="18" style="0" width="21.36"/>
    <col collapsed="false" customWidth="true" hidden="false" outlineLevel="0" max="19" min="19" style="0" width="18.7"/>
    <col collapsed="false" customWidth="true" hidden="false" outlineLevel="0" max="20" min="20" style="0" width="24"/>
    <col collapsed="false" customWidth="true" hidden="false" outlineLevel="0" max="29" min="21" style="0" width="15.63"/>
  </cols>
  <sheetData>
    <row r="1" customFormat="false" ht="103.5" hidden="false" customHeight="true" outlineLevel="0" collapsed="false">
      <c r="A1" s="91" t="s">
        <v>17</v>
      </c>
      <c r="B1" s="92" t="s">
        <v>0</v>
      </c>
      <c r="C1" s="92" t="s">
        <v>1</v>
      </c>
      <c r="D1" s="92" t="s">
        <v>2</v>
      </c>
      <c r="E1" s="93" t="s">
        <v>3</v>
      </c>
      <c r="F1" s="94" t="s">
        <v>111</v>
      </c>
      <c r="G1" s="95" t="s">
        <v>112</v>
      </c>
      <c r="H1" s="95" t="s">
        <v>113</v>
      </c>
      <c r="I1" s="95" t="s">
        <v>114</v>
      </c>
      <c r="J1" s="96" t="s">
        <v>115</v>
      </c>
      <c r="K1" s="94" t="s">
        <v>116</v>
      </c>
      <c r="L1" s="95" t="s">
        <v>117</v>
      </c>
      <c r="M1" s="95" t="s">
        <v>118</v>
      </c>
      <c r="N1" s="95" t="s">
        <v>119</v>
      </c>
      <c r="O1" s="96" t="s">
        <v>120</v>
      </c>
      <c r="P1" s="97" t="s">
        <v>121</v>
      </c>
      <c r="Q1" s="98" t="s">
        <v>122</v>
      </c>
      <c r="R1" s="99" t="s">
        <v>123</v>
      </c>
      <c r="S1" s="5" t="s">
        <v>92</v>
      </c>
      <c r="T1" s="5" t="s">
        <v>93</v>
      </c>
      <c r="U1" s="6" t="s">
        <v>124</v>
      </c>
    </row>
    <row r="2" customFormat="false" ht="26.25" hidden="false" customHeight="true" outlineLevel="0" collapsed="false">
      <c r="A2" s="91"/>
      <c r="B2" s="3" t="str">
        <f aca="false" t="array" ref="B2:E16">_xlfn._xlws.FILTER(StudendEnroll!A2:D44,StudendEnroll!D2:D44=A1)</f>
        <v>Katie</v>
      </c>
      <c r="C2" s="3" t="str">
        <v>Parn</v>
      </c>
      <c r="D2" s="3" t="str">
        <v>Katiear@gmail.com</v>
      </c>
      <c r="E2" s="3" t="str">
        <v>English Language</v>
      </c>
      <c r="F2" s="100" t="s">
        <v>125</v>
      </c>
      <c r="G2" s="3" t="s">
        <v>125</v>
      </c>
      <c r="H2" s="3" t="s">
        <v>125</v>
      </c>
      <c r="I2" s="3" t="s">
        <v>125</v>
      </c>
      <c r="J2" s="101" t="s">
        <v>126</v>
      </c>
      <c r="K2" s="100" t="s">
        <v>125</v>
      </c>
      <c r="L2" s="3" t="s">
        <v>125</v>
      </c>
      <c r="M2" s="3" t="s">
        <v>125</v>
      </c>
      <c r="N2" s="3" t="s">
        <v>125</v>
      </c>
      <c r="O2" s="102" t="s">
        <v>125</v>
      </c>
      <c r="P2" s="103" t="n">
        <f aca="false">COUNTIF(F2:J2,"P")/COUNTA(F2:J2)</f>
        <v>0.8</v>
      </c>
      <c r="Q2" s="103" t="n">
        <f aca="false">COUNTIF(K2:O2,"P")/COUNTA(K2:O2)</f>
        <v>1</v>
      </c>
      <c r="R2" s="104" t="n">
        <f aca="false">SUM(P2:Q2)/2</f>
        <v>0.9</v>
      </c>
      <c r="S2" s="3" t="n">
        <v>96</v>
      </c>
      <c r="T2" s="3" t="n">
        <v>88</v>
      </c>
      <c r="U2" s="3" t="s">
        <v>127</v>
      </c>
    </row>
    <row r="3" customFormat="false" ht="26.25" hidden="false" customHeight="true" outlineLevel="0" collapsed="false">
      <c r="A3" s="91"/>
      <c r="B3" s="3" t="str">
        <v>Ronaldo</v>
      </c>
      <c r="C3" s="3" t="str">
        <v>Felipe</v>
      </c>
      <c r="D3" s="3" t="str">
        <v>Ronaldoel@gmail.com</v>
      </c>
      <c r="E3" s="3" t="str">
        <v>English Language</v>
      </c>
      <c r="F3" s="100" t="s">
        <v>125</v>
      </c>
      <c r="G3" s="3" t="s">
        <v>125</v>
      </c>
      <c r="H3" s="3" t="s">
        <v>125</v>
      </c>
      <c r="I3" s="3" t="s">
        <v>125</v>
      </c>
      <c r="J3" s="101" t="s">
        <v>126</v>
      </c>
      <c r="K3" s="100" t="s">
        <v>125</v>
      </c>
      <c r="L3" s="3" t="s">
        <v>125</v>
      </c>
      <c r="M3" s="3" t="s">
        <v>125</v>
      </c>
      <c r="N3" s="3" t="s">
        <v>126</v>
      </c>
      <c r="O3" s="102" t="s">
        <v>125</v>
      </c>
      <c r="P3" s="103" t="n">
        <f aca="false">COUNTIF(F3:J3,"P")/COUNTA(F3:J3)</f>
        <v>0.8</v>
      </c>
      <c r="Q3" s="103" t="n">
        <f aca="false">COUNTIF(K3:O3,"P")/COUNTA(K3:O3)</f>
        <v>0.8</v>
      </c>
      <c r="R3" s="104" t="n">
        <f aca="false">SUM(P3:Q3)/2</f>
        <v>0.8</v>
      </c>
      <c r="S3" s="3" t="n">
        <v>55</v>
      </c>
      <c r="T3" s="3" t="n">
        <v>66</v>
      </c>
      <c r="U3" s="3" t="s">
        <v>128</v>
      </c>
    </row>
    <row r="4" customFormat="false" ht="26.25" hidden="false" customHeight="true" outlineLevel="0" collapsed="false">
      <c r="A4" s="91"/>
      <c r="B4" s="3" t="str">
        <v>Dean</v>
      </c>
      <c r="C4" s="3" t="str">
        <v>Jolie</v>
      </c>
      <c r="D4" s="3" t="str">
        <v>Deanol@gmail.com</v>
      </c>
      <c r="E4" s="3" t="str">
        <v>English Language</v>
      </c>
      <c r="F4" s="100" t="s">
        <v>125</v>
      </c>
      <c r="G4" s="3" t="s">
        <v>125</v>
      </c>
      <c r="H4" s="3" t="s">
        <v>125</v>
      </c>
      <c r="I4" s="3" t="s">
        <v>125</v>
      </c>
      <c r="J4" s="101" t="s">
        <v>125</v>
      </c>
      <c r="K4" s="100" t="s">
        <v>125</v>
      </c>
      <c r="L4" s="3" t="s">
        <v>125</v>
      </c>
      <c r="M4" s="3" t="s">
        <v>125</v>
      </c>
      <c r="N4" s="3" t="s">
        <v>125</v>
      </c>
      <c r="O4" s="102" t="s">
        <v>125</v>
      </c>
      <c r="P4" s="103" t="n">
        <f aca="false">COUNTIF(F4:J4,"P")/COUNTA(F4:J4)</f>
        <v>1</v>
      </c>
      <c r="Q4" s="103" t="n">
        <f aca="false">COUNTIF(K4:O4,"P")/COUNTA(K4:O4)</f>
        <v>1</v>
      </c>
      <c r="R4" s="104" t="n">
        <f aca="false">SUM(P4:Q4)/2</f>
        <v>1</v>
      </c>
      <c r="S4" s="3" t="n">
        <v>81</v>
      </c>
      <c r="T4" s="3" t="n">
        <v>99</v>
      </c>
      <c r="U4" s="3" t="s">
        <v>127</v>
      </c>
    </row>
    <row r="5" customFormat="false" ht="26.25" hidden="false" customHeight="true" outlineLevel="0" collapsed="false">
      <c r="A5" s="91"/>
      <c r="B5" s="3" t="str">
        <v>Paolo</v>
      </c>
      <c r="C5" s="3" t="str">
        <v>Jasmini</v>
      </c>
      <c r="D5" s="3" t="str">
        <v>Paoloas@gmail.com</v>
      </c>
      <c r="E5" s="3" t="str">
        <v>English Language</v>
      </c>
      <c r="F5" s="100" t="s">
        <v>126</v>
      </c>
      <c r="G5" s="3" t="s">
        <v>125</v>
      </c>
      <c r="H5" s="3" t="s">
        <v>125</v>
      </c>
      <c r="I5" s="3" t="s">
        <v>125</v>
      </c>
      <c r="J5" s="101" t="s">
        <v>125</v>
      </c>
      <c r="K5" s="105" t="s">
        <v>125</v>
      </c>
      <c r="L5" s="99" t="s">
        <v>125</v>
      </c>
      <c r="M5" s="3" t="s">
        <v>126</v>
      </c>
      <c r="N5" s="3" t="s">
        <v>125</v>
      </c>
      <c r="O5" s="102" t="s">
        <v>125</v>
      </c>
      <c r="P5" s="103" t="n">
        <f aca="false">COUNTIF(F5:J5,"P")/COUNTA(F5:J5)</f>
        <v>0.8</v>
      </c>
      <c r="Q5" s="103" t="n">
        <f aca="false">COUNTIF(K5:O5,"P")/COUNTA(K5:O5)</f>
        <v>0.8</v>
      </c>
      <c r="R5" s="104" t="n">
        <f aca="false">SUM(P5:Q5)/2</f>
        <v>0.8</v>
      </c>
      <c r="S5" s="3" t="n">
        <v>77</v>
      </c>
      <c r="T5" s="3" t="n">
        <v>87</v>
      </c>
      <c r="U5" s="3" t="s">
        <v>127</v>
      </c>
    </row>
    <row r="6" customFormat="false" ht="26.25" hidden="false" customHeight="true" outlineLevel="0" collapsed="false">
      <c r="A6" s="91"/>
      <c r="B6" s="3" t="str">
        <v>Jean </v>
      </c>
      <c r="C6" s="3" t="str">
        <v>Damme</v>
      </c>
      <c r="D6" s="3" t="str">
        <v>Jean am@gmail.com</v>
      </c>
      <c r="E6" s="3" t="str">
        <v>English Language</v>
      </c>
      <c r="F6" s="100" t="s">
        <v>125</v>
      </c>
      <c r="G6" s="3" t="s">
        <v>125</v>
      </c>
      <c r="H6" s="3" t="s">
        <v>125</v>
      </c>
      <c r="I6" s="3" t="s">
        <v>126</v>
      </c>
      <c r="J6" s="101" t="s">
        <v>125</v>
      </c>
      <c r="K6" s="100" t="s">
        <v>125</v>
      </c>
      <c r="L6" s="3" t="s">
        <v>125</v>
      </c>
      <c r="M6" s="3" t="s">
        <v>125</v>
      </c>
      <c r="N6" s="3" t="s">
        <v>126</v>
      </c>
      <c r="O6" s="102" t="s">
        <v>126</v>
      </c>
      <c r="P6" s="103" t="n">
        <f aca="false">COUNTIF(F6:J6,"P")/COUNTA(F6:J6)</f>
        <v>0.8</v>
      </c>
      <c r="Q6" s="103" t="n">
        <f aca="false">COUNTIF(K6:O6,"P")/COUNTA(K6:O6)</f>
        <v>0.6</v>
      </c>
      <c r="R6" s="104" t="n">
        <f aca="false">SUM(P6:Q6)/2</f>
        <v>0.7</v>
      </c>
      <c r="S6" s="3" t="n">
        <v>80</v>
      </c>
      <c r="T6" s="3" t="n">
        <v>78</v>
      </c>
      <c r="U6" s="3" t="s">
        <v>127</v>
      </c>
    </row>
    <row r="7" customFormat="false" ht="26.25" hidden="false" customHeight="true" outlineLevel="0" collapsed="false">
      <c r="A7" s="91"/>
      <c r="B7" s="3" t="str">
        <v>Helen </v>
      </c>
      <c r="C7" s="3" t="str">
        <v>Birren</v>
      </c>
      <c r="D7" s="3" t="str">
        <v>Helen ir@gmail.com</v>
      </c>
      <c r="E7" s="3" t="str">
        <v>English Language</v>
      </c>
      <c r="F7" s="100" t="s">
        <v>125</v>
      </c>
      <c r="G7" s="3" t="s">
        <v>125</v>
      </c>
      <c r="H7" s="3" t="s">
        <v>125</v>
      </c>
      <c r="I7" s="3" t="s">
        <v>125</v>
      </c>
      <c r="J7" s="101" t="s">
        <v>126</v>
      </c>
      <c r="K7" s="100" t="s">
        <v>125</v>
      </c>
      <c r="L7" s="3" t="s">
        <v>125</v>
      </c>
      <c r="M7" s="3" t="s">
        <v>125</v>
      </c>
      <c r="N7" s="3" t="s">
        <v>125</v>
      </c>
      <c r="O7" s="102" t="s">
        <v>125</v>
      </c>
      <c r="P7" s="103" t="n">
        <f aca="false">COUNTIF(F7:J7,"P")/COUNTA(F7:J7)</f>
        <v>0.8</v>
      </c>
      <c r="Q7" s="103" t="n">
        <f aca="false">COUNTIF(K7:O7,"P")/COUNTA(K7:O7)</f>
        <v>1</v>
      </c>
      <c r="R7" s="104" t="n">
        <f aca="false">SUM(P7:Q7)/2</f>
        <v>0.9</v>
      </c>
      <c r="S7" s="3" t="n">
        <v>60</v>
      </c>
      <c r="T7" s="3" t="n">
        <v>94</v>
      </c>
      <c r="U7" s="3" t="s">
        <v>127</v>
      </c>
    </row>
    <row r="8" customFormat="false" ht="26.25" hidden="false" customHeight="true" outlineLevel="0" collapsed="false">
      <c r="A8" s="91"/>
      <c r="B8" s="3" t="str">
        <v>Olivia</v>
      </c>
      <c r="C8" s="3" t="str">
        <v>Cander</v>
      </c>
      <c r="D8" s="3" t="str">
        <v>Oliviaan@gmail.com</v>
      </c>
      <c r="E8" s="3" t="str">
        <v>English Language</v>
      </c>
      <c r="F8" s="100" t="s">
        <v>125</v>
      </c>
      <c r="G8" s="3" t="s">
        <v>125</v>
      </c>
      <c r="H8" s="99" t="s">
        <v>125</v>
      </c>
      <c r="I8" s="3" t="s">
        <v>126</v>
      </c>
      <c r="J8" s="101" t="s">
        <v>125</v>
      </c>
      <c r="K8" s="105" t="s">
        <v>125</v>
      </c>
      <c r="L8" s="99" t="s">
        <v>125</v>
      </c>
      <c r="M8" s="99" t="s">
        <v>125</v>
      </c>
      <c r="N8" s="99" t="s">
        <v>125</v>
      </c>
      <c r="O8" s="102" t="s">
        <v>126</v>
      </c>
      <c r="P8" s="103" t="n">
        <f aca="false">COUNTIF(F8:J8,"P")/COUNTA(F8:J8)</f>
        <v>0.8</v>
      </c>
      <c r="Q8" s="103" t="n">
        <f aca="false">COUNTIF(K8:O8,"P")/COUNTA(K8:O8)</f>
        <v>0.8</v>
      </c>
      <c r="R8" s="104" t="n">
        <f aca="false">SUM(P8:Q8)/2</f>
        <v>0.8</v>
      </c>
      <c r="S8" s="3" t="n">
        <v>92</v>
      </c>
      <c r="T8" s="3" t="n">
        <v>79</v>
      </c>
      <c r="U8" s="3" t="s">
        <v>127</v>
      </c>
    </row>
    <row r="9" customFormat="false" ht="26.25" hidden="false" customHeight="true" outlineLevel="0" collapsed="false">
      <c r="A9" s="91"/>
      <c r="B9" s="3" t="str">
        <v>Evita </v>
      </c>
      <c r="C9" s="3" t="str">
        <v>Saron</v>
      </c>
      <c r="D9" s="3" t="str">
        <v>Evita ar@gmail.com</v>
      </c>
      <c r="E9" s="3" t="str">
        <v>English Language</v>
      </c>
      <c r="F9" s="100" t="s">
        <v>125</v>
      </c>
      <c r="G9" s="3" t="s">
        <v>125</v>
      </c>
      <c r="H9" s="3" t="s">
        <v>125</v>
      </c>
      <c r="I9" s="3" t="s">
        <v>125</v>
      </c>
      <c r="J9" s="101" t="s">
        <v>125</v>
      </c>
      <c r="K9" s="100" t="s">
        <v>125</v>
      </c>
      <c r="L9" s="3" t="s">
        <v>125</v>
      </c>
      <c r="M9" s="3" t="s">
        <v>125</v>
      </c>
      <c r="N9" s="3" t="s">
        <v>125</v>
      </c>
      <c r="O9" s="102" t="s">
        <v>125</v>
      </c>
      <c r="P9" s="103" t="n">
        <f aca="false">COUNTIF(F9:J9,"P")/COUNTA(F9:J9)</f>
        <v>1</v>
      </c>
      <c r="Q9" s="103" t="n">
        <f aca="false">COUNTIF(K9:O9,"P")/COUNTA(K9:O9)</f>
        <v>1</v>
      </c>
      <c r="R9" s="104" t="n">
        <f aca="false">SUM(P9:Q9)/2</f>
        <v>1</v>
      </c>
      <c r="S9" s="3" t="n">
        <v>73</v>
      </c>
      <c r="T9" s="3" t="n">
        <v>99</v>
      </c>
      <c r="U9" s="99" t="s">
        <v>127</v>
      </c>
    </row>
    <row r="10" customFormat="false" ht="26.25" hidden="false" customHeight="true" outlineLevel="0" collapsed="false">
      <c r="A10" s="91"/>
      <c r="B10" s="3" t="str">
        <v>Muhammed </v>
      </c>
      <c r="C10" s="3" t="str">
        <v>Hasan</v>
      </c>
      <c r="D10" s="3" t="str">
        <v>Muhammed as@gmail.com</v>
      </c>
      <c r="E10" s="3" t="str">
        <v>English Language</v>
      </c>
      <c r="F10" s="100" t="s">
        <v>126</v>
      </c>
      <c r="G10" s="3" t="s">
        <v>125</v>
      </c>
      <c r="H10" s="3" t="s">
        <v>125</v>
      </c>
      <c r="I10" s="3" t="s">
        <v>125</v>
      </c>
      <c r="J10" s="101" t="s">
        <v>126</v>
      </c>
      <c r="K10" s="100" t="s">
        <v>125</v>
      </c>
      <c r="L10" s="3" t="s">
        <v>125</v>
      </c>
      <c r="M10" s="3" t="s">
        <v>125</v>
      </c>
      <c r="N10" s="3" t="s">
        <v>125</v>
      </c>
      <c r="O10" s="102" t="s">
        <v>125</v>
      </c>
      <c r="P10" s="103" t="n">
        <f aca="false">COUNTIF(F10:J10,"P")/COUNTA(F10:J10)</f>
        <v>0.6</v>
      </c>
      <c r="Q10" s="103" t="n">
        <f aca="false">COUNTIF(K10:O10,"P")/COUNTA(K10:O10)</f>
        <v>1</v>
      </c>
      <c r="R10" s="104" t="n">
        <f aca="false">SUM(P10:Q10)/2</f>
        <v>0.8</v>
      </c>
      <c r="S10" s="99" t="n">
        <v>73</v>
      </c>
      <c r="T10" s="3" t="n">
        <v>68</v>
      </c>
      <c r="U10" s="3" t="s">
        <v>127</v>
      </c>
    </row>
    <row r="11" customFormat="false" ht="26.25" hidden="false" customHeight="true" outlineLevel="0" collapsed="false">
      <c r="A11" s="91"/>
      <c r="B11" s="3" t="str">
        <v>Bill</v>
      </c>
      <c r="C11" s="3" t="str">
        <v>Kill</v>
      </c>
      <c r="D11" s="3" t="str">
        <v>Billil@gmail.com</v>
      </c>
      <c r="E11" s="3" t="str">
        <v>English Language</v>
      </c>
      <c r="F11" s="100" t="s">
        <v>125</v>
      </c>
      <c r="G11" s="3" t="s">
        <v>125</v>
      </c>
      <c r="H11" s="3" t="s">
        <v>125</v>
      </c>
      <c r="I11" s="3" t="s">
        <v>125</v>
      </c>
      <c r="J11" s="101" t="s">
        <v>125</v>
      </c>
      <c r="K11" s="100" t="s">
        <v>125</v>
      </c>
      <c r="L11" s="3" t="s">
        <v>125</v>
      </c>
      <c r="M11" s="3" t="s">
        <v>125</v>
      </c>
      <c r="N11" s="3" t="s">
        <v>125</v>
      </c>
      <c r="O11" s="102" t="s">
        <v>126</v>
      </c>
      <c r="P11" s="103" t="n">
        <f aca="false">COUNTIF(F11:J11,"P")/COUNTA(F11:J11)</f>
        <v>1</v>
      </c>
      <c r="Q11" s="103" t="n">
        <f aca="false">COUNTIF(K11:O11,"P")/COUNTA(K11:O11)</f>
        <v>0.8</v>
      </c>
      <c r="R11" s="104" t="n">
        <f aca="false">SUM(P11:Q11)/2</f>
        <v>0.9</v>
      </c>
      <c r="S11" s="3" t="n">
        <v>88</v>
      </c>
      <c r="T11" s="3" t="n">
        <v>80</v>
      </c>
      <c r="U11" s="3" t="s">
        <v>127</v>
      </c>
    </row>
    <row r="12" customFormat="false" ht="26.25" hidden="false" customHeight="true" outlineLevel="0" collapsed="false">
      <c r="A12" s="91"/>
      <c r="B12" s="3" t="str">
        <v>Bario</v>
      </c>
      <c r="C12" s="3" t="str">
        <v>Sarmiento</v>
      </c>
      <c r="D12" s="3" t="str">
        <v>Barioar@gmail.com</v>
      </c>
      <c r="E12" s="3" t="str">
        <v>English Language</v>
      </c>
      <c r="F12" s="100" t="s">
        <v>125</v>
      </c>
      <c r="G12" s="3" t="s">
        <v>125</v>
      </c>
      <c r="H12" s="3" t="s">
        <v>125</v>
      </c>
      <c r="I12" s="3" t="s">
        <v>125</v>
      </c>
      <c r="J12" s="101" t="s">
        <v>126</v>
      </c>
      <c r="K12" s="100" t="s">
        <v>125</v>
      </c>
      <c r="L12" s="3" t="s">
        <v>125</v>
      </c>
      <c r="M12" s="3" t="s">
        <v>125</v>
      </c>
      <c r="N12" s="3" t="s">
        <v>125</v>
      </c>
      <c r="O12" s="102" t="s">
        <v>125</v>
      </c>
      <c r="P12" s="103" t="n">
        <f aca="false">COUNTIF(F12:J12,"P")/COUNTA(F12:J12)</f>
        <v>0.8</v>
      </c>
      <c r="Q12" s="103" t="n">
        <f aca="false">COUNTIF(K12:O12,"P")/COUNTA(K12:O12)</f>
        <v>1</v>
      </c>
      <c r="R12" s="104" t="n">
        <f aca="false">SUM(P12:Q12)/2</f>
        <v>0.9</v>
      </c>
      <c r="S12" s="3" t="n">
        <v>96</v>
      </c>
      <c r="T12" s="3" t="n">
        <v>90</v>
      </c>
      <c r="U12" s="3" t="s">
        <v>127</v>
      </c>
    </row>
    <row r="13" customFormat="false" ht="26.25" hidden="false" customHeight="true" outlineLevel="0" collapsed="false">
      <c r="A13" s="91"/>
      <c r="B13" s="3" t="str">
        <v>Silvio</v>
      </c>
      <c r="C13" s="3" t="str">
        <v>Zerosconi</v>
      </c>
      <c r="D13" s="3" t="str">
        <v>Silvioer@gmail.com</v>
      </c>
      <c r="E13" s="3" t="str">
        <v>English Language</v>
      </c>
      <c r="F13" s="100" t="s">
        <v>125</v>
      </c>
      <c r="G13" s="3" t="s">
        <v>126</v>
      </c>
      <c r="H13" s="3" t="s">
        <v>125</v>
      </c>
      <c r="I13" s="3" t="s">
        <v>126</v>
      </c>
      <c r="J13" s="101" t="s">
        <v>125</v>
      </c>
      <c r="K13" s="100" t="s">
        <v>125</v>
      </c>
      <c r="L13" s="3" t="s">
        <v>126</v>
      </c>
      <c r="M13" s="3" t="s">
        <v>125</v>
      </c>
      <c r="N13" s="3" t="s">
        <v>126</v>
      </c>
      <c r="O13" s="102" t="s">
        <v>126</v>
      </c>
      <c r="P13" s="103" t="n">
        <f aca="false">COUNTIF(F13:J13,"P")/COUNTA(F13:J13)</f>
        <v>0.6</v>
      </c>
      <c r="Q13" s="103" t="n">
        <f aca="false">COUNTIF(K13:O13,"P")/COUNTA(K13:O13)</f>
        <v>0.4</v>
      </c>
      <c r="R13" s="104" t="n">
        <f aca="false">SUM(P13:Q13)/2</f>
        <v>0.5</v>
      </c>
      <c r="S13" s="3" t="n">
        <v>70</v>
      </c>
      <c r="T13" s="3" t="n">
        <v>0</v>
      </c>
      <c r="U13" s="3" t="s">
        <v>128</v>
      </c>
    </row>
    <row r="14" customFormat="false" ht="26.25" hidden="false" customHeight="true" outlineLevel="0" collapsed="false">
      <c r="A14" s="91"/>
      <c r="B14" s="3" t="str">
        <v>Suzie</v>
      </c>
      <c r="C14" s="3" t="str">
        <v>Partone</v>
      </c>
      <c r="D14" s="3" t="str">
        <v>Suziear@gmail.com</v>
      </c>
      <c r="E14" s="3" t="str">
        <v>English Language</v>
      </c>
      <c r="F14" s="100" t="s">
        <v>125</v>
      </c>
      <c r="G14" s="3" t="s">
        <v>125</v>
      </c>
      <c r="H14" s="3" t="s">
        <v>125</v>
      </c>
      <c r="I14" s="3" t="s">
        <v>126</v>
      </c>
      <c r="J14" s="101" t="s">
        <v>126</v>
      </c>
      <c r="K14" s="100" t="s">
        <v>126</v>
      </c>
      <c r="L14" s="3" t="s">
        <v>126</v>
      </c>
      <c r="M14" s="3" t="s">
        <v>126</v>
      </c>
      <c r="N14" s="99" t="s">
        <v>125</v>
      </c>
      <c r="O14" s="102" t="s">
        <v>125</v>
      </c>
      <c r="P14" s="103" t="n">
        <f aca="false">COUNTIF(F14:J14,"P")/COUNTA(F14:J14)</f>
        <v>0.6</v>
      </c>
      <c r="Q14" s="103" t="n">
        <f aca="false">COUNTIF(K14:O14,"P")/COUNTA(K14:O14)</f>
        <v>0.4</v>
      </c>
      <c r="R14" s="104" t="n">
        <f aca="false">SUM(P14:Q14)/2</f>
        <v>0.5</v>
      </c>
      <c r="S14" s="99" t="n">
        <v>0</v>
      </c>
      <c r="T14" s="99" t="n">
        <v>37</v>
      </c>
      <c r="U14" s="99" t="s">
        <v>128</v>
      </c>
    </row>
    <row r="15" customFormat="false" ht="26.25" hidden="false" customHeight="true" outlineLevel="0" collapsed="false">
      <c r="A15" s="91"/>
      <c r="B15" s="3" t="str">
        <v>Donald</v>
      </c>
      <c r="C15" s="3" t="str">
        <v>Alberto</v>
      </c>
      <c r="D15" s="3" t="str">
        <v>Donaldlb@gmail.com</v>
      </c>
      <c r="E15" s="3" t="str">
        <v>English Language</v>
      </c>
      <c r="F15" s="100" t="s">
        <v>125</v>
      </c>
      <c r="G15" s="3" t="s">
        <v>125</v>
      </c>
      <c r="H15" s="3" t="s">
        <v>126</v>
      </c>
      <c r="I15" s="3" t="s">
        <v>125</v>
      </c>
      <c r="J15" s="101" t="s">
        <v>125</v>
      </c>
      <c r="K15" s="100" t="s">
        <v>125</v>
      </c>
      <c r="L15" s="3" t="s">
        <v>125</v>
      </c>
      <c r="M15" s="3" t="s">
        <v>125</v>
      </c>
      <c r="N15" s="3" t="s">
        <v>125</v>
      </c>
      <c r="O15" s="102" t="s">
        <v>126</v>
      </c>
      <c r="P15" s="103" t="n">
        <f aca="false">COUNTIF(F15:J15,"P")/COUNTA(F15:J15)</f>
        <v>0.8</v>
      </c>
      <c r="Q15" s="103" t="n">
        <f aca="false">COUNTIF(K15:O15,"P")/COUNTA(K15:O15)</f>
        <v>0.8</v>
      </c>
      <c r="R15" s="104" t="n">
        <f aca="false">SUM(P15:Q15)/2</f>
        <v>0.8</v>
      </c>
      <c r="S15" s="3" t="n">
        <v>97</v>
      </c>
      <c r="T15" s="3" t="n">
        <v>100</v>
      </c>
      <c r="U15" s="3" t="s">
        <v>127</v>
      </c>
    </row>
    <row r="16" customFormat="false" ht="26.25" hidden="false" customHeight="true" outlineLevel="0" collapsed="false">
      <c r="A16" s="91"/>
      <c r="B16" s="3" t="str">
        <v>Ina</v>
      </c>
      <c r="C16" s="3" t="str">
        <v>Christal</v>
      </c>
      <c r="D16" s="3" t="str">
        <v>Inahr@gmail.com</v>
      </c>
      <c r="E16" s="3" t="str">
        <v>English Language</v>
      </c>
      <c r="F16" s="106" t="s">
        <v>125</v>
      </c>
      <c r="G16" s="107" t="s">
        <v>126</v>
      </c>
      <c r="H16" s="108" t="s">
        <v>125</v>
      </c>
      <c r="I16" s="107" t="s">
        <v>125</v>
      </c>
      <c r="J16" s="109" t="s">
        <v>125</v>
      </c>
      <c r="K16" s="106" t="s">
        <v>125</v>
      </c>
      <c r="L16" s="107" t="s">
        <v>126</v>
      </c>
      <c r="M16" s="107" t="s">
        <v>126</v>
      </c>
      <c r="N16" s="107" t="s">
        <v>125</v>
      </c>
      <c r="O16" s="110" t="s">
        <v>129</v>
      </c>
      <c r="P16" s="103" t="n">
        <f aca="false">COUNTIF(F16:J16,"P")/COUNTA(F16:J16)</f>
        <v>0.8</v>
      </c>
      <c r="Q16" s="103" t="n">
        <f aca="false">COUNTIF(K16:O16,"P")/COUNTA(K16:O16)</f>
        <v>0.6</v>
      </c>
      <c r="R16" s="104" t="n">
        <f aca="false">SUM(P16:Q16)/2</f>
        <v>0.7</v>
      </c>
      <c r="S16" s="3" t="n">
        <v>90</v>
      </c>
      <c r="T16" s="3" t="n">
        <v>87</v>
      </c>
      <c r="U16" s="3" t="s">
        <v>127</v>
      </c>
    </row>
    <row r="17" customFormat="false" ht="15" hidden="false" customHeight="false" outlineLevel="0" collapsed="false">
      <c r="A17" s="89"/>
      <c r="O17" s="90"/>
    </row>
    <row r="18" customFormat="false" ht="15" hidden="false" customHeight="false" outlineLevel="0" collapsed="false">
      <c r="A18" s="89"/>
      <c r="O18" s="90"/>
    </row>
    <row r="19" customFormat="false" ht="15" hidden="false" customHeight="false" outlineLevel="0" collapsed="false">
      <c r="A19" s="89"/>
      <c r="O19" s="90"/>
    </row>
    <row r="20" customFormat="false" ht="15" hidden="false" customHeight="false" outlineLevel="0" collapsed="false">
      <c r="A20" s="89"/>
      <c r="O20" s="90"/>
    </row>
    <row r="21" customFormat="false" ht="15.75" hidden="false" customHeight="true" outlineLevel="0" collapsed="false">
      <c r="A21" s="89"/>
      <c r="O21" s="90"/>
    </row>
    <row r="22" customFormat="false" ht="15.75" hidden="false" customHeight="true" outlineLevel="0" collapsed="false">
      <c r="A22" s="89"/>
      <c r="O22" s="90"/>
    </row>
    <row r="23" customFormat="false" ht="15.75" hidden="false" customHeight="true" outlineLevel="0" collapsed="false">
      <c r="A23" s="89"/>
      <c r="O23" s="90"/>
    </row>
    <row r="24" customFormat="false" ht="15.75" hidden="false" customHeight="true" outlineLevel="0" collapsed="false">
      <c r="A24" s="89"/>
      <c r="O24" s="90"/>
    </row>
    <row r="25" customFormat="false" ht="15.75" hidden="false" customHeight="true" outlineLevel="0" collapsed="false">
      <c r="A25" s="89"/>
      <c r="O25" s="90"/>
    </row>
    <row r="26" customFormat="false" ht="15.75" hidden="false" customHeight="true" outlineLevel="0" collapsed="false">
      <c r="A26" s="89"/>
      <c r="O26" s="90"/>
    </row>
    <row r="27" customFormat="false" ht="15.75" hidden="false" customHeight="true" outlineLevel="0" collapsed="false">
      <c r="A27" s="89"/>
      <c r="O27" s="90"/>
    </row>
    <row r="28" customFormat="false" ht="15.75" hidden="false" customHeight="true" outlineLevel="0" collapsed="false">
      <c r="A28" s="89"/>
      <c r="O28" s="90"/>
    </row>
    <row r="29" customFormat="false" ht="15.75" hidden="false" customHeight="true" outlineLevel="0" collapsed="false">
      <c r="A29" s="89"/>
      <c r="O29" s="90"/>
    </row>
    <row r="30" customFormat="false" ht="15.75" hidden="false" customHeight="true" outlineLevel="0" collapsed="false">
      <c r="A30" s="89"/>
      <c r="O30" s="90"/>
    </row>
    <row r="31" customFormat="false" ht="15.75" hidden="false" customHeight="true" outlineLevel="0" collapsed="false">
      <c r="A31" s="89"/>
      <c r="O31" s="90"/>
    </row>
    <row r="32" customFormat="false" ht="15.75" hidden="false" customHeight="true" outlineLevel="0" collapsed="false">
      <c r="A32" s="89"/>
      <c r="O32" s="90"/>
    </row>
    <row r="33" customFormat="false" ht="15.75" hidden="false" customHeight="true" outlineLevel="0" collapsed="false">
      <c r="A33" s="89"/>
      <c r="O33" s="90"/>
    </row>
    <row r="34" customFormat="false" ht="15.75" hidden="false" customHeight="true" outlineLevel="0" collapsed="false">
      <c r="A34" s="89"/>
      <c r="O34" s="90"/>
    </row>
    <row r="35" customFormat="false" ht="15.75" hidden="false" customHeight="true" outlineLevel="0" collapsed="false">
      <c r="A35" s="89"/>
      <c r="O35" s="90"/>
    </row>
    <row r="36" customFormat="false" ht="15.75" hidden="false" customHeight="true" outlineLevel="0" collapsed="false">
      <c r="A36" s="89"/>
      <c r="O36" s="90"/>
    </row>
    <row r="37" customFormat="false" ht="15.75" hidden="false" customHeight="true" outlineLevel="0" collapsed="false">
      <c r="A37" s="89"/>
      <c r="O37" s="90"/>
    </row>
    <row r="38" customFormat="false" ht="15.75" hidden="false" customHeight="true" outlineLevel="0" collapsed="false">
      <c r="A38" s="89"/>
      <c r="O38" s="90"/>
    </row>
    <row r="39" customFormat="false" ht="15.75" hidden="false" customHeight="true" outlineLevel="0" collapsed="false">
      <c r="A39" s="89"/>
      <c r="O39" s="90"/>
    </row>
    <row r="40" customFormat="false" ht="15.75" hidden="false" customHeight="true" outlineLevel="0" collapsed="false">
      <c r="A40" s="89"/>
      <c r="O40" s="90"/>
    </row>
    <row r="41" customFormat="false" ht="15.75" hidden="false" customHeight="true" outlineLevel="0" collapsed="false">
      <c r="A41" s="89"/>
      <c r="O41" s="90"/>
    </row>
    <row r="42" customFormat="false" ht="15.75" hidden="false" customHeight="true" outlineLevel="0" collapsed="false">
      <c r="A42" s="89"/>
      <c r="O42" s="90"/>
    </row>
    <row r="43" customFormat="false" ht="15.75" hidden="false" customHeight="true" outlineLevel="0" collapsed="false">
      <c r="A43" s="89"/>
      <c r="O43" s="90"/>
    </row>
    <row r="44" customFormat="false" ht="15.75" hidden="false" customHeight="true" outlineLevel="0" collapsed="false">
      <c r="A44" s="89"/>
      <c r="O44" s="90"/>
    </row>
    <row r="45" customFormat="false" ht="15.75" hidden="false" customHeight="true" outlineLevel="0" collapsed="false">
      <c r="A45" s="89"/>
      <c r="O45" s="90"/>
    </row>
    <row r="46" customFormat="false" ht="15.75" hidden="false" customHeight="true" outlineLevel="0" collapsed="false">
      <c r="A46" s="89"/>
      <c r="O46" s="90"/>
    </row>
    <row r="47" customFormat="false" ht="15.75" hidden="false" customHeight="true" outlineLevel="0" collapsed="false">
      <c r="A47" s="89"/>
      <c r="O47" s="90"/>
    </row>
    <row r="48" customFormat="false" ht="15.75" hidden="false" customHeight="true" outlineLevel="0" collapsed="false">
      <c r="A48" s="89"/>
      <c r="O48" s="90"/>
    </row>
    <row r="49" customFormat="false" ht="15.75" hidden="false" customHeight="true" outlineLevel="0" collapsed="false">
      <c r="A49" s="89"/>
      <c r="O49" s="90"/>
    </row>
    <row r="50" customFormat="false" ht="15.75" hidden="false" customHeight="true" outlineLevel="0" collapsed="false">
      <c r="A50" s="89"/>
      <c r="O50" s="90"/>
    </row>
    <row r="51" customFormat="false" ht="15.75" hidden="false" customHeight="true" outlineLevel="0" collapsed="false">
      <c r="A51" s="89"/>
      <c r="O51" s="90"/>
    </row>
    <row r="52" customFormat="false" ht="15.75" hidden="false" customHeight="true" outlineLevel="0" collapsed="false">
      <c r="A52" s="89"/>
      <c r="O52" s="90"/>
    </row>
    <row r="53" customFormat="false" ht="15.75" hidden="false" customHeight="true" outlineLevel="0" collapsed="false">
      <c r="A53" s="89"/>
      <c r="O53" s="90"/>
    </row>
    <row r="54" customFormat="false" ht="15.75" hidden="false" customHeight="true" outlineLevel="0" collapsed="false">
      <c r="A54" s="89"/>
      <c r="O54" s="90"/>
    </row>
    <row r="55" customFormat="false" ht="15.75" hidden="false" customHeight="true" outlineLevel="0" collapsed="false">
      <c r="A55" s="89"/>
      <c r="O55" s="90"/>
    </row>
    <row r="56" customFormat="false" ht="15.75" hidden="false" customHeight="true" outlineLevel="0" collapsed="false">
      <c r="A56" s="89"/>
      <c r="O56" s="90"/>
    </row>
    <row r="57" customFormat="false" ht="15.75" hidden="false" customHeight="true" outlineLevel="0" collapsed="false">
      <c r="A57" s="89"/>
      <c r="O57" s="90"/>
    </row>
    <row r="58" customFormat="false" ht="15.75" hidden="false" customHeight="true" outlineLevel="0" collapsed="false">
      <c r="A58" s="89"/>
      <c r="O58" s="90"/>
    </row>
    <row r="59" customFormat="false" ht="15.75" hidden="false" customHeight="true" outlineLevel="0" collapsed="false">
      <c r="A59" s="89"/>
      <c r="O59" s="90"/>
    </row>
    <row r="60" customFormat="false" ht="15.75" hidden="false" customHeight="true" outlineLevel="0" collapsed="false">
      <c r="A60" s="89"/>
      <c r="O60" s="90"/>
    </row>
    <row r="61" customFormat="false" ht="15.75" hidden="false" customHeight="true" outlineLevel="0" collapsed="false">
      <c r="A61" s="89"/>
      <c r="O61" s="90"/>
    </row>
    <row r="62" customFormat="false" ht="15.75" hidden="false" customHeight="true" outlineLevel="0" collapsed="false">
      <c r="A62" s="89"/>
      <c r="O62" s="90"/>
    </row>
    <row r="63" customFormat="false" ht="15.75" hidden="false" customHeight="true" outlineLevel="0" collapsed="false">
      <c r="A63" s="89"/>
      <c r="O63" s="90"/>
    </row>
    <row r="64" customFormat="false" ht="15.75" hidden="false" customHeight="true" outlineLevel="0" collapsed="false">
      <c r="A64" s="89"/>
      <c r="O64" s="90"/>
    </row>
    <row r="65" customFormat="false" ht="15.75" hidden="false" customHeight="true" outlineLevel="0" collapsed="false">
      <c r="A65" s="89"/>
      <c r="O65" s="90"/>
    </row>
    <row r="66" customFormat="false" ht="15.75" hidden="false" customHeight="true" outlineLevel="0" collapsed="false">
      <c r="A66" s="89"/>
      <c r="O66" s="90"/>
    </row>
    <row r="67" customFormat="false" ht="15.75" hidden="false" customHeight="true" outlineLevel="0" collapsed="false">
      <c r="A67" s="89"/>
      <c r="O67" s="90"/>
    </row>
    <row r="68" customFormat="false" ht="15.75" hidden="false" customHeight="true" outlineLevel="0" collapsed="false">
      <c r="A68" s="89"/>
      <c r="O68" s="90"/>
    </row>
    <row r="69" customFormat="false" ht="15.75" hidden="false" customHeight="true" outlineLevel="0" collapsed="false">
      <c r="A69" s="89"/>
      <c r="O69" s="90"/>
    </row>
    <row r="70" customFormat="false" ht="15.75" hidden="false" customHeight="true" outlineLevel="0" collapsed="false">
      <c r="A70" s="89"/>
      <c r="O70" s="90"/>
    </row>
    <row r="71" customFormat="false" ht="15.75" hidden="false" customHeight="true" outlineLevel="0" collapsed="false">
      <c r="A71" s="89"/>
      <c r="O71" s="90"/>
    </row>
    <row r="72" customFormat="false" ht="15.75" hidden="false" customHeight="true" outlineLevel="0" collapsed="false">
      <c r="A72" s="89"/>
      <c r="O72" s="90"/>
    </row>
    <row r="73" customFormat="false" ht="15.75" hidden="false" customHeight="true" outlineLevel="0" collapsed="false">
      <c r="A73" s="89"/>
      <c r="O73" s="90"/>
    </row>
    <row r="74" customFormat="false" ht="15.75" hidden="false" customHeight="true" outlineLevel="0" collapsed="false">
      <c r="A74" s="89"/>
      <c r="O74" s="90"/>
    </row>
    <row r="75" customFormat="false" ht="15.75" hidden="false" customHeight="true" outlineLevel="0" collapsed="false">
      <c r="A75" s="89"/>
      <c r="O75" s="90"/>
    </row>
    <row r="76" customFormat="false" ht="15.75" hidden="false" customHeight="true" outlineLevel="0" collapsed="false">
      <c r="A76" s="89"/>
      <c r="O76" s="90"/>
    </row>
    <row r="77" customFormat="false" ht="15.75" hidden="false" customHeight="true" outlineLevel="0" collapsed="false">
      <c r="A77" s="89"/>
      <c r="O77" s="90"/>
    </row>
    <row r="78" customFormat="false" ht="15.75" hidden="false" customHeight="true" outlineLevel="0" collapsed="false">
      <c r="A78" s="89"/>
      <c r="O78" s="90"/>
    </row>
    <row r="79" customFormat="false" ht="15.75" hidden="false" customHeight="true" outlineLevel="0" collapsed="false">
      <c r="A79" s="89"/>
      <c r="O79" s="90"/>
    </row>
    <row r="80" customFormat="false" ht="15.75" hidden="false" customHeight="true" outlineLevel="0" collapsed="false">
      <c r="A80" s="89"/>
      <c r="O80" s="90"/>
    </row>
    <row r="81" customFormat="false" ht="15.75" hidden="false" customHeight="true" outlineLevel="0" collapsed="false">
      <c r="A81" s="89"/>
      <c r="O81" s="90"/>
    </row>
    <row r="82" customFormat="false" ht="15.75" hidden="false" customHeight="true" outlineLevel="0" collapsed="false">
      <c r="A82" s="89"/>
      <c r="O82" s="90"/>
    </row>
    <row r="83" customFormat="false" ht="15.75" hidden="false" customHeight="true" outlineLevel="0" collapsed="false">
      <c r="A83" s="89"/>
      <c r="O83" s="90"/>
    </row>
    <row r="84" customFormat="false" ht="15.75" hidden="false" customHeight="true" outlineLevel="0" collapsed="false">
      <c r="A84" s="89"/>
      <c r="O84" s="90"/>
    </row>
    <row r="85" customFormat="false" ht="15.75" hidden="false" customHeight="true" outlineLevel="0" collapsed="false">
      <c r="A85" s="89"/>
      <c r="O85" s="90"/>
    </row>
    <row r="86" customFormat="false" ht="15.75" hidden="false" customHeight="true" outlineLevel="0" collapsed="false">
      <c r="A86" s="89"/>
      <c r="O86" s="90"/>
    </row>
    <row r="87" customFormat="false" ht="15.75" hidden="false" customHeight="true" outlineLevel="0" collapsed="false">
      <c r="A87" s="89"/>
      <c r="O87" s="90"/>
    </row>
    <row r="88" customFormat="false" ht="15.75" hidden="false" customHeight="true" outlineLevel="0" collapsed="false">
      <c r="A88" s="89"/>
      <c r="O88" s="90"/>
    </row>
    <row r="89" customFormat="false" ht="15.75" hidden="false" customHeight="true" outlineLevel="0" collapsed="false">
      <c r="A89" s="89"/>
      <c r="O89" s="90"/>
    </row>
    <row r="90" customFormat="false" ht="15.75" hidden="false" customHeight="true" outlineLevel="0" collapsed="false">
      <c r="A90" s="89"/>
      <c r="O90" s="90"/>
    </row>
    <row r="91" customFormat="false" ht="15.75" hidden="false" customHeight="true" outlineLevel="0" collapsed="false">
      <c r="A91" s="89"/>
      <c r="O91" s="90"/>
    </row>
    <row r="92" customFormat="false" ht="15.75" hidden="false" customHeight="true" outlineLevel="0" collapsed="false">
      <c r="A92" s="89"/>
      <c r="O92" s="90"/>
    </row>
    <row r="93" customFormat="false" ht="15.75" hidden="false" customHeight="true" outlineLevel="0" collapsed="false">
      <c r="A93" s="89"/>
      <c r="O93" s="90"/>
    </row>
    <row r="94" customFormat="false" ht="15.75" hidden="false" customHeight="true" outlineLevel="0" collapsed="false">
      <c r="A94" s="89"/>
      <c r="O94" s="90"/>
    </row>
    <row r="95" customFormat="false" ht="15.75" hidden="false" customHeight="true" outlineLevel="0" collapsed="false">
      <c r="A95" s="89"/>
      <c r="O95" s="90"/>
    </row>
    <row r="96" customFormat="false" ht="15.75" hidden="false" customHeight="true" outlineLevel="0" collapsed="false">
      <c r="A96" s="89"/>
      <c r="O96" s="90"/>
    </row>
    <row r="97" customFormat="false" ht="15.75" hidden="false" customHeight="true" outlineLevel="0" collapsed="false">
      <c r="A97" s="89"/>
      <c r="O97" s="90"/>
    </row>
    <row r="98" customFormat="false" ht="15.75" hidden="false" customHeight="true" outlineLevel="0" collapsed="false">
      <c r="A98" s="89"/>
      <c r="O98" s="90"/>
    </row>
    <row r="99" customFormat="false" ht="15.75" hidden="false" customHeight="true" outlineLevel="0" collapsed="false">
      <c r="A99" s="89"/>
      <c r="O99" s="90"/>
    </row>
    <row r="100" customFormat="false" ht="15.75" hidden="false" customHeight="true" outlineLevel="0" collapsed="false">
      <c r="A100" s="89"/>
      <c r="O100" s="90"/>
    </row>
    <row r="101" customFormat="false" ht="15.75" hidden="false" customHeight="true" outlineLevel="0" collapsed="false">
      <c r="A101" s="89"/>
      <c r="O101" s="90"/>
    </row>
    <row r="102" customFormat="false" ht="15.75" hidden="false" customHeight="true" outlineLevel="0" collapsed="false">
      <c r="A102" s="89"/>
      <c r="O102" s="90"/>
    </row>
    <row r="103" customFormat="false" ht="15.75" hidden="false" customHeight="true" outlineLevel="0" collapsed="false">
      <c r="A103" s="89"/>
      <c r="O103" s="90"/>
    </row>
    <row r="104" customFormat="false" ht="15.75" hidden="false" customHeight="true" outlineLevel="0" collapsed="false">
      <c r="A104" s="89"/>
      <c r="O104" s="90"/>
    </row>
    <row r="105" customFormat="false" ht="15.75" hidden="false" customHeight="true" outlineLevel="0" collapsed="false">
      <c r="A105" s="89"/>
      <c r="O105" s="90"/>
    </row>
    <row r="106" customFormat="false" ht="15.75" hidden="false" customHeight="true" outlineLevel="0" collapsed="false">
      <c r="A106" s="89"/>
      <c r="O106" s="90"/>
    </row>
    <row r="107" customFormat="false" ht="15.75" hidden="false" customHeight="true" outlineLevel="0" collapsed="false">
      <c r="A107" s="89"/>
      <c r="O107" s="90"/>
    </row>
    <row r="108" customFormat="false" ht="15.75" hidden="false" customHeight="true" outlineLevel="0" collapsed="false">
      <c r="A108" s="89"/>
      <c r="O108" s="90"/>
    </row>
    <row r="109" customFormat="false" ht="15.75" hidden="false" customHeight="true" outlineLevel="0" collapsed="false">
      <c r="A109" s="89"/>
      <c r="O109" s="90"/>
    </row>
    <row r="110" customFormat="false" ht="15.75" hidden="false" customHeight="true" outlineLevel="0" collapsed="false">
      <c r="A110" s="89"/>
      <c r="O110" s="90"/>
    </row>
    <row r="111" customFormat="false" ht="15.75" hidden="false" customHeight="true" outlineLevel="0" collapsed="false">
      <c r="A111" s="89"/>
      <c r="O111" s="90"/>
    </row>
    <row r="112" customFormat="false" ht="15.75" hidden="false" customHeight="true" outlineLevel="0" collapsed="false">
      <c r="A112" s="89"/>
      <c r="O112" s="90"/>
    </row>
    <row r="113" customFormat="false" ht="15.75" hidden="false" customHeight="true" outlineLevel="0" collapsed="false">
      <c r="A113" s="89"/>
      <c r="O113" s="90"/>
    </row>
    <row r="114" customFormat="false" ht="15.75" hidden="false" customHeight="true" outlineLevel="0" collapsed="false">
      <c r="A114" s="89"/>
      <c r="O114" s="90"/>
    </row>
    <row r="115" customFormat="false" ht="15.75" hidden="false" customHeight="true" outlineLevel="0" collapsed="false">
      <c r="A115" s="89"/>
      <c r="O115" s="90"/>
    </row>
    <row r="116" customFormat="false" ht="15.75" hidden="false" customHeight="true" outlineLevel="0" collapsed="false">
      <c r="A116" s="89"/>
      <c r="O116" s="90"/>
    </row>
    <row r="117" customFormat="false" ht="15.75" hidden="false" customHeight="true" outlineLevel="0" collapsed="false">
      <c r="A117" s="89"/>
      <c r="O117" s="90"/>
    </row>
    <row r="118" customFormat="false" ht="15.75" hidden="false" customHeight="true" outlineLevel="0" collapsed="false">
      <c r="A118" s="89"/>
      <c r="O118" s="90"/>
    </row>
    <row r="119" customFormat="false" ht="15.75" hidden="false" customHeight="true" outlineLevel="0" collapsed="false">
      <c r="A119" s="89"/>
      <c r="O119" s="90"/>
    </row>
    <row r="120" customFormat="false" ht="15.75" hidden="false" customHeight="true" outlineLevel="0" collapsed="false">
      <c r="A120" s="89"/>
      <c r="O120" s="90"/>
    </row>
    <row r="121" customFormat="false" ht="15.75" hidden="false" customHeight="true" outlineLevel="0" collapsed="false">
      <c r="A121" s="89"/>
      <c r="O121" s="90"/>
    </row>
    <row r="122" customFormat="false" ht="15.75" hidden="false" customHeight="true" outlineLevel="0" collapsed="false">
      <c r="A122" s="89"/>
      <c r="O122" s="90"/>
    </row>
    <row r="123" customFormat="false" ht="15.75" hidden="false" customHeight="true" outlineLevel="0" collapsed="false">
      <c r="A123" s="89"/>
      <c r="O123" s="90"/>
    </row>
    <row r="124" customFormat="false" ht="15.75" hidden="false" customHeight="true" outlineLevel="0" collapsed="false">
      <c r="A124" s="89"/>
      <c r="O124" s="90"/>
    </row>
    <row r="125" customFormat="false" ht="15.75" hidden="false" customHeight="true" outlineLevel="0" collapsed="false">
      <c r="A125" s="89"/>
      <c r="O125" s="90"/>
    </row>
    <row r="126" customFormat="false" ht="15.75" hidden="false" customHeight="true" outlineLevel="0" collapsed="false">
      <c r="A126" s="89"/>
      <c r="O126" s="90"/>
    </row>
    <row r="127" customFormat="false" ht="15.75" hidden="false" customHeight="true" outlineLevel="0" collapsed="false">
      <c r="A127" s="89"/>
      <c r="O127" s="90"/>
    </row>
    <row r="128" customFormat="false" ht="15.75" hidden="false" customHeight="true" outlineLevel="0" collapsed="false">
      <c r="A128" s="89"/>
      <c r="O128" s="90"/>
    </row>
    <row r="129" customFormat="false" ht="15.75" hidden="false" customHeight="true" outlineLevel="0" collapsed="false">
      <c r="A129" s="89"/>
      <c r="O129" s="90"/>
    </row>
    <row r="130" customFormat="false" ht="15.75" hidden="false" customHeight="true" outlineLevel="0" collapsed="false">
      <c r="A130" s="89"/>
      <c r="O130" s="90"/>
    </row>
    <row r="131" customFormat="false" ht="15.75" hidden="false" customHeight="true" outlineLevel="0" collapsed="false">
      <c r="A131" s="89"/>
      <c r="O131" s="90"/>
    </row>
    <row r="132" customFormat="false" ht="15.75" hidden="false" customHeight="true" outlineLevel="0" collapsed="false">
      <c r="A132" s="89"/>
      <c r="O132" s="90"/>
    </row>
    <row r="133" customFormat="false" ht="15.75" hidden="false" customHeight="true" outlineLevel="0" collapsed="false">
      <c r="A133" s="89"/>
      <c r="O133" s="90"/>
    </row>
    <row r="134" customFormat="false" ht="15.75" hidden="false" customHeight="true" outlineLevel="0" collapsed="false">
      <c r="A134" s="89"/>
      <c r="O134" s="90"/>
    </row>
    <row r="135" customFormat="false" ht="15.75" hidden="false" customHeight="true" outlineLevel="0" collapsed="false">
      <c r="A135" s="89"/>
      <c r="O135" s="90"/>
    </row>
    <row r="136" customFormat="false" ht="15.75" hidden="false" customHeight="true" outlineLevel="0" collapsed="false">
      <c r="A136" s="89"/>
      <c r="O136" s="90"/>
    </row>
    <row r="137" customFormat="false" ht="15.75" hidden="false" customHeight="true" outlineLevel="0" collapsed="false">
      <c r="A137" s="89"/>
      <c r="O137" s="90"/>
    </row>
    <row r="138" customFormat="false" ht="15.75" hidden="false" customHeight="true" outlineLevel="0" collapsed="false">
      <c r="A138" s="89"/>
      <c r="O138" s="90"/>
    </row>
    <row r="139" customFormat="false" ht="15.75" hidden="false" customHeight="true" outlineLevel="0" collapsed="false">
      <c r="A139" s="89"/>
      <c r="O139" s="90"/>
    </row>
    <row r="140" customFormat="false" ht="15.75" hidden="false" customHeight="true" outlineLevel="0" collapsed="false">
      <c r="A140" s="89"/>
      <c r="O140" s="90"/>
    </row>
    <row r="141" customFormat="false" ht="15.75" hidden="false" customHeight="true" outlineLevel="0" collapsed="false">
      <c r="A141" s="89"/>
      <c r="O141" s="90"/>
    </row>
    <row r="142" customFormat="false" ht="15.75" hidden="false" customHeight="true" outlineLevel="0" collapsed="false">
      <c r="A142" s="89"/>
      <c r="O142" s="90"/>
    </row>
    <row r="143" customFormat="false" ht="15.75" hidden="false" customHeight="true" outlineLevel="0" collapsed="false">
      <c r="A143" s="89"/>
      <c r="O143" s="90"/>
    </row>
    <row r="144" customFormat="false" ht="15.75" hidden="false" customHeight="true" outlineLevel="0" collapsed="false">
      <c r="A144" s="89"/>
      <c r="O144" s="90"/>
    </row>
    <row r="145" customFormat="false" ht="15.75" hidden="false" customHeight="true" outlineLevel="0" collapsed="false">
      <c r="A145" s="89"/>
      <c r="O145" s="90"/>
    </row>
    <row r="146" customFormat="false" ht="15.75" hidden="false" customHeight="true" outlineLevel="0" collapsed="false">
      <c r="A146" s="89"/>
      <c r="O146" s="90"/>
    </row>
    <row r="147" customFormat="false" ht="15.75" hidden="false" customHeight="true" outlineLevel="0" collapsed="false">
      <c r="A147" s="89"/>
      <c r="O147" s="90"/>
    </row>
    <row r="148" customFormat="false" ht="15.75" hidden="false" customHeight="true" outlineLevel="0" collapsed="false">
      <c r="A148" s="89"/>
      <c r="O148" s="90"/>
    </row>
    <row r="149" customFormat="false" ht="15.75" hidden="false" customHeight="true" outlineLevel="0" collapsed="false">
      <c r="A149" s="89"/>
      <c r="O149" s="90"/>
    </row>
    <row r="150" customFormat="false" ht="15.75" hidden="false" customHeight="true" outlineLevel="0" collapsed="false">
      <c r="A150" s="89"/>
      <c r="O150" s="90"/>
    </row>
    <row r="151" customFormat="false" ht="15.75" hidden="false" customHeight="true" outlineLevel="0" collapsed="false">
      <c r="A151" s="89"/>
      <c r="O151" s="90"/>
    </row>
    <row r="152" customFormat="false" ht="15.75" hidden="false" customHeight="true" outlineLevel="0" collapsed="false">
      <c r="A152" s="89"/>
      <c r="O152" s="90"/>
    </row>
    <row r="153" customFormat="false" ht="15.75" hidden="false" customHeight="true" outlineLevel="0" collapsed="false">
      <c r="A153" s="89"/>
      <c r="O153" s="90"/>
    </row>
    <row r="154" customFormat="false" ht="15.75" hidden="false" customHeight="true" outlineLevel="0" collapsed="false">
      <c r="A154" s="89"/>
      <c r="O154" s="90"/>
    </row>
    <row r="155" customFormat="false" ht="15.75" hidden="false" customHeight="true" outlineLevel="0" collapsed="false">
      <c r="A155" s="89"/>
      <c r="O155" s="90"/>
    </row>
    <row r="156" customFormat="false" ht="15.75" hidden="false" customHeight="true" outlineLevel="0" collapsed="false">
      <c r="A156" s="89"/>
      <c r="O156" s="90"/>
    </row>
    <row r="157" customFormat="false" ht="15.75" hidden="false" customHeight="true" outlineLevel="0" collapsed="false">
      <c r="A157" s="89"/>
      <c r="O157" s="90"/>
    </row>
    <row r="158" customFormat="false" ht="15.75" hidden="false" customHeight="true" outlineLevel="0" collapsed="false">
      <c r="A158" s="89"/>
      <c r="O158" s="90"/>
    </row>
    <row r="159" customFormat="false" ht="15.75" hidden="false" customHeight="true" outlineLevel="0" collapsed="false">
      <c r="A159" s="89"/>
      <c r="O159" s="90"/>
    </row>
    <row r="160" customFormat="false" ht="15.75" hidden="false" customHeight="true" outlineLevel="0" collapsed="false">
      <c r="A160" s="89"/>
      <c r="O160" s="90"/>
    </row>
    <row r="161" customFormat="false" ht="15.75" hidden="false" customHeight="true" outlineLevel="0" collapsed="false">
      <c r="A161" s="89"/>
      <c r="O161" s="90"/>
    </row>
    <row r="162" customFormat="false" ht="15.75" hidden="false" customHeight="true" outlineLevel="0" collapsed="false">
      <c r="A162" s="89"/>
      <c r="O162" s="90"/>
    </row>
    <row r="163" customFormat="false" ht="15.75" hidden="false" customHeight="true" outlineLevel="0" collapsed="false">
      <c r="A163" s="89"/>
      <c r="O163" s="90"/>
    </row>
    <row r="164" customFormat="false" ht="15.75" hidden="false" customHeight="true" outlineLevel="0" collapsed="false">
      <c r="A164" s="89"/>
      <c r="O164" s="90"/>
    </row>
    <row r="165" customFormat="false" ht="15.75" hidden="false" customHeight="true" outlineLevel="0" collapsed="false">
      <c r="A165" s="89"/>
      <c r="O165" s="90"/>
    </row>
    <row r="166" customFormat="false" ht="15.75" hidden="false" customHeight="true" outlineLevel="0" collapsed="false">
      <c r="A166" s="89"/>
      <c r="O166" s="90"/>
    </row>
    <row r="167" customFormat="false" ht="15.75" hidden="false" customHeight="true" outlineLevel="0" collapsed="false">
      <c r="A167" s="89"/>
      <c r="O167" s="90"/>
    </row>
    <row r="168" customFormat="false" ht="15.75" hidden="false" customHeight="true" outlineLevel="0" collapsed="false">
      <c r="A168" s="89"/>
      <c r="O168" s="90"/>
    </row>
    <row r="169" customFormat="false" ht="15.75" hidden="false" customHeight="true" outlineLevel="0" collapsed="false">
      <c r="A169" s="89"/>
      <c r="O169" s="90"/>
    </row>
    <row r="170" customFormat="false" ht="15.75" hidden="false" customHeight="true" outlineLevel="0" collapsed="false">
      <c r="A170" s="89"/>
      <c r="O170" s="90"/>
    </row>
    <row r="171" customFormat="false" ht="15.75" hidden="false" customHeight="true" outlineLevel="0" collapsed="false">
      <c r="A171" s="89"/>
      <c r="O171" s="90"/>
    </row>
    <row r="172" customFormat="false" ht="15.75" hidden="false" customHeight="true" outlineLevel="0" collapsed="false">
      <c r="A172" s="89"/>
      <c r="O172" s="90"/>
    </row>
    <row r="173" customFormat="false" ht="15.75" hidden="false" customHeight="true" outlineLevel="0" collapsed="false">
      <c r="A173" s="89"/>
      <c r="O173" s="90"/>
    </row>
    <row r="174" customFormat="false" ht="15.75" hidden="false" customHeight="true" outlineLevel="0" collapsed="false">
      <c r="A174" s="89"/>
      <c r="O174" s="90"/>
    </row>
    <row r="175" customFormat="false" ht="15.75" hidden="false" customHeight="true" outlineLevel="0" collapsed="false">
      <c r="A175" s="89"/>
      <c r="O175" s="90"/>
    </row>
    <row r="176" customFormat="false" ht="15.75" hidden="false" customHeight="true" outlineLevel="0" collapsed="false">
      <c r="A176" s="89"/>
      <c r="O176" s="90"/>
    </row>
    <row r="177" customFormat="false" ht="15.75" hidden="false" customHeight="true" outlineLevel="0" collapsed="false">
      <c r="A177" s="89"/>
      <c r="O177" s="90"/>
    </row>
    <row r="178" customFormat="false" ht="15.75" hidden="false" customHeight="true" outlineLevel="0" collapsed="false">
      <c r="A178" s="89"/>
      <c r="O178" s="90"/>
    </row>
    <row r="179" customFormat="false" ht="15.75" hidden="false" customHeight="true" outlineLevel="0" collapsed="false">
      <c r="A179" s="89"/>
      <c r="O179" s="90"/>
    </row>
    <row r="180" customFormat="false" ht="15.75" hidden="false" customHeight="true" outlineLevel="0" collapsed="false">
      <c r="A180" s="89"/>
      <c r="O180" s="90"/>
    </row>
    <row r="181" customFormat="false" ht="15.75" hidden="false" customHeight="true" outlineLevel="0" collapsed="false">
      <c r="A181" s="89"/>
      <c r="O181" s="90"/>
    </row>
    <row r="182" customFormat="false" ht="15.75" hidden="false" customHeight="true" outlineLevel="0" collapsed="false">
      <c r="A182" s="89"/>
      <c r="O182" s="90"/>
    </row>
    <row r="183" customFormat="false" ht="15.75" hidden="false" customHeight="true" outlineLevel="0" collapsed="false">
      <c r="A183" s="89"/>
      <c r="O183" s="90"/>
    </row>
    <row r="184" customFormat="false" ht="15.75" hidden="false" customHeight="true" outlineLevel="0" collapsed="false">
      <c r="A184" s="89"/>
      <c r="O184" s="90"/>
    </row>
    <row r="185" customFormat="false" ht="15.75" hidden="false" customHeight="true" outlineLevel="0" collapsed="false">
      <c r="A185" s="89"/>
      <c r="O185" s="90"/>
    </row>
    <row r="186" customFormat="false" ht="15.75" hidden="false" customHeight="true" outlineLevel="0" collapsed="false">
      <c r="A186" s="89"/>
      <c r="O186" s="90"/>
    </row>
    <row r="187" customFormat="false" ht="15.75" hidden="false" customHeight="true" outlineLevel="0" collapsed="false">
      <c r="A187" s="89"/>
      <c r="O187" s="90"/>
    </row>
    <row r="188" customFormat="false" ht="15.75" hidden="false" customHeight="true" outlineLevel="0" collapsed="false">
      <c r="A188" s="89"/>
      <c r="O188" s="90"/>
    </row>
    <row r="189" customFormat="false" ht="15.75" hidden="false" customHeight="true" outlineLevel="0" collapsed="false">
      <c r="A189" s="89"/>
      <c r="O189" s="90"/>
    </row>
    <row r="190" customFormat="false" ht="15.75" hidden="false" customHeight="true" outlineLevel="0" collapsed="false">
      <c r="A190" s="89"/>
      <c r="O190" s="90"/>
    </row>
    <row r="191" customFormat="false" ht="15.75" hidden="false" customHeight="true" outlineLevel="0" collapsed="false">
      <c r="A191" s="89"/>
      <c r="O191" s="90"/>
    </row>
    <row r="192" customFormat="false" ht="15.75" hidden="false" customHeight="true" outlineLevel="0" collapsed="false">
      <c r="A192" s="89"/>
      <c r="O192" s="90"/>
    </row>
    <row r="193" customFormat="false" ht="15.75" hidden="false" customHeight="true" outlineLevel="0" collapsed="false">
      <c r="A193" s="89"/>
      <c r="O193" s="90"/>
    </row>
    <row r="194" customFormat="false" ht="15.75" hidden="false" customHeight="true" outlineLevel="0" collapsed="false">
      <c r="A194" s="89"/>
      <c r="O194" s="90"/>
    </row>
    <row r="195" customFormat="false" ht="15.75" hidden="false" customHeight="true" outlineLevel="0" collapsed="false">
      <c r="A195" s="89"/>
      <c r="O195" s="90"/>
    </row>
    <row r="196" customFormat="false" ht="15.75" hidden="false" customHeight="true" outlineLevel="0" collapsed="false">
      <c r="A196" s="89"/>
      <c r="O196" s="90"/>
    </row>
    <row r="197" customFormat="false" ht="15.75" hidden="false" customHeight="true" outlineLevel="0" collapsed="false">
      <c r="A197" s="89"/>
      <c r="O197" s="90"/>
    </row>
    <row r="198" customFormat="false" ht="15.75" hidden="false" customHeight="true" outlineLevel="0" collapsed="false">
      <c r="A198" s="89"/>
      <c r="O198" s="90"/>
    </row>
    <row r="199" customFormat="false" ht="15.75" hidden="false" customHeight="true" outlineLevel="0" collapsed="false">
      <c r="A199" s="89"/>
      <c r="O199" s="90"/>
    </row>
    <row r="200" customFormat="false" ht="15.75" hidden="false" customHeight="true" outlineLevel="0" collapsed="false">
      <c r="A200" s="89"/>
      <c r="O200" s="90"/>
    </row>
    <row r="201" customFormat="false" ht="15.75" hidden="false" customHeight="true" outlineLevel="0" collapsed="false">
      <c r="A201" s="89"/>
      <c r="O201" s="90"/>
    </row>
    <row r="202" customFormat="false" ht="15.75" hidden="false" customHeight="true" outlineLevel="0" collapsed="false">
      <c r="A202" s="89"/>
      <c r="O202" s="90"/>
    </row>
    <row r="203" customFormat="false" ht="15.75" hidden="false" customHeight="true" outlineLevel="0" collapsed="false">
      <c r="A203" s="89"/>
      <c r="O203" s="90"/>
    </row>
    <row r="204" customFormat="false" ht="15.75" hidden="false" customHeight="true" outlineLevel="0" collapsed="false">
      <c r="A204" s="89"/>
      <c r="O204" s="90"/>
    </row>
    <row r="205" customFormat="false" ht="15.75" hidden="false" customHeight="true" outlineLevel="0" collapsed="false">
      <c r="A205" s="89"/>
      <c r="O205" s="90"/>
    </row>
    <row r="206" customFormat="false" ht="15.75" hidden="false" customHeight="true" outlineLevel="0" collapsed="false">
      <c r="A206" s="89"/>
      <c r="O206" s="90"/>
    </row>
    <row r="207" customFormat="false" ht="15.75" hidden="false" customHeight="true" outlineLevel="0" collapsed="false">
      <c r="A207" s="89"/>
      <c r="O207" s="90"/>
    </row>
    <row r="208" customFormat="false" ht="15.75" hidden="false" customHeight="true" outlineLevel="0" collapsed="false">
      <c r="A208" s="89"/>
      <c r="O208" s="90"/>
    </row>
    <row r="209" customFormat="false" ht="15.75" hidden="false" customHeight="true" outlineLevel="0" collapsed="false">
      <c r="A209" s="89"/>
      <c r="O209" s="90"/>
    </row>
    <row r="210" customFormat="false" ht="15.75" hidden="false" customHeight="true" outlineLevel="0" collapsed="false">
      <c r="A210" s="89"/>
      <c r="O210" s="90"/>
    </row>
    <row r="211" customFormat="false" ht="15.75" hidden="false" customHeight="true" outlineLevel="0" collapsed="false">
      <c r="A211" s="89"/>
      <c r="O211" s="90"/>
    </row>
    <row r="212" customFormat="false" ht="15.75" hidden="false" customHeight="true" outlineLevel="0" collapsed="false">
      <c r="A212" s="89"/>
      <c r="O212" s="90"/>
    </row>
    <row r="213" customFormat="false" ht="15.75" hidden="false" customHeight="true" outlineLevel="0" collapsed="false">
      <c r="A213" s="89"/>
      <c r="O213" s="90"/>
    </row>
    <row r="214" customFormat="false" ht="15.75" hidden="false" customHeight="true" outlineLevel="0" collapsed="false">
      <c r="A214" s="89"/>
      <c r="O214" s="90"/>
    </row>
    <row r="215" customFormat="false" ht="15.75" hidden="false" customHeight="true" outlineLevel="0" collapsed="false">
      <c r="A215" s="89"/>
      <c r="O215" s="90"/>
    </row>
    <row r="216" customFormat="false" ht="15.75" hidden="false" customHeight="true" outlineLevel="0" collapsed="false">
      <c r="A216" s="89"/>
      <c r="O216" s="90"/>
    </row>
    <row r="217" customFormat="false" ht="15.75" hidden="false" customHeight="true" outlineLevel="0" collapsed="false">
      <c r="A217" s="89"/>
      <c r="O217" s="90"/>
    </row>
    <row r="218" customFormat="false" ht="15.75" hidden="false" customHeight="true" outlineLevel="0" collapsed="false">
      <c r="A218" s="89"/>
      <c r="O218" s="90"/>
    </row>
    <row r="219" customFormat="false" ht="15.75" hidden="false" customHeight="true" outlineLevel="0" collapsed="false">
      <c r="A219" s="89"/>
      <c r="O219" s="90"/>
    </row>
    <row r="220" customFormat="false" ht="15.75" hidden="false" customHeight="true" outlineLevel="0" collapsed="false">
      <c r="A220" s="89"/>
      <c r="O220" s="90"/>
    </row>
    <row r="221" customFormat="false" ht="15.75" hidden="false" customHeight="true" outlineLevel="0" collapsed="false">
      <c r="A221" s="89"/>
      <c r="O221" s="90"/>
    </row>
    <row r="222" customFormat="false" ht="15.75" hidden="false" customHeight="true" outlineLevel="0" collapsed="false">
      <c r="A222" s="89"/>
      <c r="O222" s="90"/>
    </row>
    <row r="223" customFormat="false" ht="15.75" hidden="false" customHeight="true" outlineLevel="0" collapsed="false">
      <c r="A223" s="89"/>
      <c r="O223" s="90"/>
    </row>
    <row r="224" customFormat="false" ht="15.75" hidden="false" customHeight="true" outlineLevel="0" collapsed="false">
      <c r="A224" s="89"/>
      <c r="O224" s="90"/>
    </row>
    <row r="225" customFormat="false" ht="15.75" hidden="false" customHeight="true" outlineLevel="0" collapsed="false">
      <c r="A225" s="89"/>
      <c r="O225" s="90"/>
    </row>
    <row r="226" customFormat="false" ht="15.75" hidden="false" customHeight="true" outlineLevel="0" collapsed="false">
      <c r="A226" s="89"/>
      <c r="O226" s="90"/>
    </row>
    <row r="227" customFormat="false" ht="15.75" hidden="false" customHeight="true" outlineLevel="0" collapsed="false">
      <c r="A227" s="89"/>
      <c r="O227" s="90"/>
    </row>
    <row r="228" customFormat="false" ht="15.75" hidden="false" customHeight="true" outlineLevel="0" collapsed="false">
      <c r="A228" s="89"/>
      <c r="O228" s="90"/>
    </row>
    <row r="229" customFormat="false" ht="15.75" hidden="false" customHeight="true" outlineLevel="0" collapsed="false">
      <c r="A229" s="89"/>
      <c r="O229" s="90"/>
    </row>
    <row r="230" customFormat="false" ht="15.75" hidden="false" customHeight="true" outlineLevel="0" collapsed="false">
      <c r="A230" s="89"/>
      <c r="O230" s="90"/>
    </row>
    <row r="231" customFormat="false" ht="15.75" hidden="false" customHeight="true" outlineLevel="0" collapsed="false">
      <c r="A231" s="89"/>
      <c r="O231" s="90"/>
    </row>
    <row r="232" customFormat="false" ht="15.75" hidden="false" customHeight="true" outlineLevel="0" collapsed="false">
      <c r="A232" s="89"/>
      <c r="O232" s="90"/>
    </row>
    <row r="233" customFormat="false" ht="15.75" hidden="false" customHeight="true" outlineLevel="0" collapsed="false">
      <c r="A233" s="89"/>
      <c r="O233" s="90"/>
    </row>
    <row r="234" customFormat="false" ht="15.75" hidden="false" customHeight="true" outlineLevel="0" collapsed="false">
      <c r="A234" s="89"/>
      <c r="O234" s="90"/>
    </row>
    <row r="235" customFormat="false" ht="15.75" hidden="false" customHeight="true" outlineLevel="0" collapsed="false">
      <c r="A235" s="89"/>
      <c r="O235" s="90"/>
    </row>
    <row r="236" customFormat="false" ht="15.75" hidden="false" customHeight="true" outlineLevel="0" collapsed="false">
      <c r="A236" s="89"/>
      <c r="O236" s="90"/>
    </row>
    <row r="237" customFormat="false" ht="15.75" hidden="false" customHeight="true" outlineLevel="0" collapsed="false">
      <c r="A237" s="89"/>
      <c r="O237" s="90"/>
    </row>
    <row r="238" customFormat="false" ht="15.75" hidden="false" customHeight="true" outlineLevel="0" collapsed="false">
      <c r="A238" s="89"/>
      <c r="O238" s="90"/>
    </row>
    <row r="239" customFormat="false" ht="15.75" hidden="false" customHeight="true" outlineLevel="0" collapsed="false">
      <c r="A239" s="89"/>
      <c r="O239" s="90"/>
    </row>
    <row r="240" customFormat="false" ht="15.75" hidden="false" customHeight="true" outlineLevel="0" collapsed="false">
      <c r="A240" s="89"/>
      <c r="O240" s="90"/>
    </row>
    <row r="241" customFormat="false" ht="15.75" hidden="false" customHeight="true" outlineLevel="0" collapsed="false">
      <c r="A241" s="89"/>
      <c r="O241" s="90"/>
    </row>
    <row r="242" customFormat="false" ht="15.75" hidden="false" customHeight="true" outlineLevel="0" collapsed="false">
      <c r="A242" s="89"/>
      <c r="O242" s="90"/>
    </row>
    <row r="243" customFormat="false" ht="15.75" hidden="false" customHeight="true" outlineLevel="0" collapsed="false">
      <c r="A243" s="89"/>
      <c r="O243" s="90"/>
    </row>
    <row r="244" customFormat="false" ht="15.75" hidden="false" customHeight="true" outlineLevel="0" collapsed="false">
      <c r="A244" s="89"/>
      <c r="O244" s="90"/>
    </row>
    <row r="245" customFormat="false" ht="15.75" hidden="false" customHeight="true" outlineLevel="0" collapsed="false">
      <c r="A245" s="89"/>
      <c r="O245" s="90"/>
    </row>
    <row r="246" customFormat="false" ht="15.75" hidden="false" customHeight="true" outlineLevel="0" collapsed="false">
      <c r="A246" s="89"/>
      <c r="O246" s="90"/>
    </row>
    <row r="247" customFormat="false" ht="15.75" hidden="false" customHeight="true" outlineLevel="0" collapsed="false">
      <c r="A247" s="89"/>
      <c r="O247" s="90"/>
    </row>
    <row r="248" customFormat="false" ht="15.75" hidden="false" customHeight="true" outlineLevel="0" collapsed="false">
      <c r="A248" s="89"/>
      <c r="O248" s="90"/>
    </row>
    <row r="249" customFormat="false" ht="15.75" hidden="false" customHeight="true" outlineLevel="0" collapsed="false">
      <c r="A249" s="89"/>
      <c r="O249" s="90"/>
    </row>
    <row r="250" customFormat="false" ht="15.75" hidden="false" customHeight="true" outlineLevel="0" collapsed="false">
      <c r="A250" s="89"/>
      <c r="O250" s="90"/>
    </row>
    <row r="251" customFormat="false" ht="15.75" hidden="false" customHeight="true" outlineLevel="0" collapsed="false">
      <c r="A251" s="89"/>
      <c r="O251" s="90"/>
    </row>
    <row r="252" customFormat="false" ht="15.75" hidden="false" customHeight="true" outlineLevel="0" collapsed="false">
      <c r="A252" s="89"/>
      <c r="O252" s="90"/>
    </row>
    <row r="253" customFormat="false" ht="15.75" hidden="false" customHeight="true" outlineLevel="0" collapsed="false">
      <c r="A253" s="89"/>
      <c r="O253" s="90"/>
    </row>
    <row r="254" customFormat="false" ht="15.75" hidden="false" customHeight="true" outlineLevel="0" collapsed="false">
      <c r="A254" s="89"/>
      <c r="O254" s="90"/>
    </row>
    <row r="255" customFormat="false" ht="15.75" hidden="false" customHeight="true" outlineLevel="0" collapsed="false">
      <c r="A255" s="89"/>
      <c r="O255" s="90"/>
    </row>
    <row r="256" customFormat="false" ht="15.75" hidden="false" customHeight="true" outlineLevel="0" collapsed="false">
      <c r="A256" s="89"/>
      <c r="O256" s="90"/>
    </row>
    <row r="257" customFormat="false" ht="15.75" hidden="false" customHeight="true" outlineLevel="0" collapsed="false">
      <c r="A257" s="89"/>
      <c r="O257" s="90"/>
    </row>
    <row r="258" customFormat="false" ht="15.75" hidden="false" customHeight="true" outlineLevel="0" collapsed="false">
      <c r="A258" s="89"/>
      <c r="O258" s="90"/>
    </row>
    <row r="259" customFormat="false" ht="15.75" hidden="false" customHeight="true" outlineLevel="0" collapsed="false">
      <c r="A259" s="89"/>
      <c r="O259" s="90"/>
    </row>
    <row r="260" customFormat="false" ht="15.75" hidden="false" customHeight="true" outlineLevel="0" collapsed="false">
      <c r="A260" s="89"/>
      <c r="O260" s="90"/>
    </row>
    <row r="261" customFormat="false" ht="15.75" hidden="false" customHeight="true" outlineLevel="0" collapsed="false">
      <c r="A261" s="89"/>
      <c r="O261" s="90"/>
    </row>
    <row r="262" customFormat="false" ht="15.75" hidden="false" customHeight="true" outlineLevel="0" collapsed="false">
      <c r="A262" s="89"/>
      <c r="O262" s="90"/>
    </row>
    <row r="263" customFormat="false" ht="15.75" hidden="false" customHeight="true" outlineLevel="0" collapsed="false">
      <c r="A263" s="89"/>
      <c r="O263" s="90"/>
    </row>
    <row r="264" customFormat="false" ht="15.75" hidden="false" customHeight="true" outlineLevel="0" collapsed="false">
      <c r="A264" s="89"/>
      <c r="O264" s="90"/>
    </row>
    <row r="265" customFormat="false" ht="15.75" hidden="false" customHeight="true" outlineLevel="0" collapsed="false">
      <c r="A265" s="89"/>
      <c r="O265" s="90"/>
    </row>
    <row r="266" customFormat="false" ht="15.75" hidden="false" customHeight="true" outlineLevel="0" collapsed="false">
      <c r="A266" s="89"/>
      <c r="O266" s="90"/>
    </row>
    <row r="267" customFormat="false" ht="15.75" hidden="false" customHeight="true" outlineLevel="0" collapsed="false">
      <c r="A267" s="89"/>
      <c r="O267" s="90"/>
    </row>
    <row r="268" customFormat="false" ht="15.75" hidden="false" customHeight="true" outlineLevel="0" collapsed="false">
      <c r="A268" s="89"/>
      <c r="O268" s="90"/>
    </row>
    <row r="269" customFormat="false" ht="15.75" hidden="false" customHeight="true" outlineLevel="0" collapsed="false">
      <c r="A269" s="89"/>
      <c r="O269" s="90"/>
    </row>
    <row r="270" customFormat="false" ht="15.75" hidden="false" customHeight="true" outlineLevel="0" collapsed="false">
      <c r="A270" s="89"/>
      <c r="O270" s="90"/>
    </row>
    <row r="271" customFormat="false" ht="15.75" hidden="false" customHeight="true" outlineLevel="0" collapsed="false">
      <c r="A271" s="89"/>
      <c r="O271" s="90"/>
    </row>
    <row r="272" customFormat="false" ht="15.75" hidden="false" customHeight="true" outlineLevel="0" collapsed="false">
      <c r="A272" s="89"/>
      <c r="O272" s="90"/>
    </row>
    <row r="273" customFormat="false" ht="15.75" hidden="false" customHeight="true" outlineLevel="0" collapsed="false">
      <c r="A273" s="89"/>
      <c r="O273" s="90"/>
    </row>
    <row r="274" customFormat="false" ht="15.75" hidden="false" customHeight="true" outlineLevel="0" collapsed="false">
      <c r="A274" s="89"/>
      <c r="O274" s="90"/>
    </row>
    <row r="275" customFormat="false" ht="15.75" hidden="false" customHeight="true" outlineLevel="0" collapsed="false">
      <c r="A275" s="89"/>
      <c r="O275" s="90"/>
    </row>
    <row r="276" customFormat="false" ht="15.75" hidden="false" customHeight="true" outlineLevel="0" collapsed="false">
      <c r="A276" s="89"/>
      <c r="O276" s="90"/>
    </row>
    <row r="277" customFormat="false" ht="15.75" hidden="false" customHeight="true" outlineLevel="0" collapsed="false">
      <c r="A277" s="89"/>
      <c r="O277" s="90"/>
    </row>
    <row r="278" customFormat="false" ht="15.75" hidden="false" customHeight="true" outlineLevel="0" collapsed="false">
      <c r="A278" s="89"/>
      <c r="O278" s="90"/>
    </row>
    <row r="279" customFormat="false" ht="15.75" hidden="false" customHeight="true" outlineLevel="0" collapsed="false">
      <c r="A279" s="89"/>
      <c r="O279" s="90"/>
    </row>
    <row r="280" customFormat="false" ht="15.75" hidden="false" customHeight="true" outlineLevel="0" collapsed="false">
      <c r="A280" s="89"/>
      <c r="O280" s="90"/>
    </row>
    <row r="281" customFormat="false" ht="15.75" hidden="false" customHeight="true" outlineLevel="0" collapsed="false">
      <c r="A281" s="89"/>
      <c r="O281" s="90"/>
    </row>
    <row r="282" customFormat="false" ht="15.75" hidden="false" customHeight="true" outlineLevel="0" collapsed="false">
      <c r="A282" s="89"/>
      <c r="O282" s="90"/>
    </row>
    <row r="283" customFormat="false" ht="15.75" hidden="false" customHeight="true" outlineLevel="0" collapsed="false">
      <c r="A283" s="89"/>
      <c r="O283" s="90"/>
    </row>
    <row r="284" customFormat="false" ht="15.75" hidden="false" customHeight="true" outlineLevel="0" collapsed="false">
      <c r="A284" s="89"/>
      <c r="O284" s="90"/>
    </row>
    <row r="285" customFormat="false" ht="15.75" hidden="false" customHeight="true" outlineLevel="0" collapsed="false">
      <c r="A285" s="89"/>
      <c r="O285" s="90"/>
    </row>
    <row r="286" customFormat="false" ht="15.75" hidden="false" customHeight="true" outlineLevel="0" collapsed="false">
      <c r="A286" s="89"/>
      <c r="O286" s="90"/>
    </row>
    <row r="287" customFormat="false" ht="15.75" hidden="false" customHeight="true" outlineLevel="0" collapsed="false">
      <c r="A287" s="89"/>
      <c r="O287" s="90"/>
    </row>
    <row r="288" customFormat="false" ht="15.75" hidden="false" customHeight="true" outlineLevel="0" collapsed="false">
      <c r="A288" s="89"/>
      <c r="O288" s="90"/>
    </row>
    <row r="289" customFormat="false" ht="15.75" hidden="false" customHeight="true" outlineLevel="0" collapsed="false">
      <c r="A289" s="89"/>
      <c r="O289" s="90"/>
    </row>
    <row r="290" customFormat="false" ht="15.75" hidden="false" customHeight="true" outlineLevel="0" collapsed="false">
      <c r="A290" s="89"/>
      <c r="O290" s="90"/>
    </row>
    <row r="291" customFormat="false" ht="15.75" hidden="false" customHeight="true" outlineLevel="0" collapsed="false">
      <c r="A291" s="89"/>
      <c r="O291" s="90"/>
    </row>
    <row r="292" customFormat="false" ht="15.75" hidden="false" customHeight="true" outlineLevel="0" collapsed="false">
      <c r="A292" s="89"/>
      <c r="O292" s="90"/>
    </row>
    <row r="293" customFormat="false" ht="15.75" hidden="false" customHeight="true" outlineLevel="0" collapsed="false">
      <c r="A293" s="89"/>
      <c r="O293" s="90"/>
    </row>
    <row r="294" customFormat="false" ht="15.75" hidden="false" customHeight="true" outlineLevel="0" collapsed="false">
      <c r="A294" s="89"/>
      <c r="O294" s="90"/>
    </row>
    <row r="295" customFormat="false" ht="15.75" hidden="false" customHeight="true" outlineLevel="0" collapsed="false">
      <c r="A295" s="89"/>
      <c r="O295" s="90"/>
    </row>
    <row r="296" customFormat="false" ht="15.75" hidden="false" customHeight="true" outlineLevel="0" collapsed="false">
      <c r="A296" s="89"/>
      <c r="O296" s="90"/>
    </row>
    <row r="297" customFormat="false" ht="15.75" hidden="false" customHeight="true" outlineLevel="0" collapsed="false">
      <c r="A297" s="89"/>
      <c r="O297" s="90"/>
    </row>
    <row r="298" customFormat="false" ht="15.75" hidden="false" customHeight="true" outlineLevel="0" collapsed="false">
      <c r="A298" s="89"/>
      <c r="O298" s="90"/>
    </row>
    <row r="299" customFormat="false" ht="15.75" hidden="false" customHeight="true" outlineLevel="0" collapsed="false">
      <c r="A299" s="89"/>
      <c r="O299" s="90"/>
    </row>
    <row r="300" customFormat="false" ht="15.75" hidden="false" customHeight="true" outlineLevel="0" collapsed="false">
      <c r="A300" s="89"/>
      <c r="O300" s="90"/>
    </row>
    <row r="301" customFormat="false" ht="15.75" hidden="false" customHeight="true" outlineLevel="0" collapsed="false">
      <c r="A301" s="89"/>
      <c r="O301" s="90"/>
    </row>
    <row r="302" customFormat="false" ht="15.75" hidden="false" customHeight="true" outlineLevel="0" collapsed="false">
      <c r="A302" s="89"/>
      <c r="O302" s="90"/>
    </row>
    <row r="303" customFormat="false" ht="15.75" hidden="false" customHeight="true" outlineLevel="0" collapsed="false">
      <c r="A303" s="89"/>
      <c r="O303" s="90"/>
    </row>
    <row r="304" customFormat="false" ht="15.75" hidden="false" customHeight="true" outlineLevel="0" collapsed="false">
      <c r="A304" s="89"/>
      <c r="O304" s="90"/>
    </row>
    <row r="305" customFormat="false" ht="15.75" hidden="false" customHeight="true" outlineLevel="0" collapsed="false">
      <c r="A305" s="89"/>
      <c r="O305" s="90"/>
    </row>
    <row r="306" customFormat="false" ht="15.75" hidden="false" customHeight="true" outlineLevel="0" collapsed="false">
      <c r="A306" s="89"/>
      <c r="O306" s="90"/>
    </row>
    <row r="307" customFormat="false" ht="15.75" hidden="false" customHeight="true" outlineLevel="0" collapsed="false">
      <c r="A307" s="89"/>
      <c r="O307" s="90"/>
    </row>
    <row r="308" customFormat="false" ht="15.75" hidden="false" customHeight="true" outlineLevel="0" collapsed="false">
      <c r="A308" s="89"/>
      <c r="O308" s="90"/>
    </row>
    <row r="309" customFormat="false" ht="15.75" hidden="false" customHeight="true" outlineLevel="0" collapsed="false">
      <c r="A309" s="89"/>
      <c r="O309" s="90"/>
    </row>
    <row r="310" customFormat="false" ht="15.75" hidden="false" customHeight="true" outlineLevel="0" collapsed="false">
      <c r="A310" s="89"/>
      <c r="O310" s="90"/>
    </row>
    <row r="311" customFormat="false" ht="15.75" hidden="false" customHeight="true" outlineLevel="0" collapsed="false">
      <c r="A311" s="89"/>
      <c r="O311" s="90"/>
    </row>
    <row r="312" customFormat="false" ht="15.75" hidden="false" customHeight="true" outlineLevel="0" collapsed="false">
      <c r="A312" s="89"/>
      <c r="O312" s="90"/>
    </row>
    <row r="313" customFormat="false" ht="15.75" hidden="false" customHeight="true" outlineLevel="0" collapsed="false">
      <c r="A313" s="89"/>
      <c r="O313" s="90"/>
    </row>
    <row r="314" customFormat="false" ht="15.75" hidden="false" customHeight="true" outlineLevel="0" collapsed="false">
      <c r="A314" s="89"/>
      <c r="O314" s="90"/>
    </row>
    <row r="315" customFormat="false" ht="15.75" hidden="false" customHeight="true" outlineLevel="0" collapsed="false">
      <c r="A315" s="89"/>
      <c r="O315" s="90"/>
    </row>
    <row r="316" customFormat="false" ht="15.75" hidden="false" customHeight="true" outlineLevel="0" collapsed="false">
      <c r="A316" s="89"/>
      <c r="O316" s="90"/>
    </row>
    <row r="317" customFormat="false" ht="15.75" hidden="false" customHeight="true" outlineLevel="0" collapsed="false">
      <c r="A317" s="89"/>
      <c r="O317" s="90"/>
    </row>
    <row r="318" customFormat="false" ht="15.75" hidden="false" customHeight="true" outlineLevel="0" collapsed="false">
      <c r="A318" s="89"/>
      <c r="O318" s="90"/>
    </row>
    <row r="319" customFormat="false" ht="15.75" hidden="false" customHeight="true" outlineLevel="0" collapsed="false">
      <c r="A319" s="89"/>
      <c r="O319" s="90"/>
    </row>
    <row r="320" customFormat="false" ht="15.75" hidden="false" customHeight="true" outlineLevel="0" collapsed="false">
      <c r="A320" s="89"/>
      <c r="O320" s="90"/>
    </row>
    <row r="321" customFormat="false" ht="15.75" hidden="false" customHeight="true" outlineLevel="0" collapsed="false">
      <c r="A321" s="89"/>
      <c r="O321" s="90"/>
    </row>
    <row r="322" customFormat="false" ht="15.75" hidden="false" customHeight="true" outlineLevel="0" collapsed="false">
      <c r="A322" s="89"/>
      <c r="O322" s="90"/>
    </row>
    <row r="323" customFormat="false" ht="15.75" hidden="false" customHeight="true" outlineLevel="0" collapsed="false">
      <c r="A323" s="89"/>
      <c r="O323" s="90"/>
    </row>
    <row r="324" customFormat="false" ht="15.75" hidden="false" customHeight="true" outlineLevel="0" collapsed="false">
      <c r="A324" s="89"/>
      <c r="O324" s="90"/>
    </row>
    <row r="325" customFormat="false" ht="15.75" hidden="false" customHeight="true" outlineLevel="0" collapsed="false">
      <c r="A325" s="89"/>
      <c r="O325" s="90"/>
    </row>
    <row r="326" customFormat="false" ht="15.75" hidden="false" customHeight="true" outlineLevel="0" collapsed="false">
      <c r="A326" s="89"/>
      <c r="O326" s="90"/>
    </row>
    <row r="327" customFormat="false" ht="15.75" hidden="false" customHeight="true" outlineLevel="0" collapsed="false">
      <c r="A327" s="89"/>
      <c r="O327" s="90"/>
    </row>
    <row r="328" customFormat="false" ht="15.75" hidden="false" customHeight="true" outlineLevel="0" collapsed="false">
      <c r="A328" s="89"/>
      <c r="O328" s="90"/>
    </row>
    <row r="329" customFormat="false" ht="15.75" hidden="false" customHeight="true" outlineLevel="0" collapsed="false">
      <c r="A329" s="89"/>
      <c r="O329" s="90"/>
    </row>
    <row r="330" customFormat="false" ht="15.75" hidden="false" customHeight="true" outlineLevel="0" collapsed="false">
      <c r="A330" s="89"/>
      <c r="O330" s="90"/>
    </row>
    <row r="331" customFormat="false" ht="15.75" hidden="false" customHeight="true" outlineLevel="0" collapsed="false">
      <c r="A331" s="89"/>
      <c r="O331" s="90"/>
    </row>
    <row r="332" customFormat="false" ht="15.75" hidden="false" customHeight="true" outlineLevel="0" collapsed="false">
      <c r="A332" s="89"/>
      <c r="O332" s="90"/>
    </row>
    <row r="333" customFormat="false" ht="15.75" hidden="false" customHeight="true" outlineLevel="0" collapsed="false">
      <c r="A333" s="89"/>
      <c r="O333" s="90"/>
    </row>
    <row r="334" customFormat="false" ht="15.75" hidden="false" customHeight="true" outlineLevel="0" collapsed="false">
      <c r="A334" s="89"/>
      <c r="O334" s="90"/>
    </row>
    <row r="335" customFormat="false" ht="15.75" hidden="false" customHeight="true" outlineLevel="0" collapsed="false">
      <c r="A335" s="89"/>
      <c r="O335" s="90"/>
    </row>
    <row r="336" customFormat="false" ht="15.75" hidden="false" customHeight="true" outlineLevel="0" collapsed="false">
      <c r="A336" s="89"/>
      <c r="O336" s="90"/>
    </row>
    <row r="337" customFormat="false" ht="15.75" hidden="false" customHeight="true" outlineLevel="0" collapsed="false">
      <c r="A337" s="89"/>
      <c r="O337" s="90"/>
    </row>
    <row r="338" customFormat="false" ht="15.75" hidden="false" customHeight="true" outlineLevel="0" collapsed="false">
      <c r="A338" s="89"/>
      <c r="O338" s="90"/>
    </row>
    <row r="339" customFormat="false" ht="15.75" hidden="false" customHeight="true" outlineLevel="0" collapsed="false">
      <c r="A339" s="89"/>
      <c r="O339" s="90"/>
    </row>
    <row r="340" customFormat="false" ht="15.75" hidden="false" customHeight="true" outlineLevel="0" collapsed="false">
      <c r="A340" s="89"/>
      <c r="O340" s="90"/>
    </row>
    <row r="341" customFormat="false" ht="15.75" hidden="false" customHeight="true" outlineLevel="0" collapsed="false">
      <c r="A341" s="89"/>
      <c r="O341" s="90"/>
    </row>
    <row r="342" customFormat="false" ht="15.75" hidden="false" customHeight="true" outlineLevel="0" collapsed="false">
      <c r="A342" s="89"/>
      <c r="O342" s="90"/>
    </row>
    <row r="343" customFormat="false" ht="15.75" hidden="false" customHeight="true" outlineLevel="0" collapsed="false">
      <c r="A343" s="89"/>
      <c r="O343" s="90"/>
    </row>
    <row r="344" customFormat="false" ht="15.75" hidden="false" customHeight="true" outlineLevel="0" collapsed="false">
      <c r="A344" s="89"/>
      <c r="O344" s="90"/>
    </row>
    <row r="345" customFormat="false" ht="15.75" hidden="false" customHeight="true" outlineLevel="0" collapsed="false">
      <c r="A345" s="89"/>
      <c r="O345" s="90"/>
    </row>
    <row r="346" customFormat="false" ht="15.75" hidden="false" customHeight="true" outlineLevel="0" collapsed="false">
      <c r="A346" s="89"/>
      <c r="O346" s="90"/>
    </row>
    <row r="347" customFormat="false" ht="15.75" hidden="false" customHeight="true" outlineLevel="0" collapsed="false">
      <c r="A347" s="89"/>
      <c r="O347" s="90"/>
    </row>
    <row r="348" customFormat="false" ht="15.75" hidden="false" customHeight="true" outlineLevel="0" collapsed="false">
      <c r="A348" s="89"/>
      <c r="O348" s="90"/>
    </row>
    <row r="349" customFormat="false" ht="15.75" hidden="false" customHeight="true" outlineLevel="0" collapsed="false">
      <c r="A349" s="89"/>
      <c r="O349" s="90"/>
    </row>
    <row r="350" customFormat="false" ht="15.75" hidden="false" customHeight="true" outlineLevel="0" collapsed="false">
      <c r="A350" s="89"/>
      <c r="O350" s="90"/>
    </row>
    <row r="351" customFormat="false" ht="15.75" hidden="false" customHeight="true" outlineLevel="0" collapsed="false">
      <c r="A351" s="89"/>
      <c r="O351" s="90"/>
    </row>
    <row r="352" customFormat="false" ht="15.75" hidden="false" customHeight="true" outlineLevel="0" collapsed="false">
      <c r="A352" s="89"/>
      <c r="O352" s="90"/>
    </row>
    <row r="353" customFormat="false" ht="15.75" hidden="false" customHeight="true" outlineLevel="0" collapsed="false">
      <c r="A353" s="89"/>
      <c r="O353" s="90"/>
    </row>
    <row r="354" customFormat="false" ht="15.75" hidden="false" customHeight="true" outlineLevel="0" collapsed="false">
      <c r="A354" s="89"/>
      <c r="O354" s="90"/>
    </row>
    <row r="355" customFormat="false" ht="15.75" hidden="false" customHeight="true" outlineLevel="0" collapsed="false">
      <c r="A355" s="89"/>
      <c r="O355" s="90"/>
    </row>
    <row r="356" customFormat="false" ht="15.75" hidden="false" customHeight="true" outlineLevel="0" collapsed="false">
      <c r="A356" s="89"/>
      <c r="O356" s="90"/>
    </row>
    <row r="357" customFormat="false" ht="15.75" hidden="false" customHeight="true" outlineLevel="0" collapsed="false">
      <c r="A357" s="89"/>
      <c r="O357" s="90"/>
    </row>
    <row r="358" customFormat="false" ht="15.75" hidden="false" customHeight="true" outlineLevel="0" collapsed="false">
      <c r="A358" s="89"/>
      <c r="O358" s="90"/>
    </row>
    <row r="359" customFormat="false" ht="15.75" hidden="false" customHeight="true" outlineLevel="0" collapsed="false">
      <c r="A359" s="89"/>
      <c r="O359" s="90"/>
    </row>
    <row r="360" customFormat="false" ht="15.75" hidden="false" customHeight="true" outlineLevel="0" collapsed="false">
      <c r="A360" s="89"/>
      <c r="O360" s="90"/>
    </row>
    <row r="361" customFormat="false" ht="15.75" hidden="false" customHeight="true" outlineLevel="0" collapsed="false">
      <c r="A361" s="89"/>
      <c r="O361" s="90"/>
    </row>
    <row r="362" customFormat="false" ht="15.75" hidden="false" customHeight="true" outlineLevel="0" collapsed="false">
      <c r="A362" s="89"/>
      <c r="O362" s="90"/>
    </row>
    <row r="363" customFormat="false" ht="15.75" hidden="false" customHeight="true" outlineLevel="0" collapsed="false">
      <c r="A363" s="89"/>
      <c r="O363" s="90"/>
    </row>
    <row r="364" customFormat="false" ht="15.75" hidden="false" customHeight="true" outlineLevel="0" collapsed="false">
      <c r="A364" s="89"/>
      <c r="O364" s="90"/>
    </row>
    <row r="365" customFormat="false" ht="15.75" hidden="false" customHeight="true" outlineLevel="0" collapsed="false">
      <c r="A365" s="89"/>
      <c r="O365" s="90"/>
    </row>
    <row r="366" customFormat="false" ht="15.75" hidden="false" customHeight="true" outlineLevel="0" collapsed="false">
      <c r="A366" s="89"/>
      <c r="O366" s="90"/>
    </row>
    <row r="367" customFormat="false" ht="15.75" hidden="false" customHeight="true" outlineLevel="0" collapsed="false">
      <c r="A367" s="89"/>
      <c r="O367" s="90"/>
    </row>
    <row r="368" customFormat="false" ht="15.75" hidden="false" customHeight="true" outlineLevel="0" collapsed="false">
      <c r="A368" s="89"/>
      <c r="O368" s="90"/>
    </row>
    <row r="369" customFormat="false" ht="15.75" hidden="false" customHeight="true" outlineLevel="0" collapsed="false">
      <c r="A369" s="89"/>
      <c r="O369" s="90"/>
    </row>
    <row r="370" customFormat="false" ht="15.75" hidden="false" customHeight="true" outlineLevel="0" collapsed="false">
      <c r="A370" s="89"/>
      <c r="O370" s="90"/>
    </row>
    <row r="371" customFormat="false" ht="15.75" hidden="false" customHeight="true" outlineLevel="0" collapsed="false">
      <c r="A371" s="89"/>
      <c r="O371" s="90"/>
    </row>
    <row r="372" customFormat="false" ht="15.75" hidden="false" customHeight="true" outlineLevel="0" collapsed="false">
      <c r="A372" s="89"/>
      <c r="O372" s="90"/>
    </row>
    <row r="373" customFormat="false" ht="15.75" hidden="false" customHeight="true" outlineLevel="0" collapsed="false">
      <c r="A373" s="89"/>
      <c r="O373" s="90"/>
    </row>
    <row r="374" customFormat="false" ht="15.75" hidden="false" customHeight="true" outlineLevel="0" collapsed="false">
      <c r="A374" s="89"/>
      <c r="O374" s="90"/>
    </row>
    <row r="375" customFormat="false" ht="15.75" hidden="false" customHeight="true" outlineLevel="0" collapsed="false">
      <c r="A375" s="89"/>
      <c r="O375" s="90"/>
    </row>
    <row r="376" customFormat="false" ht="15.75" hidden="false" customHeight="true" outlineLevel="0" collapsed="false">
      <c r="A376" s="89"/>
      <c r="O376" s="90"/>
    </row>
    <row r="377" customFormat="false" ht="15.75" hidden="false" customHeight="true" outlineLevel="0" collapsed="false">
      <c r="A377" s="89"/>
      <c r="O377" s="90"/>
    </row>
    <row r="378" customFormat="false" ht="15.75" hidden="false" customHeight="true" outlineLevel="0" collapsed="false">
      <c r="A378" s="89"/>
      <c r="O378" s="90"/>
    </row>
    <row r="379" customFormat="false" ht="15.75" hidden="false" customHeight="true" outlineLevel="0" collapsed="false">
      <c r="A379" s="89"/>
      <c r="O379" s="90"/>
    </row>
    <row r="380" customFormat="false" ht="15.75" hidden="false" customHeight="true" outlineLevel="0" collapsed="false">
      <c r="A380" s="89"/>
      <c r="O380" s="90"/>
    </row>
    <row r="381" customFormat="false" ht="15.75" hidden="false" customHeight="true" outlineLevel="0" collapsed="false">
      <c r="A381" s="89"/>
      <c r="O381" s="90"/>
    </row>
    <row r="382" customFormat="false" ht="15.75" hidden="false" customHeight="true" outlineLevel="0" collapsed="false">
      <c r="A382" s="89"/>
      <c r="O382" s="90"/>
    </row>
    <row r="383" customFormat="false" ht="15.75" hidden="false" customHeight="true" outlineLevel="0" collapsed="false">
      <c r="A383" s="89"/>
      <c r="O383" s="90"/>
    </row>
    <row r="384" customFormat="false" ht="15.75" hidden="false" customHeight="true" outlineLevel="0" collapsed="false">
      <c r="A384" s="89"/>
      <c r="O384" s="90"/>
    </row>
    <row r="385" customFormat="false" ht="15.75" hidden="false" customHeight="true" outlineLevel="0" collapsed="false">
      <c r="A385" s="89"/>
      <c r="O385" s="90"/>
    </row>
    <row r="386" customFormat="false" ht="15.75" hidden="false" customHeight="true" outlineLevel="0" collapsed="false">
      <c r="A386" s="89"/>
      <c r="O386" s="90"/>
    </row>
    <row r="387" customFormat="false" ht="15.75" hidden="false" customHeight="true" outlineLevel="0" collapsed="false">
      <c r="A387" s="89"/>
      <c r="O387" s="90"/>
    </row>
    <row r="388" customFormat="false" ht="15.75" hidden="false" customHeight="true" outlineLevel="0" collapsed="false">
      <c r="A388" s="89"/>
      <c r="O388" s="90"/>
    </row>
    <row r="389" customFormat="false" ht="15.75" hidden="false" customHeight="true" outlineLevel="0" collapsed="false">
      <c r="A389" s="89"/>
      <c r="O389" s="90"/>
    </row>
    <row r="390" customFormat="false" ht="15.75" hidden="false" customHeight="true" outlineLevel="0" collapsed="false">
      <c r="A390" s="89"/>
      <c r="O390" s="90"/>
    </row>
    <row r="391" customFormat="false" ht="15.75" hidden="false" customHeight="true" outlineLevel="0" collapsed="false">
      <c r="A391" s="89"/>
      <c r="O391" s="90"/>
    </row>
    <row r="392" customFormat="false" ht="15.75" hidden="false" customHeight="true" outlineLevel="0" collapsed="false">
      <c r="A392" s="89"/>
      <c r="O392" s="90"/>
    </row>
    <row r="393" customFormat="false" ht="15.75" hidden="false" customHeight="true" outlineLevel="0" collapsed="false">
      <c r="A393" s="89"/>
      <c r="O393" s="90"/>
    </row>
    <row r="394" customFormat="false" ht="15.75" hidden="false" customHeight="true" outlineLevel="0" collapsed="false">
      <c r="A394" s="89"/>
      <c r="O394" s="90"/>
    </row>
    <row r="395" customFormat="false" ht="15.75" hidden="false" customHeight="true" outlineLevel="0" collapsed="false">
      <c r="A395" s="89"/>
      <c r="O395" s="90"/>
    </row>
    <row r="396" customFormat="false" ht="15.75" hidden="false" customHeight="true" outlineLevel="0" collapsed="false">
      <c r="A396" s="89"/>
      <c r="O396" s="90"/>
    </row>
    <row r="397" customFormat="false" ht="15.75" hidden="false" customHeight="true" outlineLevel="0" collapsed="false">
      <c r="A397" s="89"/>
      <c r="O397" s="90"/>
    </row>
    <row r="398" customFormat="false" ht="15.75" hidden="false" customHeight="true" outlineLevel="0" collapsed="false">
      <c r="A398" s="89"/>
      <c r="O398" s="90"/>
    </row>
    <row r="399" customFormat="false" ht="15.75" hidden="false" customHeight="true" outlineLevel="0" collapsed="false">
      <c r="A399" s="89"/>
      <c r="O399" s="90"/>
    </row>
    <row r="400" customFormat="false" ht="15.75" hidden="false" customHeight="true" outlineLevel="0" collapsed="false">
      <c r="A400" s="89"/>
      <c r="O400" s="90"/>
    </row>
    <row r="401" customFormat="false" ht="15.75" hidden="false" customHeight="true" outlineLevel="0" collapsed="false">
      <c r="A401" s="89"/>
      <c r="O401" s="90"/>
    </row>
    <row r="402" customFormat="false" ht="15.75" hidden="false" customHeight="true" outlineLevel="0" collapsed="false">
      <c r="A402" s="89"/>
      <c r="O402" s="90"/>
    </row>
    <row r="403" customFormat="false" ht="15.75" hidden="false" customHeight="true" outlineLevel="0" collapsed="false">
      <c r="A403" s="89"/>
      <c r="O403" s="90"/>
    </row>
    <row r="404" customFormat="false" ht="15.75" hidden="false" customHeight="true" outlineLevel="0" collapsed="false">
      <c r="A404" s="89"/>
      <c r="O404" s="90"/>
    </row>
    <row r="405" customFormat="false" ht="15.75" hidden="false" customHeight="true" outlineLevel="0" collapsed="false">
      <c r="A405" s="89"/>
      <c r="O405" s="90"/>
    </row>
    <row r="406" customFormat="false" ht="15.75" hidden="false" customHeight="true" outlineLevel="0" collapsed="false">
      <c r="A406" s="89"/>
      <c r="O406" s="90"/>
    </row>
    <row r="407" customFormat="false" ht="15.75" hidden="false" customHeight="true" outlineLevel="0" collapsed="false">
      <c r="A407" s="89"/>
      <c r="O407" s="90"/>
    </row>
    <row r="408" customFormat="false" ht="15.75" hidden="false" customHeight="true" outlineLevel="0" collapsed="false">
      <c r="A408" s="89"/>
      <c r="O408" s="90"/>
    </row>
    <row r="409" customFormat="false" ht="15.75" hidden="false" customHeight="true" outlineLevel="0" collapsed="false">
      <c r="A409" s="89"/>
      <c r="O409" s="90"/>
    </row>
    <row r="410" customFormat="false" ht="15.75" hidden="false" customHeight="true" outlineLevel="0" collapsed="false">
      <c r="A410" s="89"/>
      <c r="O410" s="90"/>
    </row>
    <row r="411" customFormat="false" ht="15.75" hidden="false" customHeight="true" outlineLevel="0" collapsed="false">
      <c r="A411" s="89"/>
      <c r="O411" s="90"/>
    </row>
    <row r="412" customFormat="false" ht="15.75" hidden="false" customHeight="true" outlineLevel="0" collapsed="false">
      <c r="A412" s="89"/>
      <c r="O412" s="90"/>
    </row>
    <row r="413" customFormat="false" ht="15.75" hidden="false" customHeight="true" outlineLevel="0" collapsed="false">
      <c r="A413" s="89"/>
      <c r="O413" s="90"/>
    </row>
    <row r="414" customFormat="false" ht="15.75" hidden="false" customHeight="true" outlineLevel="0" collapsed="false">
      <c r="A414" s="89"/>
      <c r="O414" s="90"/>
    </row>
    <row r="415" customFormat="false" ht="15.75" hidden="false" customHeight="true" outlineLevel="0" collapsed="false">
      <c r="A415" s="89"/>
      <c r="O415" s="90"/>
    </row>
    <row r="416" customFormat="false" ht="15.75" hidden="false" customHeight="true" outlineLevel="0" collapsed="false">
      <c r="A416" s="89"/>
      <c r="O416" s="90"/>
    </row>
    <row r="417" customFormat="false" ht="15.75" hidden="false" customHeight="true" outlineLevel="0" collapsed="false">
      <c r="A417" s="89"/>
      <c r="O417" s="90"/>
    </row>
    <row r="418" customFormat="false" ht="15.75" hidden="false" customHeight="true" outlineLevel="0" collapsed="false">
      <c r="A418" s="89"/>
      <c r="O418" s="90"/>
    </row>
    <row r="419" customFormat="false" ht="15.75" hidden="false" customHeight="true" outlineLevel="0" collapsed="false">
      <c r="A419" s="89"/>
      <c r="O419" s="90"/>
    </row>
    <row r="420" customFormat="false" ht="15.75" hidden="false" customHeight="true" outlineLevel="0" collapsed="false">
      <c r="A420" s="89"/>
      <c r="O420" s="90"/>
    </row>
    <row r="421" customFormat="false" ht="15.75" hidden="false" customHeight="true" outlineLevel="0" collapsed="false">
      <c r="A421" s="89"/>
      <c r="O421" s="90"/>
    </row>
    <row r="422" customFormat="false" ht="15.75" hidden="false" customHeight="true" outlineLevel="0" collapsed="false">
      <c r="A422" s="89"/>
      <c r="O422" s="90"/>
    </row>
    <row r="423" customFormat="false" ht="15.75" hidden="false" customHeight="true" outlineLevel="0" collapsed="false">
      <c r="A423" s="89"/>
      <c r="O423" s="90"/>
    </row>
    <row r="424" customFormat="false" ht="15.75" hidden="false" customHeight="true" outlineLevel="0" collapsed="false">
      <c r="A424" s="89"/>
      <c r="O424" s="90"/>
    </row>
    <row r="425" customFormat="false" ht="15.75" hidden="false" customHeight="true" outlineLevel="0" collapsed="false">
      <c r="A425" s="89"/>
      <c r="O425" s="90"/>
    </row>
    <row r="426" customFormat="false" ht="15.75" hidden="false" customHeight="true" outlineLevel="0" collapsed="false">
      <c r="A426" s="89"/>
      <c r="O426" s="90"/>
    </row>
    <row r="427" customFormat="false" ht="15.75" hidden="false" customHeight="true" outlineLevel="0" collapsed="false">
      <c r="A427" s="89"/>
      <c r="O427" s="90"/>
    </row>
    <row r="428" customFormat="false" ht="15.75" hidden="false" customHeight="true" outlineLevel="0" collapsed="false">
      <c r="A428" s="89"/>
      <c r="O428" s="90"/>
    </row>
    <row r="429" customFormat="false" ht="15.75" hidden="false" customHeight="true" outlineLevel="0" collapsed="false">
      <c r="A429" s="89"/>
      <c r="O429" s="90"/>
    </row>
    <row r="430" customFormat="false" ht="15.75" hidden="false" customHeight="true" outlineLevel="0" collapsed="false">
      <c r="A430" s="89"/>
      <c r="O430" s="90"/>
    </row>
    <row r="431" customFormat="false" ht="15.75" hidden="false" customHeight="true" outlineLevel="0" collapsed="false">
      <c r="A431" s="89"/>
      <c r="O431" s="90"/>
    </row>
    <row r="432" customFormat="false" ht="15.75" hidden="false" customHeight="true" outlineLevel="0" collapsed="false">
      <c r="A432" s="89"/>
      <c r="O432" s="90"/>
    </row>
    <row r="433" customFormat="false" ht="15.75" hidden="false" customHeight="true" outlineLevel="0" collapsed="false">
      <c r="A433" s="89"/>
      <c r="O433" s="90"/>
    </row>
    <row r="434" customFormat="false" ht="15.75" hidden="false" customHeight="true" outlineLevel="0" collapsed="false">
      <c r="A434" s="89"/>
      <c r="O434" s="90"/>
    </row>
    <row r="435" customFormat="false" ht="15.75" hidden="false" customHeight="true" outlineLevel="0" collapsed="false">
      <c r="A435" s="89"/>
      <c r="O435" s="90"/>
    </row>
    <row r="436" customFormat="false" ht="15.75" hidden="false" customHeight="true" outlineLevel="0" collapsed="false">
      <c r="A436" s="89"/>
      <c r="O436" s="90"/>
    </row>
    <row r="437" customFormat="false" ht="15.75" hidden="false" customHeight="true" outlineLevel="0" collapsed="false">
      <c r="A437" s="89"/>
      <c r="O437" s="90"/>
    </row>
    <row r="438" customFormat="false" ht="15.75" hidden="false" customHeight="true" outlineLevel="0" collapsed="false">
      <c r="A438" s="89"/>
      <c r="O438" s="90"/>
    </row>
    <row r="439" customFormat="false" ht="15.75" hidden="false" customHeight="true" outlineLevel="0" collapsed="false">
      <c r="A439" s="89"/>
      <c r="O439" s="90"/>
    </row>
    <row r="440" customFormat="false" ht="15.75" hidden="false" customHeight="true" outlineLevel="0" collapsed="false">
      <c r="A440" s="89"/>
      <c r="O440" s="90"/>
    </row>
    <row r="441" customFormat="false" ht="15.75" hidden="false" customHeight="true" outlineLevel="0" collapsed="false">
      <c r="A441" s="89"/>
      <c r="O441" s="90"/>
    </row>
    <row r="442" customFormat="false" ht="15.75" hidden="false" customHeight="true" outlineLevel="0" collapsed="false">
      <c r="A442" s="89"/>
      <c r="O442" s="90"/>
    </row>
    <row r="443" customFormat="false" ht="15.75" hidden="false" customHeight="true" outlineLevel="0" collapsed="false">
      <c r="A443" s="89"/>
      <c r="O443" s="90"/>
    </row>
    <row r="444" customFormat="false" ht="15.75" hidden="false" customHeight="true" outlineLevel="0" collapsed="false">
      <c r="A444" s="89"/>
      <c r="O444" s="90"/>
    </row>
    <row r="445" customFormat="false" ht="15.75" hidden="false" customHeight="true" outlineLevel="0" collapsed="false">
      <c r="A445" s="89"/>
      <c r="O445" s="90"/>
    </row>
    <row r="446" customFormat="false" ht="15.75" hidden="false" customHeight="true" outlineLevel="0" collapsed="false">
      <c r="A446" s="89"/>
      <c r="O446" s="90"/>
    </row>
    <row r="447" customFormat="false" ht="15.75" hidden="false" customHeight="true" outlineLevel="0" collapsed="false">
      <c r="A447" s="89"/>
      <c r="O447" s="90"/>
    </row>
    <row r="448" customFormat="false" ht="15.75" hidden="false" customHeight="true" outlineLevel="0" collapsed="false">
      <c r="A448" s="89"/>
      <c r="O448" s="90"/>
    </row>
    <row r="449" customFormat="false" ht="15.75" hidden="false" customHeight="true" outlineLevel="0" collapsed="false">
      <c r="A449" s="89"/>
      <c r="O449" s="90"/>
    </row>
    <row r="450" customFormat="false" ht="15.75" hidden="false" customHeight="true" outlineLevel="0" collapsed="false">
      <c r="A450" s="89"/>
      <c r="O450" s="90"/>
    </row>
    <row r="451" customFormat="false" ht="15.75" hidden="false" customHeight="true" outlineLevel="0" collapsed="false">
      <c r="A451" s="89"/>
      <c r="O451" s="90"/>
    </row>
    <row r="452" customFormat="false" ht="15.75" hidden="false" customHeight="true" outlineLevel="0" collapsed="false">
      <c r="A452" s="89"/>
      <c r="O452" s="90"/>
    </row>
    <row r="453" customFormat="false" ht="15.75" hidden="false" customHeight="true" outlineLevel="0" collapsed="false">
      <c r="A453" s="89"/>
      <c r="O453" s="90"/>
    </row>
    <row r="454" customFormat="false" ht="15.75" hidden="false" customHeight="true" outlineLevel="0" collapsed="false">
      <c r="A454" s="89"/>
      <c r="O454" s="90"/>
    </row>
    <row r="455" customFormat="false" ht="15.75" hidden="false" customHeight="true" outlineLevel="0" collapsed="false">
      <c r="A455" s="89"/>
      <c r="O455" s="90"/>
    </row>
    <row r="456" customFormat="false" ht="15.75" hidden="false" customHeight="true" outlineLevel="0" collapsed="false">
      <c r="A456" s="89"/>
      <c r="O456" s="90"/>
    </row>
    <row r="457" customFormat="false" ht="15.75" hidden="false" customHeight="true" outlineLevel="0" collapsed="false">
      <c r="A457" s="89"/>
      <c r="O457" s="90"/>
    </row>
    <row r="458" customFormat="false" ht="15.75" hidden="false" customHeight="true" outlineLevel="0" collapsed="false">
      <c r="A458" s="89"/>
      <c r="O458" s="90"/>
    </row>
    <row r="459" customFormat="false" ht="15.75" hidden="false" customHeight="true" outlineLevel="0" collapsed="false">
      <c r="A459" s="89"/>
      <c r="O459" s="90"/>
    </row>
    <row r="460" customFormat="false" ht="15.75" hidden="false" customHeight="true" outlineLevel="0" collapsed="false">
      <c r="A460" s="89"/>
      <c r="O460" s="90"/>
    </row>
    <row r="461" customFormat="false" ht="15.75" hidden="false" customHeight="true" outlineLevel="0" collapsed="false">
      <c r="A461" s="89"/>
      <c r="O461" s="90"/>
    </row>
    <row r="462" customFormat="false" ht="15.75" hidden="false" customHeight="true" outlineLevel="0" collapsed="false">
      <c r="A462" s="89"/>
      <c r="O462" s="90"/>
    </row>
    <row r="463" customFormat="false" ht="15.75" hidden="false" customHeight="true" outlineLevel="0" collapsed="false">
      <c r="A463" s="89"/>
      <c r="O463" s="90"/>
    </row>
    <row r="464" customFormat="false" ht="15.75" hidden="false" customHeight="true" outlineLevel="0" collapsed="false">
      <c r="A464" s="89"/>
      <c r="O464" s="90"/>
    </row>
    <row r="465" customFormat="false" ht="15.75" hidden="false" customHeight="true" outlineLevel="0" collapsed="false">
      <c r="A465" s="89"/>
      <c r="O465" s="90"/>
    </row>
    <row r="466" customFormat="false" ht="15.75" hidden="false" customHeight="true" outlineLevel="0" collapsed="false">
      <c r="A466" s="89"/>
      <c r="O466" s="90"/>
    </row>
    <row r="467" customFormat="false" ht="15.75" hidden="false" customHeight="true" outlineLevel="0" collapsed="false">
      <c r="A467" s="89"/>
      <c r="O467" s="90"/>
    </row>
    <row r="468" customFormat="false" ht="15.75" hidden="false" customHeight="true" outlineLevel="0" collapsed="false">
      <c r="A468" s="89"/>
      <c r="O468" s="90"/>
    </row>
    <row r="469" customFormat="false" ht="15.75" hidden="false" customHeight="true" outlineLevel="0" collapsed="false">
      <c r="A469" s="89"/>
      <c r="O469" s="90"/>
    </row>
    <row r="470" customFormat="false" ht="15.75" hidden="false" customHeight="true" outlineLevel="0" collapsed="false">
      <c r="A470" s="89"/>
      <c r="O470" s="90"/>
    </row>
    <row r="471" customFormat="false" ht="15.75" hidden="false" customHeight="true" outlineLevel="0" collapsed="false">
      <c r="A471" s="89"/>
      <c r="O471" s="90"/>
    </row>
    <row r="472" customFormat="false" ht="15.75" hidden="false" customHeight="true" outlineLevel="0" collapsed="false">
      <c r="A472" s="89"/>
      <c r="O472" s="90"/>
    </row>
    <row r="473" customFormat="false" ht="15.75" hidden="false" customHeight="true" outlineLevel="0" collapsed="false">
      <c r="A473" s="89"/>
      <c r="O473" s="90"/>
    </row>
    <row r="474" customFormat="false" ht="15.75" hidden="false" customHeight="true" outlineLevel="0" collapsed="false">
      <c r="A474" s="89"/>
      <c r="O474" s="90"/>
    </row>
    <row r="475" customFormat="false" ht="15.75" hidden="false" customHeight="true" outlineLevel="0" collapsed="false">
      <c r="A475" s="89"/>
      <c r="O475" s="90"/>
    </row>
    <row r="476" customFormat="false" ht="15.75" hidden="false" customHeight="true" outlineLevel="0" collapsed="false">
      <c r="A476" s="89"/>
      <c r="O476" s="90"/>
    </row>
    <row r="477" customFormat="false" ht="15.75" hidden="false" customHeight="true" outlineLevel="0" collapsed="false">
      <c r="A477" s="89"/>
      <c r="O477" s="90"/>
    </row>
    <row r="478" customFormat="false" ht="15.75" hidden="false" customHeight="true" outlineLevel="0" collapsed="false">
      <c r="A478" s="89"/>
      <c r="O478" s="90"/>
    </row>
    <row r="479" customFormat="false" ht="15.75" hidden="false" customHeight="true" outlineLevel="0" collapsed="false">
      <c r="A479" s="89"/>
      <c r="O479" s="90"/>
    </row>
    <row r="480" customFormat="false" ht="15.75" hidden="false" customHeight="true" outlineLevel="0" collapsed="false">
      <c r="A480" s="89"/>
      <c r="O480" s="90"/>
    </row>
    <row r="481" customFormat="false" ht="15.75" hidden="false" customHeight="true" outlineLevel="0" collapsed="false">
      <c r="A481" s="89"/>
      <c r="O481" s="90"/>
    </row>
    <row r="482" customFormat="false" ht="15.75" hidden="false" customHeight="true" outlineLevel="0" collapsed="false">
      <c r="A482" s="89"/>
      <c r="O482" s="90"/>
    </row>
    <row r="483" customFormat="false" ht="15.75" hidden="false" customHeight="true" outlineLevel="0" collapsed="false">
      <c r="A483" s="89"/>
      <c r="O483" s="90"/>
    </row>
    <row r="484" customFormat="false" ht="15.75" hidden="false" customHeight="true" outlineLevel="0" collapsed="false">
      <c r="A484" s="89"/>
      <c r="O484" s="90"/>
    </row>
    <row r="485" customFormat="false" ht="15.75" hidden="false" customHeight="true" outlineLevel="0" collapsed="false">
      <c r="A485" s="89"/>
      <c r="O485" s="90"/>
    </row>
    <row r="486" customFormat="false" ht="15.75" hidden="false" customHeight="true" outlineLevel="0" collapsed="false">
      <c r="A486" s="89"/>
      <c r="O486" s="90"/>
    </row>
    <row r="487" customFormat="false" ht="15.75" hidden="false" customHeight="true" outlineLevel="0" collapsed="false">
      <c r="A487" s="89"/>
      <c r="O487" s="90"/>
    </row>
    <row r="488" customFormat="false" ht="15.75" hidden="false" customHeight="true" outlineLevel="0" collapsed="false">
      <c r="A488" s="89"/>
      <c r="O488" s="90"/>
    </row>
    <row r="489" customFormat="false" ht="15.75" hidden="false" customHeight="true" outlineLevel="0" collapsed="false">
      <c r="A489" s="89"/>
      <c r="O489" s="90"/>
    </row>
    <row r="490" customFormat="false" ht="15.75" hidden="false" customHeight="true" outlineLevel="0" collapsed="false">
      <c r="A490" s="89"/>
      <c r="O490" s="90"/>
    </row>
    <row r="491" customFormat="false" ht="15.75" hidden="false" customHeight="true" outlineLevel="0" collapsed="false">
      <c r="A491" s="89"/>
      <c r="O491" s="90"/>
    </row>
    <row r="492" customFormat="false" ht="15.75" hidden="false" customHeight="true" outlineLevel="0" collapsed="false">
      <c r="A492" s="89"/>
      <c r="O492" s="90"/>
    </row>
    <row r="493" customFormat="false" ht="15.75" hidden="false" customHeight="true" outlineLevel="0" collapsed="false">
      <c r="A493" s="89"/>
      <c r="O493" s="90"/>
    </row>
    <row r="494" customFormat="false" ht="15.75" hidden="false" customHeight="true" outlineLevel="0" collapsed="false">
      <c r="A494" s="89"/>
      <c r="O494" s="90"/>
    </row>
    <row r="495" customFormat="false" ht="15.75" hidden="false" customHeight="true" outlineLevel="0" collapsed="false">
      <c r="A495" s="89"/>
      <c r="O495" s="90"/>
    </row>
    <row r="496" customFormat="false" ht="15.75" hidden="false" customHeight="true" outlineLevel="0" collapsed="false">
      <c r="A496" s="89"/>
      <c r="O496" s="90"/>
    </row>
    <row r="497" customFormat="false" ht="15.75" hidden="false" customHeight="true" outlineLevel="0" collapsed="false">
      <c r="A497" s="89"/>
      <c r="O497" s="90"/>
    </row>
    <row r="498" customFormat="false" ht="15.75" hidden="false" customHeight="true" outlineLevel="0" collapsed="false">
      <c r="A498" s="89"/>
      <c r="O498" s="90"/>
    </row>
    <row r="499" customFormat="false" ht="15.75" hidden="false" customHeight="true" outlineLevel="0" collapsed="false">
      <c r="A499" s="89"/>
      <c r="O499" s="90"/>
    </row>
    <row r="500" customFormat="false" ht="15.75" hidden="false" customHeight="true" outlineLevel="0" collapsed="false">
      <c r="A500" s="89"/>
      <c r="O500" s="90"/>
    </row>
    <row r="501" customFormat="false" ht="15.75" hidden="false" customHeight="true" outlineLevel="0" collapsed="false">
      <c r="A501" s="89"/>
      <c r="O501" s="90"/>
    </row>
    <row r="502" customFormat="false" ht="15.75" hidden="false" customHeight="true" outlineLevel="0" collapsed="false">
      <c r="A502" s="89"/>
      <c r="O502" s="90"/>
    </row>
    <row r="503" customFormat="false" ht="15.75" hidden="false" customHeight="true" outlineLevel="0" collapsed="false">
      <c r="A503" s="89"/>
      <c r="O503" s="90"/>
    </row>
    <row r="504" customFormat="false" ht="15.75" hidden="false" customHeight="true" outlineLevel="0" collapsed="false">
      <c r="A504" s="89"/>
      <c r="O504" s="90"/>
    </row>
    <row r="505" customFormat="false" ht="15.75" hidden="false" customHeight="true" outlineLevel="0" collapsed="false">
      <c r="A505" s="89"/>
      <c r="O505" s="90"/>
    </row>
    <row r="506" customFormat="false" ht="15.75" hidden="false" customHeight="true" outlineLevel="0" collapsed="false">
      <c r="A506" s="89"/>
      <c r="O506" s="90"/>
    </row>
    <row r="507" customFormat="false" ht="15.75" hidden="false" customHeight="true" outlineLevel="0" collapsed="false">
      <c r="A507" s="89"/>
      <c r="O507" s="90"/>
    </row>
    <row r="508" customFormat="false" ht="15.75" hidden="false" customHeight="true" outlineLevel="0" collapsed="false">
      <c r="A508" s="89"/>
      <c r="O508" s="90"/>
    </row>
    <row r="509" customFormat="false" ht="15.75" hidden="false" customHeight="true" outlineLevel="0" collapsed="false">
      <c r="A509" s="89"/>
      <c r="O509" s="90"/>
    </row>
    <row r="510" customFormat="false" ht="15.75" hidden="false" customHeight="true" outlineLevel="0" collapsed="false">
      <c r="A510" s="89"/>
      <c r="O510" s="90"/>
    </row>
    <row r="511" customFormat="false" ht="15.75" hidden="false" customHeight="true" outlineLevel="0" collapsed="false">
      <c r="A511" s="89"/>
      <c r="O511" s="90"/>
    </row>
    <row r="512" customFormat="false" ht="15.75" hidden="false" customHeight="true" outlineLevel="0" collapsed="false">
      <c r="A512" s="89"/>
      <c r="O512" s="90"/>
    </row>
    <row r="513" customFormat="false" ht="15.75" hidden="false" customHeight="true" outlineLevel="0" collapsed="false">
      <c r="A513" s="89"/>
      <c r="O513" s="90"/>
    </row>
    <row r="514" customFormat="false" ht="15.75" hidden="false" customHeight="true" outlineLevel="0" collapsed="false">
      <c r="A514" s="89"/>
      <c r="O514" s="90"/>
    </row>
    <row r="515" customFormat="false" ht="15.75" hidden="false" customHeight="true" outlineLevel="0" collapsed="false">
      <c r="A515" s="89"/>
      <c r="O515" s="90"/>
    </row>
    <row r="516" customFormat="false" ht="15.75" hidden="false" customHeight="true" outlineLevel="0" collapsed="false">
      <c r="A516" s="89"/>
      <c r="O516" s="90"/>
    </row>
    <row r="517" customFormat="false" ht="15.75" hidden="false" customHeight="true" outlineLevel="0" collapsed="false">
      <c r="A517" s="89"/>
      <c r="O517" s="90"/>
    </row>
    <row r="518" customFormat="false" ht="15.75" hidden="false" customHeight="true" outlineLevel="0" collapsed="false">
      <c r="A518" s="89"/>
      <c r="O518" s="90"/>
    </row>
    <row r="519" customFormat="false" ht="15.75" hidden="false" customHeight="true" outlineLevel="0" collapsed="false">
      <c r="A519" s="89"/>
      <c r="O519" s="90"/>
    </row>
    <row r="520" customFormat="false" ht="15.75" hidden="false" customHeight="true" outlineLevel="0" collapsed="false">
      <c r="A520" s="89"/>
      <c r="O520" s="90"/>
    </row>
    <row r="521" customFormat="false" ht="15.75" hidden="false" customHeight="true" outlineLevel="0" collapsed="false">
      <c r="A521" s="89"/>
      <c r="O521" s="90"/>
    </row>
    <row r="522" customFormat="false" ht="15.75" hidden="false" customHeight="true" outlineLevel="0" collapsed="false">
      <c r="A522" s="89"/>
      <c r="O522" s="90"/>
    </row>
    <row r="523" customFormat="false" ht="15.75" hidden="false" customHeight="true" outlineLevel="0" collapsed="false">
      <c r="A523" s="89"/>
      <c r="O523" s="90"/>
    </row>
    <row r="524" customFormat="false" ht="15.75" hidden="false" customHeight="true" outlineLevel="0" collapsed="false">
      <c r="A524" s="89"/>
      <c r="O524" s="90"/>
    </row>
    <row r="525" customFormat="false" ht="15.75" hidden="false" customHeight="true" outlineLevel="0" collapsed="false">
      <c r="A525" s="89"/>
      <c r="O525" s="90"/>
    </row>
    <row r="526" customFormat="false" ht="15.75" hidden="false" customHeight="true" outlineLevel="0" collapsed="false">
      <c r="A526" s="89"/>
      <c r="O526" s="90"/>
    </row>
    <row r="527" customFormat="false" ht="15.75" hidden="false" customHeight="true" outlineLevel="0" collapsed="false">
      <c r="A527" s="89"/>
      <c r="O527" s="90"/>
    </row>
    <row r="528" customFormat="false" ht="15.75" hidden="false" customHeight="true" outlineLevel="0" collapsed="false">
      <c r="A528" s="89"/>
      <c r="O528" s="90"/>
    </row>
    <row r="529" customFormat="false" ht="15.75" hidden="false" customHeight="true" outlineLevel="0" collapsed="false">
      <c r="A529" s="89"/>
      <c r="O529" s="90"/>
    </row>
    <row r="530" customFormat="false" ht="15.75" hidden="false" customHeight="true" outlineLevel="0" collapsed="false">
      <c r="A530" s="89"/>
      <c r="O530" s="90"/>
    </row>
    <row r="531" customFormat="false" ht="15.75" hidden="false" customHeight="true" outlineLevel="0" collapsed="false">
      <c r="A531" s="89"/>
      <c r="O531" s="90"/>
    </row>
    <row r="532" customFormat="false" ht="15.75" hidden="false" customHeight="true" outlineLevel="0" collapsed="false">
      <c r="A532" s="89"/>
      <c r="O532" s="90"/>
    </row>
    <row r="533" customFormat="false" ht="15.75" hidden="false" customHeight="true" outlineLevel="0" collapsed="false">
      <c r="A533" s="89"/>
      <c r="O533" s="90"/>
    </row>
    <row r="534" customFormat="false" ht="15.75" hidden="false" customHeight="true" outlineLevel="0" collapsed="false">
      <c r="A534" s="89"/>
      <c r="O534" s="90"/>
    </row>
    <row r="535" customFormat="false" ht="15.75" hidden="false" customHeight="true" outlineLevel="0" collapsed="false">
      <c r="A535" s="89"/>
      <c r="O535" s="90"/>
    </row>
    <row r="536" customFormat="false" ht="15.75" hidden="false" customHeight="true" outlineLevel="0" collapsed="false">
      <c r="A536" s="89"/>
      <c r="O536" s="90"/>
    </row>
    <row r="537" customFormat="false" ht="15.75" hidden="false" customHeight="true" outlineLevel="0" collapsed="false">
      <c r="A537" s="89"/>
      <c r="O537" s="90"/>
    </row>
    <row r="538" customFormat="false" ht="15.75" hidden="false" customHeight="true" outlineLevel="0" collapsed="false">
      <c r="A538" s="89"/>
      <c r="O538" s="90"/>
    </row>
    <row r="539" customFormat="false" ht="15.75" hidden="false" customHeight="true" outlineLevel="0" collapsed="false">
      <c r="A539" s="89"/>
      <c r="O539" s="90"/>
    </row>
    <row r="540" customFormat="false" ht="15.75" hidden="false" customHeight="true" outlineLevel="0" collapsed="false">
      <c r="A540" s="89"/>
      <c r="O540" s="90"/>
    </row>
    <row r="541" customFormat="false" ht="15.75" hidden="false" customHeight="true" outlineLevel="0" collapsed="false">
      <c r="A541" s="89"/>
      <c r="O541" s="90"/>
    </row>
    <row r="542" customFormat="false" ht="15.75" hidden="false" customHeight="true" outlineLevel="0" collapsed="false">
      <c r="A542" s="89"/>
      <c r="O542" s="90"/>
    </row>
    <row r="543" customFormat="false" ht="15.75" hidden="false" customHeight="true" outlineLevel="0" collapsed="false">
      <c r="A543" s="89"/>
      <c r="O543" s="90"/>
    </row>
    <row r="544" customFormat="false" ht="15.75" hidden="false" customHeight="true" outlineLevel="0" collapsed="false">
      <c r="A544" s="89"/>
      <c r="O544" s="90"/>
    </row>
    <row r="545" customFormat="false" ht="15.75" hidden="false" customHeight="true" outlineLevel="0" collapsed="false">
      <c r="A545" s="89"/>
      <c r="O545" s="90"/>
    </row>
    <row r="546" customFormat="false" ht="15.75" hidden="false" customHeight="true" outlineLevel="0" collapsed="false">
      <c r="A546" s="89"/>
      <c r="O546" s="90"/>
    </row>
    <row r="547" customFormat="false" ht="15.75" hidden="false" customHeight="true" outlineLevel="0" collapsed="false">
      <c r="A547" s="89"/>
      <c r="O547" s="90"/>
    </row>
    <row r="548" customFormat="false" ht="15.75" hidden="false" customHeight="true" outlineLevel="0" collapsed="false">
      <c r="A548" s="89"/>
      <c r="O548" s="90"/>
    </row>
    <row r="549" customFormat="false" ht="15.75" hidden="false" customHeight="true" outlineLevel="0" collapsed="false">
      <c r="A549" s="89"/>
      <c r="O549" s="90"/>
    </row>
    <row r="550" customFormat="false" ht="15.75" hidden="false" customHeight="true" outlineLevel="0" collapsed="false">
      <c r="A550" s="89"/>
      <c r="O550" s="90"/>
    </row>
    <row r="551" customFormat="false" ht="15.75" hidden="false" customHeight="true" outlineLevel="0" collapsed="false">
      <c r="A551" s="89"/>
      <c r="O551" s="90"/>
    </row>
    <row r="552" customFormat="false" ht="15.75" hidden="false" customHeight="true" outlineLevel="0" collapsed="false">
      <c r="A552" s="89"/>
      <c r="O552" s="90"/>
    </row>
    <row r="553" customFormat="false" ht="15.75" hidden="false" customHeight="true" outlineLevel="0" collapsed="false">
      <c r="A553" s="89"/>
      <c r="O553" s="90"/>
    </row>
    <row r="554" customFormat="false" ht="15.75" hidden="false" customHeight="true" outlineLevel="0" collapsed="false">
      <c r="A554" s="89"/>
      <c r="O554" s="90"/>
    </row>
    <row r="555" customFormat="false" ht="15.75" hidden="false" customHeight="true" outlineLevel="0" collapsed="false">
      <c r="A555" s="89"/>
      <c r="O555" s="90"/>
    </row>
    <row r="556" customFormat="false" ht="15.75" hidden="false" customHeight="true" outlineLevel="0" collapsed="false">
      <c r="A556" s="89"/>
      <c r="O556" s="90"/>
    </row>
    <row r="557" customFormat="false" ht="15.75" hidden="false" customHeight="true" outlineLevel="0" collapsed="false">
      <c r="A557" s="89"/>
      <c r="O557" s="90"/>
    </row>
    <row r="558" customFormat="false" ht="15.75" hidden="false" customHeight="true" outlineLevel="0" collapsed="false">
      <c r="A558" s="89"/>
      <c r="O558" s="90"/>
    </row>
    <row r="559" customFormat="false" ht="15.75" hidden="false" customHeight="true" outlineLevel="0" collapsed="false">
      <c r="A559" s="89"/>
      <c r="O559" s="90"/>
    </row>
    <row r="560" customFormat="false" ht="15.75" hidden="false" customHeight="true" outlineLevel="0" collapsed="false">
      <c r="A560" s="89"/>
      <c r="O560" s="90"/>
    </row>
    <row r="561" customFormat="false" ht="15.75" hidden="false" customHeight="true" outlineLevel="0" collapsed="false">
      <c r="A561" s="89"/>
      <c r="O561" s="90"/>
    </row>
    <row r="562" customFormat="false" ht="15.75" hidden="false" customHeight="true" outlineLevel="0" collapsed="false">
      <c r="A562" s="89"/>
      <c r="O562" s="90"/>
    </row>
    <row r="563" customFormat="false" ht="15.75" hidden="false" customHeight="true" outlineLevel="0" collapsed="false">
      <c r="A563" s="89"/>
      <c r="O563" s="90"/>
    </row>
    <row r="564" customFormat="false" ht="15.75" hidden="false" customHeight="true" outlineLevel="0" collapsed="false">
      <c r="A564" s="89"/>
      <c r="O564" s="90"/>
    </row>
    <row r="565" customFormat="false" ht="15.75" hidden="false" customHeight="true" outlineLevel="0" collapsed="false">
      <c r="A565" s="89"/>
      <c r="O565" s="90"/>
    </row>
    <row r="566" customFormat="false" ht="15.75" hidden="false" customHeight="true" outlineLevel="0" collapsed="false">
      <c r="A566" s="89"/>
      <c r="O566" s="90"/>
    </row>
    <row r="567" customFormat="false" ht="15.75" hidden="false" customHeight="true" outlineLevel="0" collapsed="false">
      <c r="A567" s="89"/>
      <c r="O567" s="90"/>
    </row>
    <row r="568" customFormat="false" ht="15.75" hidden="false" customHeight="true" outlineLevel="0" collapsed="false">
      <c r="A568" s="89"/>
      <c r="O568" s="90"/>
    </row>
    <row r="569" customFormat="false" ht="15.75" hidden="false" customHeight="true" outlineLevel="0" collapsed="false">
      <c r="A569" s="89"/>
      <c r="O569" s="90"/>
    </row>
    <row r="570" customFormat="false" ht="15.75" hidden="false" customHeight="true" outlineLevel="0" collapsed="false">
      <c r="A570" s="89"/>
      <c r="O570" s="90"/>
    </row>
    <row r="571" customFormat="false" ht="15.75" hidden="false" customHeight="true" outlineLevel="0" collapsed="false">
      <c r="A571" s="89"/>
      <c r="O571" s="90"/>
    </row>
    <row r="572" customFormat="false" ht="15.75" hidden="false" customHeight="true" outlineLevel="0" collapsed="false">
      <c r="A572" s="89"/>
      <c r="O572" s="90"/>
    </row>
    <row r="573" customFormat="false" ht="15.75" hidden="false" customHeight="true" outlineLevel="0" collapsed="false">
      <c r="A573" s="89"/>
      <c r="O573" s="90"/>
    </row>
    <row r="574" customFormat="false" ht="15.75" hidden="false" customHeight="true" outlineLevel="0" collapsed="false">
      <c r="A574" s="89"/>
      <c r="O574" s="90"/>
    </row>
    <row r="575" customFormat="false" ht="15.75" hidden="false" customHeight="true" outlineLevel="0" collapsed="false">
      <c r="A575" s="89"/>
      <c r="O575" s="90"/>
    </row>
    <row r="576" customFormat="false" ht="15.75" hidden="false" customHeight="true" outlineLevel="0" collapsed="false">
      <c r="A576" s="89"/>
      <c r="O576" s="90"/>
    </row>
    <row r="577" customFormat="false" ht="15.75" hidden="false" customHeight="true" outlineLevel="0" collapsed="false">
      <c r="A577" s="89"/>
      <c r="O577" s="90"/>
    </row>
    <row r="578" customFormat="false" ht="15.75" hidden="false" customHeight="true" outlineLevel="0" collapsed="false">
      <c r="A578" s="89"/>
      <c r="O578" s="90"/>
    </row>
    <row r="579" customFormat="false" ht="15.75" hidden="false" customHeight="true" outlineLevel="0" collapsed="false">
      <c r="A579" s="89"/>
      <c r="O579" s="90"/>
    </row>
    <row r="580" customFormat="false" ht="15.75" hidden="false" customHeight="true" outlineLevel="0" collapsed="false">
      <c r="A580" s="89"/>
      <c r="O580" s="90"/>
    </row>
    <row r="581" customFormat="false" ht="15.75" hidden="false" customHeight="true" outlineLevel="0" collapsed="false">
      <c r="A581" s="89"/>
      <c r="O581" s="90"/>
    </row>
    <row r="582" customFormat="false" ht="15.75" hidden="false" customHeight="true" outlineLevel="0" collapsed="false">
      <c r="A582" s="89"/>
      <c r="O582" s="90"/>
    </row>
    <row r="583" customFormat="false" ht="15.75" hidden="false" customHeight="true" outlineLevel="0" collapsed="false">
      <c r="A583" s="89"/>
      <c r="O583" s="90"/>
    </row>
    <row r="584" customFormat="false" ht="15.75" hidden="false" customHeight="true" outlineLevel="0" collapsed="false">
      <c r="A584" s="89"/>
      <c r="O584" s="90"/>
    </row>
    <row r="585" customFormat="false" ht="15.75" hidden="false" customHeight="true" outlineLevel="0" collapsed="false">
      <c r="A585" s="89"/>
      <c r="O585" s="90"/>
    </row>
    <row r="586" customFormat="false" ht="15.75" hidden="false" customHeight="true" outlineLevel="0" collapsed="false">
      <c r="A586" s="89"/>
      <c r="O586" s="90"/>
    </row>
    <row r="587" customFormat="false" ht="15.75" hidden="false" customHeight="true" outlineLevel="0" collapsed="false">
      <c r="A587" s="89"/>
      <c r="O587" s="90"/>
    </row>
    <row r="588" customFormat="false" ht="15.75" hidden="false" customHeight="true" outlineLevel="0" collapsed="false">
      <c r="A588" s="89"/>
      <c r="O588" s="90"/>
    </row>
    <row r="589" customFormat="false" ht="15.75" hidden="false" customHeight="true" outlineLevel="0" collapsed="false">
      <c r="A589" s="89"/>
      <c r="O589" s="90"/>
    </row>
    <row r="590" customFormat="false" ht="15.75" hidden="false" customHeight="true" outlineLevel="0" collapsed="false">
      <c r="A590" s="89"/>
      <c r="O590" s="90"/>
    </row>
    <row r="591" customFormat="false" ht="15.75" hidden="false" customHeight="true" outlineLevel="0" collapsed="false">
      <c r="A591" s="89"/>
      <c r="O591" s="90"/>
    </row>
    <row r="592" customFormat="false" ht="15.75" hidden="false" customHeight="true" outlineLevel="0" collapsed="false">
      <c r="A592" s="89"/>
      <c r="O592" s="90"/>
    </row>
    <row r="593" customFormat="false" ht="15.75" hidden="false" customHeight="true" outlineLevel="0" collapsed="false">
      <c r="A593" s="89"/>
      <c r="O593" s="90"/>
    </row>
    <row r="594" customFormat="false" ht="15.75" hidden="false" customHeight="true" outlineLevel="0" collapsed="false">
      <c r="A594" s="89"/>
      <c r="O594" s="90"/>
    </row>
    <row r="595" customFormat="false" ht="15.75" hidden="false" customHeight="true" outlineLevel="0" collapsed="false">
      <c r="A595" s="89"/>
      <c r="O595" s="90"/>
    </row>
    <row r="596" customFormat="false" ht="15.75" hidden="false" customHeight="true" outlineLevel="0" collapsed="false">
      <c r="A596" s="89"/>
      <c r="O596" s="90"/>
    </row>
    <row r="597" customFormat="false" ht="15.75" hidden="false" customHeight="true" outlineLevel="0" collapsed="false">
      <c r="A597" s="89"/>
      <c r="O597" s="90"/>
    </row>
    <row r="598" customFormat="false" ht="15.75" hidden="false" customHeight="true" outlineLevel="0" collapsed="false">
      <c r="A598" s="89"/>
      <c r="O598" s="90"/>
    </row>
    <row r="599" customFormat="false" ht="15.75" hidden="false" customHeight="true" outlineLevel="0" collapsed="false">
      <c r="A599" s="89"/>
      <c r="O599" s="90"/>
    </row>
    <row r="600" customFormat="false" ht="15.75" hidden="false" customHeight="true" outlineLevel="0" collapsed="false">
      <c r="A600" s="89"/>
      <c r="O600" s="90"/>
    </row>
    <row r="601" customFormat="false" ht="15.75" hidden="false" customHeight="true" outlineLevel="0" collapsed="false">
      <c r="A601" s="89"/>
      <c r="O601" s="90"/>
    </row>
    <row r="602" customFormat="false" ht="15.75" hidden="false" customHeight="true" outlineLevel="0" collapsed="false">
      <c r="A602" s="89"/>
      <c r="O602" s="90"/>
    </row>
    <row r="603" customFormat="false" ht="15.75" hidden="false" customHeight="true" outlineLevel="0" collapsed="false">
      <c r="A603" s="89"/>
      <c r="O603" s="90"/>
    </row>
    <row r="604" customFormat="false" ht="15.75" hidden="false" customHeight="true" outlineLevel="0" collapsed="false">
      <c r="A604" s="89"/>
      <c r="O604" s="90"/>
    </row>
    <row r="605" customFormat="false" ht="15.75" hidden="false" customHeight="true" outlineLevel="0" collapsed="false">
      <c r="A605" s="89"/>
      <c r="O605" s="90"/>
    </row>
    <row r="606" customFormat="false" ht="15.75" hidden="false" customHeight="true" outlineLevel="0" collapsed="false">
      <c r="A606" s="89"/>
      <c r="O606" s="90"/>
    </row>
    <row r="607" customFormat="false" ht="15.75" hidden="false" customHeight="true" outlineLevel="0" collapsed="false">
      <c r="A607" s="89"/>
      <c r="O607" s="90"/>
    </row>
    <row r="608" customFormat="false" ht="15.75" hidden="false" customHeight="true" outlineLevel="0" collapsed="false">
      <c r="A608" s="89"/>
      <c r="O608" s="90"/>
    </row>
    <row r="609" customFormat="false" ht="15.75" hidden="false" customHeight="true" outlineLevel="0" collapsed="false">
      <c r="A609" s="89"/>
      <c r="O609" s="90"/>
    </row>
    <row r="610" customFormat="false" ht="15.75" hidden="false" customHeight="true" outlineLevel="0" collapsed="false">
      <c r="A610" s="89"/>
      <c r="O610" s="90"/>
    </row>
    <row r="611" customFormat="false" ht="15.75" hidden="false" customHeight="true" outlineLevel="0" collapsed="false">
      <c r="A611" s="89"/>
      <c r="O611" s="90"/>
    </row>
    <row r="612" customFormat="false" ht="15.75" hidden="false" customHeight="true" outlineLevel="0" collapsed="false">
      <c r="A612" s="89"/>
      <c r="O612" s="90"/>
    </row>
    <row r="613" customFormat="false" ht="15.75" hidden="false" customHeight="true" outlineLevel="0" collapsed="false">
      <c r="A613" s="89"/>
      <c r="O613" s="90"/>
    </row>
    <row r="614" customFormat="false" ht="15.75" hidden="false" customHeight="true" outlineLevel="0" collapsed="false">
      <c r="A614" s="89"/>
      <c r="O614" s="90"/>
    </row>
    <row r="615" customFormat="false" ht="15.75" hidden="false" customHeight="true" outlineLevel="0" collapsed="false">
      <c r="A615" s="89"/>
      <c r="O615" s="90"/>
    </row>
    <row r="616" customFormat="false" ht="15.75" hidden="false" customHeight="true" outlineLevel="0" collapsed="false">
      <c r="A616" s="89"/>
      <c r="O616" s="90"/>
    </row>
    <row r="617" customFormat="false" ht="15.75" hidden="false" customHeight="true" outlineLevel="0" collapsed="false">
      <c r="A617" s="89"/>
      <c r="O617" s="90"/>
    </row>
    <row r="618" customFormat="false" ht="15.75" hidden="false" customHeight="true" outlineLevel="0" collapsed="false">
      <c r="A618" s="89"/>
      <c r="O618" s="90"/>
    </row>
    <row r="619" customFormat="false" ht="15.75" hidden="false" customHeight="true" outlineLevel="0" collapsed="false">
      <c r="A619" s="89"/>
      <c r="O619" s="90"/>
    </row>
    <row r="620" customFormat="false" ht="15.75" hidden="false" customHeight="true" outlineLevel="0" collapsed="false">
      <c r="A620" s="89"/>
      <c r="O620" s="90"/>
    </row>
    <row r="621" customFormat="false" ht="15.75" hidden="false" customHeight="true" outlineLevel="0" collapsed="false">
      <c r="A621" s="89"/>
      <c r="O621" s="90"/>
    </row>
    <row r="622" customFormat="false" ht="15.75" hidden="false" customHeight="true" outlineLevel="0" collapsed="false">
      <c r="A622" s="89"/>
      <c r="O622" s="90"/>
    </row>
    <row r="623" customFormat="false" ht="15.75" hidden="false" customHeight="true" outlineLevel="0" collapsed="false">
      <c r="A623" s="89"/>
      <c r="O623" s="90"/>
    </row>
    <row r="624" customFormat="false" ht="15.75" hidden="false" customHeight="true" outlineLevel="0" collapsed="false">
      <c r="A624" s="89"/>
      <c r="O624" s="90"/>
    </row>
    <row r="625" customFormat="false" ht="15.75" hidden="false" customHeight="true" outlineLevel="0" collapsed="false">
      <c r="A625" s="89"/>
      <c r="O625" s="90"/>
    </row>
    <row r="626" customFormat="false" ht="15.75" hidden="false" customHeight="true" outlineLevel="0" collapsed="false">
      <c r="A626" s="89"/>
      <c r="O626" s="90"/>
    </row>
    <row r="627" customFormat="false" ht="15.75" hidden="false" customHeight="true" outlineLevel="0" collapsed="false">
      <c r="A627" s="89"/>
      <c r="O627" s="90"/>
    </row>
    <row r="628" customFormat="false" ht="15.75" hidden="false" customHeight="true" outlineLevel="0" collapsed="false">
      <c r="A628" s="89"/>
      <c r="O628" s="90"/>
    </row>
    <row r="629" customFormat="false" ht="15.75" hidden="false" customHeight="true" outlineLevel="0" collapsed="false">
      <c r="A629" s="89"/>
      <c r="O629" s="90"/>
    </row>
    <row r="630" customFormat="false" ht="15.75" hidden="false" customHeight="true" outlineLevel="0" collapsed="false">
      <c r="A630" s="89"/>
      <c r="O630" s="90"/>
    </row>
    <row r="631" customFormat="false" ht="15.75" hidden="false" customHeight="true" outlineLevel="0" collapsed="false">
      <c r="A631" s="89"/>
      <c r="O631" s="90"/>
    </row>
    <row r="632" customFormat="false" ht="15.75" hidden="false" customHeight="true" outlineLevel="0" collapsed="false">
      <c r="A632" s="89"/>
      <c r="O632" s="90"/>
    </row>
    <row r="633" customFormat="false" ht="15.75" hidden="false" customHeight="true" outlineLevel="0" collapsed="false">
      <c r="A633" s="89"/>
      <c r="O633" s="90"/>
    </row>
    <row r="634" customFormat="false" ht="15.75" hidden="false" customHeight="true" outlineLevel="0" collapsed="false">
      <c r="A634" s="89"/>
      <c r="O634" s="90"/>
    </row>
    <row r="635" customFormat="false" ht="15.75" hidden="false" customHeight="true" outlineLevel="0" collapsed="false">
      <c r="A635" s="89"/>
      <c r="O635" s="90"/>
    </row>
    <row r="636" customFormat="false" ht="15.75" hidden="false" customHeight="true" outlineLevel="0" collapsed="false">
      <c r="A636" s="89"/>
      <c r="O636" s="90"/>
    </row>
    <row r="637" customFormat="false" ht="15.75" hidden="false" customHeight="true" outlineLevel="0" collapsed="false">
      <c r="A637" s="89"/>
      <c r="O637" s="90"/>
    </row>
    <row r="638" customFormat="false" ht="15.75" hidden="false" customHeight="true" outlineLevel="0" collapsed="false">
      <c r="A638" s="89"/>
      <c r="O638" s="90"/>
    </row>
    <row r="639" customFormat="false" ht="15.75" hidden="false" customHeight="true" outlineLevel="0" collapsed="false">
      <c r="A639" s="89"/>
      <c r="O639" s="90"/>
    </row>
    <row r="640" customFormat="false" ht="15.75" hidden="false" customHeight="true" outlineLevel="0" collapsed="false">
      <c r="A640" s="89"/>
      <c r="O640" s="90"/>
    </row>
    <row r="641" customFormat="false" ht="15.75" hidden="false" customHeight="true" outlineLevel="0" collapsed="false">
      <c r="A641" s="89"/>
      <c r="O641" s="90"/>
    </row>
    <row r="642" customFormat="false" ht="15.75" hidden="false" customHeight="true" outlineLevel="0" collapsed="false">
      <c r="A642" s="89"/>
      <c r="O642" s="90"/>
    </row>
    <row r="643" customFormat="false" ht="15.75" hidden="false" customHeight="true" outlineLevel="0" collapsed="false">
      <c r="A643" s="89"/>
      <c r="O643" s="90"/>
    </row>
    <row r="644" customFormat="false" ht="15.75" hidden="false" customHeight="true" outlineLevel="0" collapsed="false">
      <c r="A644" s="89"/>
      <c r="O644" s="90"/>
    </row>
    <row r="645" customFormat="false" ht="15.75" hidden="false" customHeight="true" outlineLevel="0" collapsed="false">
      <c r="A645" s="89"/>
      <c r="O645" s="90"/>
    </row>
    <row r="646" customFormat="false" ht="15.75" hidden="false" customHeight="true" outlineLevel="0" collapsed="false">
      <c r="A646" s="89"/>
      <c r="O646" s="90"/>
    </row>
    <row r="647" customFormat="false" ht="15.75" hidden="false" customHeight="true" outlineLevel="0" collapsed="false">
      <c r="A647" s="89"/>
      <c r="O647" s="90"/>
    </row>
    <row r="648" customFormat="false" ht="15.75" hidden="false" customHeight="true" outlineLevel="0" collapsed="false">
      <c r="A648" s="89"/>
      <c r="O648" s="90"/>
    </row>
    <row r="649" customFormat="false" ht="15.75" hidden="false" customHeight="true" outlineLevel="0" collapsed="false">
      <c r="A649" s="89"/>
      <c r="O649" s="90"/>
    </row>
    <row r="650" customFormat="false" ht="15.75" hidden="false" customHeight="true" outlineLevel="0" collapsed="false">
      <c r="A650" s="89"/>
      <c r="O650" s="90"/>
    </row>
    <row r="651" customFormat="false" ht="15.75" hidden="false" customHeight="true" outlineLevel="0" collapsed="false">
      <c r="A651" s="89"/>
      <c r="O651" s="90"/>
    </row>
    <row r="652" customFormat="false" ht="15.75" hidden="false" customHeight="true" outlineLevel="0" collapsed="false">
      <c r="A652" s="89"/>
      <c r="O652" s="90"/>
    </row>
    <row r="653" customFormat="false" ht="15.75" hidden="false" customHeight="true" outlineLevel="0" collapsed="false">
      <c r="A653" s="89"/>
      <c r="O653" s="90"/>
    </row>
    <row r="654" customFormat="false" ht="15.75" hidden="false" customHeight="true" outlineLevel="0" collapsed="false">
      <c r="A654" s="89"/>
      <c r="O654" s="90"/>
    </row>
    <row r="655" customFormat="false" ht="15.75" hidden="false" customHeight="true" outlineLevel="0" collapsed="false">
      <c r="A655" s="89"/>
      <c r="O655" s="90"/>
    </row>
    <row r="656" customFormat="false" ht="15.75" hidden="false" customHeight="true" outlineLevel="0" collapsed="false">
      <c r="A656" s="89"/>
      <c r="O656" s="90"/>
    </row>
    <row r="657" customFormat="false" ht="15.75" hidden="false" customHeight="true" outlineLevel="0" collapsed="false">
      <c r="A657" s="89"/>
      <c r="O657" s="90"/>
    </row>
    <row r="658" customFormat="false" ht="15.75" hidden="false" customHeight="true" outlineLevel="0" collapsed="false">
      <c r="A658" s="89"/>
      <c r="O658" s="90"/>
    </row>
    <row r="659" customFormat="false" ht="15.75" hidden="false" customHeight="true" outlineLevel="0" collapsed="false">
      <c r="A659" s="89"/>
      <c r="O659" s="90"/>
    </row>
    <row r="660" customFormat="false" ht="15.75" hidden="false" customHeight="true" outlineLevel="0" collapsed="false">
      <c r="A660" s="89"/>
      <c r="O660" s="90"/>
    </row>
    <row r="661" customFormat="false" ht="15.75" hidden="false" customHeight="true" outlineLevel="0" collapsed="false">
      <c r="A661" s="89"/>
      <c r="O661" s="90"/>
    </row>
    <row r="662" customFormat="false" ht="15.75" hidden="false" customHeight="true" outlineLevel="0" collapsed="false">
      <c r="A662" s="89"/>
      <c r="O662" s="90"/>
    </row>
    <row r="663" customFormat="false" ht="15.75" hidden="false" customHeight="true" outlineLevel="0" collapsed="false">
      <c r="A663" s="89"/>
      <c r="O663" s="90"/>
    </row>
    <row r="664" customFormat="false" ht="15.75" hidden="false" customHeight="true" outlineLevel="0" collapsed="false">
      <c r="A664" s="89"/>
      <c r="O664" s="90"/>
    </row>
    <row r="665" customFormat="false" ht="15.75" hidden="false" customHeight="true" outlineLevel="0" collapsed="false">
      <c r="A665" s="89"/>
      <c r="O665" s="90"/>
    </row>
    <row r="666" customFormat="false" ht="15.75" hidden="false" customHeight="true" outlineLevel="0" collapsed="false">
      <c r="A666" s="89"/>
      <c r="O666" s="90"/>
    </row>
    <row r="667" customFormat="false" ht="15.75" hidden="false" customHeight="true" outlineLevel="0" collapsed="false">
      <c r="A667" s="89"/>
      <c r="O667" s="90"/>
    </row>
    <row r="668" customFormat="false" ht="15.75" hidden="false" customHeight="true" outlineLevel="0" collapsed="false">
      <c r="A668" s="89"/>
      <c r="O668" s="90"/>
    </row>
    <row r="669" customFormat="false" ht="15.75" hidden="false" customHeight="true" outlineLevel="0" collapsed="false">
      <c r="A669" s="89"/>
      <c r="O669" s="90"/>
    </row>
    <row r="670" customFormat="false" ht="15.75" hidden="false" customHeight="true" outlineLevel="0" collapsed="false">
      <c r="A670" s="89"/>
      <c r="O670" s="90"/>
    </row>
    <row r="671" customFormat="false" ht="15.75" hidden="false" customHeight="true" outlineLevel="0" collapsed="false">
      <c r="A671" s="89"/>
      <c r="O671" s="90"/>
    </row>
    <row r="672" customFormat="false" ht="15.75" hidden="false" customHeight="true" outlineLevel="0" collapsed="false">
      <c r="A672" s="89"/>
      <c r="O672" s="90"/>
    </row>
    <row r="673" customFormat="false" ht="15.75" hidden="false" customHeight="true" outlineLevel="0" collapsed="false">
      <c r="A673" s="89"/>
      <c r="O673" s="90"/>
    </row>
    <row r="674" customFormat="false" ht="15.75" hidden="false" customHeight="true" outlineLevel="0" collapsed="false">
      <c r="A674" s="89"/>
      <c r="O674" s="90"/>
    </row>
    <row r="675" customFormat="false" ht="15.75" hidden="false" customHeight="true" outlineLevel="0" collapsed="false">
      <c r="A675" s="89"/>
      <c r="O675" s="90"/>
    </row>
    <row r="676" customFormat="false" ht="15.75" hidden="false" customHeight="true" outlineLevel="0" collapsed="false">
      <c r="A676" s="89"/>
      <c r="O676" s="90"/>
    </row>
    <row r="677" customFormat="false" ht="15.75" hidden="false" customHeight="true" outlineLevel="0" collapsed="false">
      <c r="A677" s="89"/>
      <c r="O677" s="90"/>
    </row>
    <row r="678" customFormat="false" ht="15.75" hidden="false" customHeight="true" outlineLevel="0" collapsed="false">
      <c r="A678" s="89"/>
      <c r="O678" s="90"/>
    </row>
    <row r="679" customFormat="false" ht="15.75" hidden="false" customHeight="true" outlineLevel="0" collapsed="false">
      <c r="A679" s="89"/>
      <c r="O679" s="90"/>
    </row>
    <row r="680" customFormat="false" ht="15.75" hidden="false" customHeight="true" outlineLevel="0" collapsed="false">
      <c r="A680" s="89"/>
      <c r="O680" s="90"/>
    </row>
    <row r="681" customFormat="false" ht="15.75" hidden="false" customHeight="true" outlineLevel="0" collapsed="false">
      <c r="A681" s="89"/>
      <c r="O681" s="90"/>
    </row>
    <row r="682" customFormat="false" ht="15.75" hidden="false" customHeight="true" outlineLevel="0" collapsed="false">
      <c r="A682" s="89"/>
      <c r="O682" s="90"/>
    </row>
    <row r="683" customFormat="false" ht="15.75" hidden="false" customHeight="true" outlineLevel="0" collapsed="false">
      <c r="A683" s="89"/>
      <c r="O683" s="90"/>
    </row>
    <row r="684" customFormat="false" ht="15.75" hidden="false" customHeight="true" outlineLevel="0" collapsed="false">
      <c r="A684" s="89"/>
      <c r="O684" s="90"/>
    </row>
    <row r="685" customFormat="false" ht="15.75" hidden="false" customHeight="true" outlineLevel="0" collapsed="false">
      <c r="A685" s="89"/>
      <c r="O685" s="90"/>
    </row>
    <row r="686" customFormat="false" ht="15.75" hidden="false" customHeight="true" outlineLevel="0" collapsed="false">
      <c r="A686" s="89"/>
      <c r="O686" s="90"/>
    </row>
    <row r="687" customFormat="false" ht="15.75" hidden="false" customHeight="true" outlineLevel="0" collapsed="false">
      <c r="A687" s="89"/>
      <c r="O687" s="90"/>
    </row>
    <row r="688" customFormat="false" ht="15.75" hidden="false" customHeight="true" outlineLevel="0" collapsed="false">
      <c r="A688" s="89"/>
      <c r="O688" s="90"/>
    </row>
    <row r="689" customFormat="false" ht="15.75" hidden="false" customHeight="true" outlineLevel="0" collapsed="false">
      <c r="A689" s="89"/>
      <c r="O689" s="90"/>
    </row>
    <row r="690" customFormat="false" ht="15.75" hidden="false" customHeight="true" outlineLevel="0" collapsed="false">
      <c r="A690" s="89"/>
      <c r="O690" s="90"/>
    </row>
    <row r="691" customFormat="false" ht="15.75" hidden="false" customHeight="true" outlineLevel="0" collapsed="false">
      <c r="A691" s="89"/>
      <c r="O691" s="90"/>
    </row>
    <row r="692" customFormat="false" ht="15.75" hidden="false" customHeight="true" outlineLevel="0" collapsed="false">
      <c r="A692" s="89"/>
      <c r="O692" s="90"/>
    </row>
    <row r="693" customFormat="false" ht="15.75" hidden="false" customHeight="true" outlineLevel="0" collapsed="false">
      <c r="A693" s="89"/>
      <c r="O693" s="90"/>
    </row>
    <row r="694" customFormat="false" ht="15.75" hidden="false" customHeight="true" outlineLevel="0" collapsed="false">
      <c r="A694" s="89"/>
      <c r="O694" s="90"/>
    </row>
    <row r="695" customFormat="false" ht="15.75" hidden="false" customHeight="true" outlineLevel="0" collapsed="false">
      <c r="A695" s="89"/>
      <c r="O695" s="90"/>
    </row>
    <row r="696" customFormat="false" ht="15.75" hidden="false" customHeight="true" outlineLevel="0" collapsed="false">
      <c r="A696" s="89"/>
      <c r="O696" s="90"/>
    </row>
    <row r="697" customFormat="false" ht="15.75" hidden="false" customHeight="true" outlineLevel="0" collapsed="false">
      <c r="A697" s="89"/>
      <c r="O697" s="90"/>
    </row>
    <row r="698" customFormat="false" ht="15.75" hidden="false" customHeight="true" outlineLevel="0" collapsed="false">
      <c r="A698" s="89"/>
      <c r="O698" s="90"/>
    </row>
    <row r="699" customFormat="false" ht="15.75" hidden="false" customHeight="true" outlineLevel="0" collapsed="false">
      <c r="A699" s="89"/>
      <c r="O699" s="90"/>
    </row>
    <row r="700" customFormat="false" ht="15.75" hidden="false" customHeight="true" outlineLevel="0" collapsed="false">
      <c r="A700" s="89"/>
      <c r="O700" s="90"/>
    </row>
    <row r="701" customFormat="false" ht="15.75" hidden="false" customHeight="true" outlineLevel="0" collapsed="false">
      <c r="A701" s="89"/>
      <c r="O701" s="90"/>
    </row>
    <row r="702" customFormat="false" ht="15.75" hidden="false" customHeight="true" outlineLevel="0" collapsed="false">
      <c r="A702" s="89"/>
      <c r="O702" s="90"/>
    </row>
    <row r="703" customFormat="false" ht="15.75" hidden="false" customHeight="true" outlineLevel="0" collapsed="false">
      <c r="A703" s="89"/>
      <c r="O703" s="90"/>
    </row>
    <row r="704" customFormat="false" ht="15.75" hidden="false" customHeight="true" outlineLevel="0" collapsed="false">
      <c r="A704" s="89"/>
      <c r="O704" s="90"/>
    </row>
    <row r="705" customFormat="false" ht="15.75" hidden="false" customHeight="true" outlineLevel="0" collapsed="false">
      <c r="A705" s="89"/>
      <c r="O705" s="90"/>
    </row>
    <row r="706" customFormat="false" ht="15.75" hidden="false" customHeight="true" outlineLevel="0" collapsed="false">
      <c r="A706" s="89"/>
      <c r="O706" s="90"/>
    </row>
    <row r="707" customFormat="false" ht="15.75" hidden="false" customHeight="true" outlineLevel="0" collapsed="false">
      <c r="A707" s="89"/>
      <c r="O707" s="90"/>
    </row>
    <row r="708" customFormat="false" ht="15.75" hidden="false" customHeight="true" outlineLevel="0" collapsed="false">
      <c r="A708" s="89"/>
      <c r="O708" s="90"/>
    </row>
    <row r="709" customFormat="false" ht="15.75" hidden="false" customHeight="true" outlineLevel="0" collapsed="false">
      <c r="A709" s="89"/>
      <c r="O709" s="90"/>
    </row>
    <row r="710" customFormat="false" ht="15.75" hidden="false" customHeight="true" outlineLevel="0" collapsed="false">
      <c r="A710" s="89"/>
      <c r="O710" s="90"/>
    </row>
    <row r="711" customFormat="false" ht="15.75" hidden="false" customHeight="true" outlineLevel="0" collapsed="false">
      <c r="A711" s="89"/>
      <c r="O711" s="90"/>
    </row>
    <row r="712" customFormat="false" ht="15.75" hidden="false" customHeight="true" outlineLevel="0" collapsed="false">
      <c r="A712" s="89"/>
      <c r="O712" s="90"/>
    </row>
    <row r="713" customFormat="false" ht="15.75" hidden="false" customHeight="true" outlineLevel="0" collapsed="false">
      <c r="A713" s="89"/>
      <c r="O713" s="90"/>
    </row>
    <row r="714" customFormat="false" ht="15.75" hidden="false" customHeight="true" outlineLevel="0" collapsed="false">
      <c r="A714" s="89"/>
      <c r="O714" s="90"/>
    </row>
    <row r="715" customFormat="false" ht="15.75" hidden="false" customHeight="true" outlineLevel="0" collapsed="false">
      <c r="A715" s="89"/>
      <c r="O715" s="90"/>
    </row>
    <row r="716" customFormat="false" ht="15.75" hidden="false" customHeight="true" outlineLevel="0" collapsed="false">
      <c r="A716" s="89"/>
      <c r="O716" s="90"/>
    </row>
    <row r="717" customFormat="false" ht="15.75" hidden="false" customHeight="true" outlineLevel="0" collapsed="false">
      <c r="A717" s="89"/>
      <c r="O717" s="90"/>
    </row>
    <row r="718" customFormat="false" ht="15.75" hidden="false" customHeight="true" outlineLevel="0" collapsed="false">
      <c r="A718" s="89"/>
      <c r="O718" s="90"/>
    </row>
    <row r="719" customFormat="false" ht="15.75" hidden="false" customHeight="true" outlineLevel="0" collapsed="false">
      <c r="A719" s="89"/>
      <c r="O719" s="90"/>
    </row>
    <row r="720" customFormat="false" ht="15.75" hidden="false" customHeight="true" outlineLevel="0" collapsed="false">
      <c r="A720" s="89"/>
      <c r="O720" s="90"/>
    </row>
    <row r="721" customFormat="false" ht="15.75" hidden="false" customHeight="true" outlineLevel="0" collapsed="false">
      <c r="A721" s="89"/>
      <c r="O721" s="90"/>
    </row>
    <row r="722" customFormat="false" ht="15.75" hidden="false" customHeight="true" outlineLevel="0" collapsed="false">
      <c r="A722" s="89"/>
      <c r="O722" s="90"/>
    </row>
    <row r="723" customFormat="false" ht="15.75" hidden="false" customHeight="true" outlineLevel="0" collapsed="false">
      <c r="A723" s="89"/>
      <c r="O723" s="90"/>
    </row>
    <row r="724" customFormat="false" ht="15.75" hidden="false" customHeight="true" outlineLevel="0" collapsed="false">
      <c r="A724" s="89"/>
      <c r="O724" s="90"/>
    </row>
    <row r="725" customFormat="false" ht="15.75" hidden="false" customHeight="true" outlineLevel="0" collapsed="false">
      <c r="A725" s="89"/>
      <c r="O725" s="90"/>
    </row>
    <row r="726" customFormat="false" ht="15.75" hidden="false" customHeight="true" outlineLevel="0" collapsed="false">
      <c r="A726" s="89"/>
      <c r="O726" s="90"/>
    </row>
    <row r="727" customFormat="false" ht="15.75" hidden="false" customHeight="true" outlineLevel="0" collapsed="false">
      <c r="A727" s="89"/>
      <c r="O727" s="90"/>
    </row>
    <row r="728" customFormat="false" ht="15.75" hidden="false" customHeight="true" outlineLevel="0" collapsed="false">
      <c r="A728" s="89"/>
      <c r="O728" s="90"/>
    </row>
    <row r="729" customFormat="false" ht="15.75" hidden="false" customHeight="true" outlineLevel="0" collapsed="false">
      <c r="A729" s="89"/>
      <c r="O729" s="90"/>
    </row>
    <row r="730" customFormat="false" ht="15.75" hidden="false" customHeight="true" outlineLevel="0" collapsed="false">
      <c r="A730" s="89"/>
      <c r="O730" s="90"/>
    </row>
    <row r="731" customFormat="false" ht="15.75" hidden="false" customHeight="true" outlineLevel="0" collapsed="false">
      <c r="A731" s="89"/>
      <c r="O731" s="90"/>
    </row>
    <row r="732" customFormat="false" ht="15.75" hidden="false" customHeight="true" outlineLevel="0" collapsed="false">
      <c r="A732" s="89"/>
      <c r="O732" s="90"/>
    </row>
    <row r="733" customFormat="false" ht="15.75" hidden="false" customHeight="true" outlineLevel="0" collapsed="false">
      <c r="A733" s="89"/>
      <c r="O733" s="90"/>
    </row>
    <row r="734" customFormat="false" ht="15.75" hidden="false" customHeight="true" outlineLevel="0" collapsed="false">
      <c r="A734" s="89"/>
      <c r="O734" s="90"/>
    </row>
    <row r="735" customFormat="false" ht="15.75" hidden="false" customHeight="true" outlineLevel="0" collapsed="false">
      <c r="A735" s="89"/>
      <c r="O735" s="90"/>
    </row>
    <row r="736" customFormat="false" ht="15.75" hidden="false" customHeight="true" outlineLevel="0" collapsed="false">
      <c r="A736" s="89"/>
      <c r="O736" s="90"/>
    </row>
    <row r="737" customFormat="false" ht="15.75" hidden="false" customHeight="true" outlineLevel="0" collapsed="false">
      <c r="A737" s="89"/>
      <c r="O737" s="90"/>
    </row>
    <row r="738" customFormat="false" ht="15.75" hidden="false" customHeight="true" outlineLevel="0" collapsed="false">
      <c r="A738" s="89"/>
      <c r="O738" s="90"/>
    </row>
    <row r="739" customFormat="false" ht="15.75" hidden="false" customHeight="true" outlineLevel="0" collapsed="false">
      <c r="A739" s="89"/>
      <c r="O739" s="90"/>
    </row>
    <row r="740" customFormat="false" ht="15.75" hidden="false" customHeight="true" outlineLevel="0" collapsed="false">
      <c r="A740" s="89"/>
      <c r="O740" s="90"/>
    </row>
    <row r="741" customFormat="false" ht="15.75" hidden="false" customHeight="true" outlineLevel="0" collapsed="false">
      <c r="A741" s="89"/>
      <c r="O741" s="90"/>
    </row>
    <row r="742" customFormat="false" ht="15.75" hidden="false" customHeight="true" outlineLevel="0" collapsed="false">
      <c r="A742" s="89"/>
      <c r="O742" s="90"/>
    </row>
    <row r="743" customFormat="false" ht="15.75" hidden="false" customHeight="true" outlineLevel="0" collapsed="false">
      <c r="A743" s="89"/>
      <c r="O743" s="90"/>
    </row>
    <row r="744" customFormat="false" ht="15.75" hidden="false" customHeight="true" outlineLevel="0" collapsed="false">
      <c r="A744" s="89"/>
      <c r="O744" s="90"/>
    </row>
    <row r="745" customFormat="false" ht="15.75" hidden="false" customHeight="true" outlineLevel="0" collapsed="false">
      <c r="A745" s="89"/>
      <c r="O745" s="90"/>
    </row>
    <row r="746" customFormat="false" ht="15.75" hidden="false" customHeight="true" outlineLevel="0" collapsed="false">
      <c r="A746" s="89"/>
      <c r="O746" s="90"/>
    </row>
    <row r="747" customFormat="false" ht="15.75" hidden="false" customHeight="true" outlineLevel="0" collapsed="false">
      <c r="A747" s="89"/>
      <c r="O747" s="90"/>
    </row>
    <row r="748" customFormat="false" ht="15.75" hidden="false" customHeight="true" outlineLevel="0" collapsed="false">
      <c r="A748" s="89"/>
      <c r="O748" s="90"/>
    </row>
    <row r="749" customFormat="false" ht="15.75" hidden="false" customHeight="true" outlineLevel="0" collapsed="false">
      <c r="A749" s="89"/>
      <c r="O749" s="90"/>
    </row>
    <row r="750" customFormat="false" ht="15.75" hidden="false" customHeight="true" outlineLevel="0" collapsed="false">
      <c r="A750" s="89"/>
      <c r="O750" s="90"/>
    </row>
    <row r="751" customFormat="false" ht="15.75" hidden="false" customHeight="true" outlineLevel="0" collapsed="false">
      <c r="A751" s="89"/>
      <c r="O751" s="90"/>
    </row>
    <row r="752" customFormat="false" ht="15.75" hidden="false" customHeight="true" outlineLevel="0" collapsed="false">
      <c r="A752" s="89"/>
      <c r="O752" s="90"/>
    </row>
    <row r="753" customFormat="false" ht="15.75" hidden="false" customHeight="true" outlineLevel="0" collapsed="false">
      <c r="A753" s="89"/>
      <c r="O753" s="90"/>
    </row>
    <row r="754" customFormat="false" ht="15.75" hidden="false" customHeight="true" outlineLevel="0" collapsed="false">
      <c r="A754" s="89"/>
      <c r="O754" s="90"/>
    </row>
    <row r="755" customFormat="false" ht="15.75" hidden="false" customHeight="true" outlineLevel="0" collapsed="false">
      <c r="A755" s="89"/>
      <c r="O755" s="90"/>
    </row>
    <row r="756" customFormat="false" ht="15.75" hidden="false" customHeight="true" outlineLevel="0" collapsed="false">
      <c r="A756" s="89"/>
      <c r="O756" s="90"/>
    </row>
    <row r="757" customFormat="false" ht="15.75" hidden="false" customHeight="true" outlineLevel="0" collapsed="false">
      <c r="A757" s="89"/>
      <c r="O757" s="90"/>
    </row>
    <row r="758" customFormat="false" ht="15.75" hidden="false" customHeight="true" outlineLevel="0" collapsed="false">
      <c r="A758" s="89"/>
      <c r="O758" s="90"/>
    </row>
    <row r="759" customFormat="false" ht="15.75" hidden="false" customHeight="true" outlineLevel="0" collapsed="false">
      <c r="A759" s="89"/>
      <c r="O759" s="90"/>
    </row>
    <row r="760" customFormat="false" ht="15.75" hidden="false" customHeight="true" outlineLevel="0" collapsed="false">
      <c r="A760" s="89"/>
      <c r="O760" s="90"/>
    </row>
    <row r="761" customFormat="false" ht="15.75" hidden="false" customHeight="true" outlineLevel="0" collapsed="false">
      <c r="A761" s="89"/>
      <c r="O761" s="90"/>
    </row>
    <row r="762" customFormat="false" ht="15.75" hidden="false" customHeight="true" outlineLevel="0" collapsed="false">
      <c r="A762" s="89"/>
      <c r="O762" s="90"/>
    </row>
    <row r="763" customFormat="false" ht="15.75" hidden="false" customHeight="true" outlineLevel="0" collapsed="false">
      <c r="A763" s="89"/>
      <c r="O763" s="90"/>
    </row>
    <row r="764" customFormat="false" ht="15.75" hidden="false" customHeight="true" outlineLevel="0" collapsed="false">
      <c r="A764" s="89"/>
      <c r="O764" s="90"/>
    </row>
    <row r="765" customFormat="false" ht="15.75" hidden="false" customHeight="true" outlineLevel="0" collapsed="false">
      <c r="A765" s="89"/>
      <c r="O765" s="90"/>
    </row>
    <row r="766" customFormat="false" ht="15.75" hidden="false" customHeight="true" outlineLevel="0" collapsed="false">
      <c r="A766" s="89"/>
      <c r="O766" s="90"/>
    </row>
    <row r="767" customFormat="false" ht="15.75" hidden="false" customHeight="true" outlineLevel="0" collapsed="false">
      <c r="A767" s="89"/>
      <c r="O767" s="90"/>
    </row>
    <row r="768" customFormat="false" ht="15.75" hidden="false" customHeight="true" outlineLevel="0" collapsed="false">
      <c r="A768" s="89"/>
      <c r="O768" s="90"/>
    </row>
    <row r="769" customFormat="false" ht="15.75" hidden="false" customHeight="true" outlineLevel="0" collapsed="false">
      <c r="A769" s="89"/>
      <c r="O769" s="90"/>
    </row>
    <row r="770" customFormat="false" ht="15.75" hidden="false" customHeight="true" outlineLevel="0" collapsed="false">
      <c r="A770" s="89"/>
      <c r="O770" s="90"/>
    </row>
    <row r="771" customFormat="false" ht="15.75" hidden="false" customHeight="true" outlineLevel="0" collapsed="false">
      <c r="A771" s="89"/>
      <c r="O771" s="90"/>
    </row>
    <row r="772" customFormat="false" ht="15.75" hidden="false" customHeight="true" outlineLevel="0" collapsed="false">
      <c r="A772" s="89"/>
      <c r="O772" s="90"/>
    </row>
    <row r="773" customFormat="false" ht="15.75" hidden="false" customHeight="true" outlineLevel="0" collapsed="false">
      <c r="A773" s="89"/>
      <c r="O773" s="90"/>
    </row>
    <row r="774" customFormat="false" ht="15.75" hidden="false" customHeight="true" outlineLevel="0" collapsed="false">
      <c r="A774" s="89"/>
      <c r="O774" s="90"/>
    </row>
    <row r="775" customFormat="false" ht="15.75" hidden="false" customHeight="true" outlineLevel="0" collapsed="false">
      <c r="A775" s="89"/>
      <c r="O775" s="90"/>
    </row>
    <row r="776" customFormat="false" ht="15.75" hidden="false" customHeight="true" outlineLevel="0" collapsed="false">
      <c r="A776" s="89"/>
      <c r="O776" s="90"/>
    </row>
    <row r="777" customFormat="false" ht="15.75" hidden="false" customHeight="true" outlineLevel="0" collapsed="false">
      <c r="A777" s="89"/>
      <c r="O777" s="90"/>
    </row>
    <row r="778" customFormat="false" ht="15.75" hidden="false" customHeight="true" outlineLevel="0" collapsed="false">
      <c r="A778" s="89"/>
      <c r="O778" s="90"/>
    </row>
    <row r="779" customFormat="false" ht="15.75" hidden="false" customHeight="true" outlineLevel="0" collapsed="false">
      <c r="A779" s="89"/>
      <c r="O779" s="90"/>
    </row>
    <row r="780" customFormat="false" ht="15.75" hidden="false" customHeight="true" outlineLevel="0" collapsed="false">
      <c r="A780" s="89"/>
      <c r="O780" s="90"/>
    </row>
    <row r="781" customFormat="false" ht="15.75" hidden="false" customHeight="true" outlineLevel="0" collapsed="false">
      <c r="A781" s="89"/>
      <c r="O781" s="90"/>
    </row>
    <row r="782" customFormat="false" ht="15.75" hidden="false" customHeight="true" outlineLevel="0" collapsed="false">
      <c r="A782" s="89"/>
      <c r="O782" s="90"/>
    </row>
    <row r="783" customFormat="false" ht="15.75" hidden="false" customHeight="true" outlineLevel="0" collapsed="false">
      <c r="A783" s="89"/>
      <c r="O783" s="90"/>
    </row>
    <row r="784" customFormat="false" ht="15.75" hidden="false" customHeight="true" outlineLevel="0" collapsed="false">
      <c r="A784" s="89"/>
      <c r="O784" s="90"/>
    </row>
    <row r="785" customFormat="false" ht="15.75" hidden="false" customHeight="true" outlineLevel="0" collapsed="false">
      <c r="A785" s="89"/>
      <c r="O785" s="90"/>
    </row>
    <row r="786" customFormat="false" ht="15.75" hidden="false" customHeight="true" outlineLevel="0" collapsed="false">
      <c r="A786" s="89"/>
      <c r="O786" s="90"/>
    </row>
    <row r="787" customFormat="false" ht="15.75" hidden="false" customHeight="true" outlineLevel="0" collapsed="false">
      <c r="A787" s="89"/>
      <c r="O787" s="90"/>
    </row>
    <row r="788" customFormat="false" ht="15.75" hidden="false" customHeight="true" outlineLevel="0" collapsed="false">
      <c r="A788" s="89"/>
      <c r="O788" s="90"/>
    </row>
    <row r="789" customFormat="false" ht="15.75" hidden="false" customHeight="true" outlineLevel="0" collapsed="false">
      <c r="A789" s="89"/>
      <c r="O789" s="90"/>
    </row>
    <row r="790" customFormat="false" ht="15.75" hidden="false" customHeight="true" outlineLevel="0" collapsed="false">
      <c r="A790" s="89"/>
      <c r="O790" s="90"/>
    </row>
    <row r="791" customFormat="false" ht="15.75" hidden="false" customHeight="true" outlineLevel="0" collapsed="false">
      <c r="A791" s="89"/>
      <c r="O791" s="90"/>
    </row>
    <row r="792" customFormat="false" ht="15.75" hidden="false" customHeight="true" outlineLevel="0" collapsed="false">
      <c r="A792" s="89"/>
      <c r="O792" s="90"/>
    </row>
    <row r="793" customFormat="false" ht="15.75" hidden="false" customHeight="true" outlineLevel="0" collapsed="false">
      <c r="A793" s="89"/>
      <c r="O793" s="90"/>
    </row>
    <row r="794" customFormat="false" ht="15.75" hidden="false" customHeight="true" outlineLevel="0" collapsed="false">
      <c r="A794" s="89"/>
      <c r="O794" s="90"/>
    </row>
    <row r="795" customFormat="false" ht="15.75" hidden="false" customHeight="true" outlineLevel="0" collapsed="false">
      <c r="A795" s="89"/>
      <c r="O795" s="90"/>
    </row>
    <row r="796" customFormat="false" ht="15.75" hidden="false" customHeight="true" outlineLevel="0" collapsed="false">
      <c r="A796" s="89"/>
      <c r="O796" s="90"/>
    </row>
    <row r="797" customFormat="false" ht="15.75" hidden="false" customHeight="true" outlineLevel="0" collapsed="false">
      <c r="A797" s="89"/>
      <c r="O797" s="90"/>
    </row>
    <row r="798" customFormat="false" ht="15.75" hidden="false" customHeight="true" outlineLevel="0" collapsed="false">
      <c r="A798" s="89"/>
      <c r="O798" s="90"/>
    </row>
    <row r="799" customFormat="false" ht="15.75" hidden="false" customHeight="true" outlineLevel="0" collapsed="false">
      <c r="A799" s="89"/>
      <c r="O799" s="90"/>
    </row>
    <row r="800" customFormat="false" ht="15.75" hidden="false" customHeight="true" outlineLevel="0" collapsed="false">
      <c r="A800" s="89"/>
      <c r="O800" s="90"/>
    </row>
    <row r="801" customFormat="false" ht="15.75" hidden="false" customHeight="true" outlineLevel="0" collapsed="false">
      <c r="A801" s="89"/>
      <c r="O801" s="90"/>
    </row>
    <row r="802" customFormat="false" ht="15.75" hidden="false" customHeight="true" outlineLevel="0" collapsed="false">
      <c r="A802" s="89"/>
      <c r="O802" s="90"/>
    </row>
    <row r="803" customFormat="false" ht="15.75" hidden="false" customHeight="true" outlineLevel="0" collapsed="false">
      <c r="A803" s="89"/>
      <c r="O803" s="90"/>
    </row>
    <row r="804" customFormat="false" ht="15.75" hidden="false" customHeight="true" outlineLevel="0" collapsed="false">
      <c r="A804" s="89"/>
      <c r="O804" s="90"/>
    </row>
    <row r="805" customFormat="false" ht="15.75" hidden="false" customHeight="true" outlineLevel="0" collapsed="false">
      <c r="A805" s="89"/>
      <c r="O805" s="90"/>
    </row>
    <row r="806" customFormat="false" ht="15.75" hidden="false" customHeight="true" outlineLevel="0" collapsed="false">
      <c r="A806" s="89"/>
      <c r="O806" s="90"/>
    </row>
    <row r="807" customFormat="false" ht="15.75" hidden="false" customHeight="true" outlineLevel="0" collapsed="false">
      <c r="A807" s="89"/>
      <c r="O807" s="90"/>
    </row>
    <row r="808" customFormat="false" ht="15.75" hidden="false" customHeight="true" outlineLevel="0" collapsed="false">
      <c r="A808" s="89"/>
      <c r="O808" s="90"/>
    </row>
    <row r="809" customFormat="false" ht="15.75" hidden="false" customHeight="true" outlineLevel="0" collapsed="false">
      <c r="A809" s="89"/>
      <c r="O809" s="90"/>
    </row>
    <row r="810" customFormat="false" ht="15.75" hidden="false" customHeight="true" outlineLevel="0" collapsed="false">
      <c r="A810" s="89"/>
      <c r="O810" s="90"/>
    </row>
    <row r="811" customFormat="false" ht="15.75" hidden="false" customHeight="true" outlineLevel="0" collapsed="false">
      <c r="A811" s="89"/>
      <c r="O811" s="90"/>
    </row>
    <row r="812" customFormat="false" ht="15.75" hidden="false" customHeight="true" outlineLevel="0" collapsed="false">
      <c r="A812" s="89"/>
      <c r="O812" s="90"/>
    </row>
    <row r="813" customFormat="false" ht="15.75" hidden="false" customHeight="true" outlineLevel="0" collapsed="false">
      <c r="A813" s="89"/>
      <c r="O813" s="90"/>
    </row>
    <row r="814" customFormat="false" ht="15.75" hidden="false" customHeight="true" outlineLevel="0" collapsed="false">
      <c r="A814" s="89"/>
      <c r="O814" s="90"/>
    </row>
    <row r="815" customFormat="false" ht="15.75" hidden="false" customHeight="true" outlineLevel="0" collapsed="false">
      <c r="A815" s="89"/>
      <c r="O815" s="90"/>
    </row>
    <row r="816" customFormat="false" ht="15.75" hidden="false" customHeight="true" outlineLevel="0" collapsed="false">
      <c r="A816" s="89"/>
      <c r="O816" s="90"/>
    </row>
    <row r="817" customFormat="false" ht="15.75" hidden="false" customHeight="true" outlineLevel="0" collapsed="false">
      <c r="A817" s="89"/>
      <c r="O817" s="90"/>
    </row>
    <row r="818" customFormat="false" ht="15.75" hidden="false" customHeight="true" outlineLevel="0" collapsed="false">
      <c r="A818" s="89"/>
      <c r="O818" s="90"/>
    </row>
    <row r="819" customFormat="false" ht="15.75" hidden="false" customHeight="true" outlineLevel="0" collapsed="false">
      <c r="A819" s="89"/>
      <c r="O819" s="90"/>
    </row>
    <row r="820" customFormat="false" ht="15.75" hidden="false" customHeight="true" outlineLevel="0" collapsed="false">
      <c r="A820" s="89"/>
      <c r="O820" s="90"/>
    </row>
    <row r="821" customFormat="false" ht="15.75" hidden="false" customHeight="true" outlineLevel="0" collapsed="false">
      <c r="A821" s="89"/>
      <c r="O821" s="90"/>
    </row>
    <row r="822" customFormat="false" ht="15.75" hidden="false" customHeight="true" outlineLevel="0" collapsed="false">
      <c r="A822" s="89"/>
      <c r="O822" s="90"/>
    </row>
    <row r="823" customFormat="false" ht="15.75" hidden="false" customHeight="true" outlineLevel="0" collapsed="false">
      <c r="A823" s="89"/>
      <c r="O823" s="90"/>
    </row>
    <row r="824" customFormat="false" ht="15.75" hidden="false" customHeight="true" outlineLevel="0" collapsed="false">
      <c r="A824" s="89"/>
      <c r="O824" s="90"/>
    </row>
    <row r="825" customFormat="false" ht="15.75" hidden="false" customHeight="true" outlineLevel="0" collapsed="false">
      <c r="A825" s="89"/>
      <c r="O825" s="90"/>
    </row>
    <row r="826" customFormat="false" ht="15.75" hidden="false" customHeight="true" outlineLevel="0" collapsed="false">
      <c r="A826" s="89"/>
      <c r="O826" s="90"/>
    </row>
    <row r="827" customFormat="false" ht="15.75" hidden="false" customHeight="true" outlineLevel="0" collapsed="false">
      <c r="A827" s="89"/>
      <c r="O827" s="90"/>
    </row>
    <row r="828" customFormat="false" ht="15.75" hidden="false" customHeight="true" outlineLevel="0" collapsed="false">
      <c r="A828" s="89"/>
      <c r="O828" s="90"/>
    </row>
    <row r="829" customFormat="false" ht="15.75" hidden="false" customHeight="true" outlineLevel="0" collapsed="false">
      <c r="A829" s="89"/>
      <c r="O829" s="90"/>
    </row>
    <row r="830" customFormat="false" ht="15.75" hidden="false" customHeight="true" outlineLevel="0" collapsed="false">
      <c r="A830" s="89"/>
      <c r="O830" s="90"/>
    </row>
    <row r="831" customFormat="false" ht="15.75" hidden="false" customHeight="true" outlineLevel="0" collapsed="false">
      <c r="A831" s="89"/>
      <c r="O831" s="90"/>
    </row>
    <row r="832" customFormat="false" ht="15.75" hidden="false" customHeight="true" outlineLevel="0" collapsed="false">
      <c r="A832" s="89"/>
      <c r="O832" s="90"/>
    </row>
    <row r="833" customFormat="false" ht="15.75" hidden="false" customHeight="true" outlineLevel="0" collapsed="false">
      <c r="A833" s="89"/>
      <c r="O833" s="90"/>
    </row>
    <row r="834" customFormat="false" ht="15.75" hidden="false" customHeight="true" outlineLevel="0" collapsed="false">
      <c r="A834" s="89"/>
      <c r="O834" s="90"/>
    </row>
    <row r="835" customFormat="false" ht="15.75" hidden="false" customHeight="true" outlineLevel="0" collapsed="false">
      <c r="A835" s="89"/>
      <c r="O835" s="90"/>
    </row>
    <row r="836" customFormat="false" ht="15.75" hidden="false" customHeight="true" outlineLevel="0" collapsed="false">
      <c r="A836" s="89"/>
      <c r="O836" s="90"/>
    </row>
    <row r="837" customFormat="false" ht="15.75" hidden="false" customHeight="true" outlineLevel="0" collapsed="false">
      <c r="A837" s="89"/>
      <c r="O837" s="90"/>
    </row>
    <row r="838" customFormat="false" ht="15.75" hidden="false" customHeight="true" outlineLevel="0" collapsed="false">
      <c r="A838" s="89"/>
      <c r="O838" s="90"/>
    </row>
    <row r="839" customFormat="false" ht="15.75" hidden="false" customHeight="true" outlineLevel="0" collapsed="false">
      <c r="A839" s="89"/>
      <c r="O839" s="90"/>
    </row>
    <row r="840" customFormat="false" ht="15.75" hidden="false" customHeight="true" outlineLevel="0" collapsed="false">
      <c r="A840" s="89"/>
      <c r="O840" s="90"/>
    </row>
    <row r="841" customFormat="false" ht="15.75" hidden="false" customHeight="true" outlineLevel="0" collapsed="false">
      <c r="A841" s="89"/>
      <c r="O841" s="90"/>
    </row>
    <row r="842" customFormat="false" ht="15.75" hidden="false" customHeight="true" outlineLevel="0" collapsed="false">
      <c r="A842" s="89"/>
      <c r="O842" s="90"/>
    </row>
    <row r="843" customFormat="false" ht="15.75" hidden="false" customHeight="true" outlineLevel="0" collapsed="false">
      <c r="A843" s="89"/>
      <c r="O843" s="90"/>
    </row>
    <row r="844" customFormat="false" ht="15.75" hidden="false" customHeight="true" outlineLevel="0" collapsed="false">
      <c r="A844" s="89"/>
      <c r="O844" s="90"/>
    </row>
    <row r="845" customFormat="false" ht="15.75" hidden="false" customHeight="true" outlineLevel="0" collapsed="false">
      <c r="A845" s="89"/>
      <c r="O845" s="90"/>
    </row>
    <row r="846" customFormat="false" ht="15.75" hidden="false" customHeight="true" outlineLevel="0" collapsed="false">
      <c r="A846" s="89"/>
      <c r="O846" s="90"/>
    </row>
    <row r="847" customFormat="false" ht="15.75" hidden="false" customHeight="true" outlineLevel="0" collapsed="false">
      <c r="A847" s="89"/>
      <c r="O847" s="90"/>
    </row>
    <row r="848" customFormat="false" ht="15.75" hidden="false" customHeight="true" outlineLevel="0" collapsed="false">
      <c r="A848" s="89"/>
      <c r="O848" s="90"/>
    </row>
    <row r="849" customFormat="false" ht="15.75" hidden="false" customHeight="true" outlineLevel="0" collapsed="false">
      <c r="A849" s="89"/>
      <c r="O849" s="90"/>
    </row>
    <row r="850" customFormat="false" ht="15.75" hidden="false" customHeight="true" outlineLevel="0" collapsed="false">
      <c r="A850" s="89"/>
      <c r="O850" s="90"/>
    </row>
    <row r="851" customFormat="false" ht="15.75" hidden="false" customHeight="true" outlineLevel="0" collapsed="false">
      <c r="A851" s="89"/>
      <c r="O851" s="90"/>
    </row>
    <row r="852" customFormat="false" ht="15.75" hidden="false" customHeight="true" outlineLevel="0" collapsed="false">
      <c r="A852" s="89"/>
      <c r="O852" s="90"/>
    </row>
    <row r="853" customFormat="false" ht="15.75" hidden="false" customHeight="true" outlineLevel="0" collapsed="false">
      <c r="A853" s="89"/>
      <c r="O853" s="90"/>
    </row>
    <row r="854" customFormat="false" ht="15.75" hidden="false" customHeight="true" outlineLevel="0" collapsed="false">
      <c r="A854" s="89"/>
      <c r="O854" s="90"/>
    </row>
    <row r="855" customFormat="false" ht="15.75" hidden="false" customHeight="true" outlineLevel="0" collapsed="false">
      <c r="A855" s="89"/>
      <c r="O855" s="90"/>
    </row>
    <row r="856" customFormat="false" ht="15.75" hidden="false" customHeight="true" outlineLevel="0" collapsed="false">
      <c r="A856" s="89"/>
      <c r="O856" s="90"/>
    </row>
    <row r="857" customFormat="false" ht="15.75" hidden="false" customHeight="true" outlineLevel="0" collapsed="false">
      <c r="A857" s="89"/>
      <c r="O857" s="90"/>
    </row>
    <row r="858" customFormat="false" ht="15.75" hidden="false" customHeight="true" outlineLevel="0" collapsed="false">
      <c r="A858" s="89"/>
      <c r="O858" s="90"/>
    </row>
    <row r="859" customFormat="false" ht="15.75" hidden="false" customHeight="true" outlineLevel="0" collapsed="false">
      <c r="A859" s="89"/>
      <c r="O859" s="90"/>
    </row>
    <row r="860" customFormat="false" ht="15.75" hidden="false" customHeight="true" outlineLevel="0" collapsed="false">
      <c r="A860" s="89"/>
      <c r="O860" s="90"/>
    </row>
    <row r="861" customFormat="false" ht="15.75" hidden="false" customHeight="true" outlineLevel="0" collapsed="false">
      <c r="A861" s="89"/>
      <c r="O861" s="90"/>
    </row>
    <row r="862" customFormat="false" ht="15.75" hidden="false" customHeight="true" outlineLevel="0" collapsed="false">
      <c r="A862" s="89"/>
      <c r="O862" s="90"/>
    </row>
    <row r="863" customFormat="false" ht="15.75" hidden="false" customHeight="true" outlineLevel="0" collapsed="false">
      <c r="A863" s="89"/>
      <c r="O863" s="90"/>
    </row>
    <row r="864" customFormat="false" ht="15.75" hidden="false" customHeight="true" outlineLevel="0" collapsed="false">
      <c r="A864" s="89"/>
      <c r="O864" s="90"/>
    </row>
    <row r="865" customFormat="false" ht="15.75" hidden="false" customHeight="true" outlineLevel="0" collapsed="false">
      <c r="A865" s="89"/>
      <c r="O865" s="90"/>
    </row>
    <row r="866" customFormat="false" ht="15.75" hidden="false" customHeight="true" outlineLevel="0" collapsed="false">
      <c r="A866" s="89"/>
      <c r="O866" s="90"/>
    </row>
    <row r="867" customFormat="false" ht="15.75" hidden="false" customHeight="true" outlineLevel="0" collapsed="false">
      <c r="A867" s="89"/>
      <c r="O867" s="90"/>
    </row>
    <row r="868" customFormat="false" ht="15.75" hidden="false" customHeight="true" outlineLevel="0" collapsed="false">
      <c r="A868" s="89"/>
      <c r="O868" s="90"/>
    </row>
    <row r="869" customFormat="false" ht="15.75" hidden="false" customHeight="true" outlineLevel="0" collapsed="false">
      <c r="A869" s="89"/>
      <c r="O869" s="90"/>
    </row>
    <row r="870" customFormat="false" ht="15.75" hidden="false" customHeight="true" outlineLevel="0" collapsed="false">
      <c r="A870" s="89"/>
      <c r="O870" s="90"/>
    </row>
    <row r="871" customFormat="false" ht="15.75" hidden="false" customHeight="true" outlineLevel="0" collapsed="false">
      <c r="A871" s="89"/>
      <c r="O871" s="90"/>
    </row>
    <row r="872" customFormat="false" ht="15.75" hidden="false" customHeight="true" outlineLevel="0" collapsed="false">
      <c r="A872" s="89"/>
      <c r="O872" s="90"/>
    </row>
    <row r="873" customFormat="false" ht="15.75" hidden="false" customHeight="true" outlineLevel="0" collapsed="false">
      <c r="A873" s="89"/>
      <c r="O873" s="90"/>
    </row>
    <row r="874" customFormat="false" ht="15.75" hidden="false" customHeight="true" outlineLevel="0" collapsed="false">
      <c r="A874" s="89"/>
      <c r="O874" s="90"/>
    </row>
    <row r="875" customFormat="false" ht="15.75" hidden="false" customHeight="true" outlineLevel="0" collapsed="false">
      <c r="A875" s="89"/>
      <c r="O875" s="90"/>
    </row>
    <row r="876" customFormat="false" ht="15.75" hidden="false" customHeight="true" outlineLevel="0" collapsed="false">
      <c r="A876" s="89"/>
      <c r="O876" s="90"/>
    </row>
    <row r="877" customFormat="false" ht="15.75" hidden="false" customHeight="true" outlineLevel="0" collapsed="false">
      <c r="A877" s="89"/>
      <c r="O877" s="90"/>
    </row>
    <row r="878" customFormat="false" ht="15.75" hidden="false" customHeight="true" outlineLevel="0" collapsed="false">
      <c r="A878" s="89"/>
      <c r="O878" s="90"/>
    </row>
    <row r="879" customFormat="false" ht="15.75" hidden="false" customHeight="true" outlineLevel="0" collapsed="false">
      <c r="A879" s="89"/>
      <c r="O879" s="90"/>
    </row>
    <row r="880" customFormat="false" ht="15.75" hidden="false" customHeight="true" outlineLevel="0" collapsed="false">
      <c r="A880" s="89"/>
      <c r="O880" s="90"/>
    </row>
    <row r="881" customFormat="false" ht="15.75" hidden="false" customHeight="true" outlineLevel="0" collapsed="false">
      <c r="A881" s="89"/>
      <c r="O881" s="90"/>
    </row>
    <row r="882" customFormat="false" ht="15.75" hidden="false" customHeight="true" outlineLevel="0" collapsed="false">
      <c r="A882" s="89"/>
      <c r="O882" s="90"/>
    </row>
    <row r="883" customFormat="false" ht="15.75" hidden="false" customHeight="true" outlineLevel="0" collapsed="false">
      <c r="A883" s="89"/>
      <c r="O883" s="90"/>
    </row>
    <row r="884" customFormat="false" ht="15.75" hidden="false" customHeight="true" outlineLevel="0" collapsed="false">
      <c r="A884" s="89"/>
      <c r="O884" s="90"/>
    </row>
    <row r="885" customFormat="false" ht="15.75" hidden="false" customHeight="true" outlineLevel="0" collapsed="false">
      <c r="A885" s="89"/>
      <c r="O885" s="90"/>
    </row>
    <row r="886" customFormat="false" ht="15.75" hidden="false" customHeight="true" outlineLevel="0" collapsed="false">
      <c r="A886" s="89"/>
      <c r="O886" s="90"/>
    </row>
    <row r="887" customFormat="false" ht="15.75" hidden="false" customHeight="true" outlineLevel="0" collapsed="false">
      <c r="A887" s="89"/>
      <c r="O887" s="90"/>
    </row>
    <row r="888" customFormat="false" ht="15.75" hidden="false" customHeight="true" outlineLevel="0" collapsed="false">
      <c r="A888" s="89"/>
      <c r="O888" s="90"/>
    </row>
    <row r="889" customFormat="false" ht="15.75" hidden="false" customHeight="true" outlineLevel="0" collapsed="false">
      <c r="A889" s="89"/>
      <c r="O889" s="90"/>
    </row>
    <row r="890" customFormat="false" ht="15.75" hidden="false" customHeight="true" outlineLevel="0" collapsed="false">
      <c r="A890" s="89"/>
      <c r="O890" s="90"/>
    </row>
    <row r="891" customFormat="false" ht="15.75" hidden="false" customHeight="true" outlineLevel="0" collapsed="false">
      <c r="A891" s="89"/>
      <c r="O891" s="90"/>
    </row>
    <row r="892" customFormat="false" ht="15.75" hidden="false" customHeight="true" outlineLevel="0" collapsed="false">
      <c r="A892" s="89"/>
      <c r="O892" s="90"/>
    </row>
    <row r="893" customFormat="false" ht="15.75" hidden="false" customHeight="true" outlineLevel="0" collapsed="false">
      <c r="A893" s="89"/>
      <c r="O893" s="90"/>
    </row>
    <row r="894" customFormat="false" ht="15.75" hidden="false" customHeight="true" outlineLevel="0" collapsed="false">
      <c r="A894" s="89"/>
      <c r="O894" s="90"/>
    </row>
    <row r="895" customFormat="false" ht="15.75" hidden="false" customHeight="true" outlineLevel="0" collapsed="false">
      <c r="A895" s="89"/>
      <c r="O895" s="90"/>
    </row>
    <row r="896" customFormat="false" ht="15.75" hidden="false" customHeight="true" outlineLevel="0" collapsed="false">
      <c r="A896" s="89"/>
      <c r="O896" s="90"/>
    </row>
    <row r="897" customFormat="false" ht="15.75" hidden="false" customHeight="true" outlineLevel="0" collapsed="false">
      <c r="A897" s="89"/>
      <c r="O897" s="90"/>
    </row>
    <row r="898" customFormat="false" ht="15.75" hidden="false" customHeight="true" outlineLevel="0" collapsed="false">
      <c r="A898" s="89"/>
      <c r="O898" s="90"/>
    </row>
    <row r="899" customFormat="false" ht="15.75" hidden="false" customHeight="true" outlineLevel="0" collapsed="false">
      <c r="A899" s="89"/>
      <c r="O899" s="90"/>
    </row>
    <row r="900" customFormat="false" ht="15.75" hidden="false" customHeight="true" outlineLevel="0" collapsed="false">
      <c r="A900" s="89"/>
      <c r="O900" s="90"/>
    </row>
    <row r="901" customFormat="false" ht="15.75" hidden="false" customHeight="true" outlineLevel="0" collapsed="false">
      <c r="A901" s="89"/>
      <c r="O901" s="90"/>
    </row>
    <row r="902" customFormat="false" ht="15.75" hidden="false" customHeight="true" outlineLevel="0" collapsed="false">
      <c r="A902" s="89"/>
      <c r="O902" s="90"/>
    </row>
    <row r="903" customFormat="false" ht="15.75" hidden="false" customHeight="true" outlineLevel="0" collapsed="false">
      <c r="A903" s="89"/>
      <c r="O903" s="90"/>
    </row>
    <row r="904" customFormat="false" ht="15.75" hidden="false" customHeight="true" outlineLevel="0" collapsed="false">
      <c r="A904" s="89"/>
      <c r="O904" s="90"/>
    </row>
    <row r="905" customFormat="false" ht="15.75" hidden="false" customHeight="true" outlineLevel="0" collapsed="false">
      <c r="A905" s="89"/>
      <c r="O905" s="90"/>
    </row>
    <row r="906" customFormat="false" ht="15.75" hidden="false" customHeight="true" outlineLevel="0" collapsed="false">
      <c r="A906" s="89"/>
      <c r="O906" s="90"/>
    </row>
    <row r="907" customFormat="false" ht="15.75" hidden="false" customHeight="true" outlineLevel="0" collapsed="false">
      <c r="A907" s="89"/>
      <c r="O907" s="90"/>
    </row>
    <row r="908" customFormat="false" ht="15.75" hidden="false" customHeight="true" outlineLevel="0" collapsed="false">
      <c r="A908" s="89"/>
      <c r="O908" s="90"/>
    </row>
    <row r="909" customFormat="false" ht="15.75" hidden="false" customHeight="true" outlineLevel="0" collapsed="false">
      <c r="A909" s="89"/>
      <c r="O909" s="90"/>
    </row>
    <row r="910" customFormat="false" ht="15.75" hidden="false" customHeight="true" outlineLevel="0" collapsed="false">
      <c r="A910" s="89"/>
      <c r="O910" s="90"/>
    </row>
    <row r="911" customFormat="false" ht="15.75" hidden="false" customHeight="true" outlineLevel="0" collapsed="false">
      <c r="A911" s="89"/>
      <c r="O911" s="90"/>
    </row>
    <row r="912" customFormat="false" ht="15.75" hidden="false" customHeight="true" outlineLevel="0" collapsed="false">
      <c r="A912" s="89"/>
      <c r="O912" s="90"/>
    </row>
    <row r="913" customFormat="false" ht="15.75" hidden="false" customHeight="true" outlineLevel="0" collapsed="false">
      <c r="A913" s="89"/>
      <c r="O913" s="90"/>
    </row>
    <row r="914" customFormat="false" ht="15.75" hidden="false" customHeight="true" outlineLevel="0" collapsed="false">
      <c r="A914" s="89"/>
      <c r="O914" s="90"/>
    </row>
    <row r="915" customFormat="false" ht="15.75" hidden="false" customHeight="true" outlineLevel="0" collapsed="false">
      <c r="A915" s="89"/>
      <c r="O915" s="90"/>
    </row>
    <row r="916" customFormat="false" ht="15.75" hidden="false" customHeight="true" outlineLevel="0" collapsed="false">
      <c r="A916" s="89"/>
      <c r="O916" s="90"/>
    </row>
    <row r="917" customFormat="false" ht="15.75" hidden="false" customHeight="true" outlineLevel="0" collapsed="false">
      <c r="A917" s="89"/>
      <c r="O917" s="90"/>
    </row>
    <row r="918" customFormat="false" ht="15.75" hidden="false" customHeight="true" outlineLevel="0" collapsed="false">
      <c r="A918" s="89"/>
      <c r="O918" s="90"/>
    </row>
    <row r="919" customFormat="false" ht="15.75" hidden="false" customHeight="true" outlineLevel="0" collapsed="false">
      <c r="A919" s="89"/>
      <c r="O919" s="90"/>
    </row>
    <row r="920" customFormat="false" ht="15.75" hidden="false" customHeight="true" outlineLevel="0" collapsed="false">
      <c r="A920" s="89"/>
      <c r="O920" s="90"/>
    </row>
    <row r="921" customFormat="false" ht="15.75" hidden="false" customHeight="true" outlineLevel="0" collapsed="false">
      <c r="A921" s="89"/>
      <c r="O921" s="90"/>
    </row>
    <row r="922" customFormat="false" ht="15.75" hidden="false" customHeight="true" outlineLevel="0" collapsed="false">
      <c r="A922" s="89"/>
      <c r="O922" s="90"/>
    </row>
    <row r="923" customFormat="false" ht="15.75" hidden="false" customHeight="true" outlineLevel="0" collapsed="false">
      <c r="A923" s="89"/>
      <c r="O923" s="90"/>
    </row>
    <row r="924" customFormat="false" ht="15.75" hidden="false" customHeight="true" outlineLevel="0" collapsed="false">
      <c r="A924" s="89"/>
      <c r="O924" s="90"/>
    </row>
    <row r="925" customFormat="false" ht="15.75" hidden="false" customHeight="true" outlineLevel="0" collapsed="false">
      <c r="A925" s="89"/>
      <c r="O925" s="90"/>
    </row>
    <row r="926" customFormat="false" ht="15.75" hidden="false" customHeight="true" outlineLevel="0" collapsed="false">
      <c r="A926" s="89"/>
      <c r="O926" s="90"/>
    </row>
    <row r="927" customFormat="false" ht="15.75" hidden="false" customHeight="true" outlineLevel="0" collapsed="false">
      <c r="A927" s="89"/>
      <c r="O927" s="90"/>
    </row>
    <row r="928" customFormat="false" ht="15.75" hidden="false" customHeight="true" outlineLevel="0" collapsed="false">
      <c r="A928" s="89"/>
      <c r="O928" s="90"/>
    </row>
    <row r="929" customFormat="false" ht="15.75" hidden="false" customHeight="true" outlineLevel="0" collapsed="false">
      <c r="A929" s="89"/>
      <c r="O929" s="90"/>
    </row>
    <row r="930" customFormat="false" ht="15.75" hidden="false" customHeight="true" outlineLevel="0" collapsed="false">
      <c r="A930" s="89"/>
      <c r="O930" s="90"/>
    </row>
    <row r="931" customFormat="false" ht="15.75" hidden="false" customHeight="true" outlineLevel="0" collapsed="false">
      <c r="A931" s="89"/>
      <c r="O931" s="90"/>
    </row>
    <row r="932" customFormat="false" ht="15.75" hidden="false" customHeight="true" outlineLevel="0" collapsed="false">
      <c r="A932" s="89"/>
      <c r="O932" s="90"/>
    </row>
    <row r="933" customFormat="false" ht="15.75" hidden="false" customHeight="true" outlineLevel="0" collapsed="false">
      <c r="A933" s="89"/>
      <c r="O933" s="90"/>
    </row>
    <row r="934" customFormat="false" ht="15.75" hidden="false" customHeight="true" outlineLevel="0" collapsed="false">
      <c r="A934" s="89"/>
      <c r="O934" s="90"/>
    </row>
    <row r="935" customFormat="false" ht="15.75" hidden="false" customHeight="true" outlineLevel="0" collapsed="false">
      <c r="A935" s="89"/>
      <c r="O935" s="90"/>
    </row>
    <row r="936" customFormat="false" ht="15.75" hidden="false" customHeight="true" outlineLevel="0" collapsed="false">
      <c r="A936" s="89"/>
      <c r="O936" s="90"/>
    </row>
    <row r="937" customFormat="false" ht="15.75" hidden="false" customHeight="true" outlineLevel="0" collapsed="false">
      <c r="A937" s="89"/>
      <c r="O937" s="90"/>
    </row>
    <row r="938" customFormat="false" ht="15.75" hidden="false" customHeight="true" outlineLevel="0" collapsed="false">
      <c r="A938" s="89"/>
      <c r="O938" s="90"/>
    </row>
    <row r="939" customFormat="false" ht="15.75" hidden="false" customHeight="true" outlineLevel="0" collapsed="false">
      <c r="A939" s="89"/>
      <c r="O939" s="90"/>
    </row>
    <row r="940" customFormat="false" ht="15.75" hidden="false" customHeight="true" outlineLevel="0" collapsed="false">
      <c r="A940" s="89"/>
      <c r="O940" s="90"/>
    </row>
    <row r="941" customFormat="false" ht="15.75" hidden="false" customHeight="true" outlineLevel="0" collapsed="false">
      <c r="A941" s="89"/>
      <c r="O941" s="90"/>
    </row>
    <row r="942" customFormat="false" ht="15.75" hidden="false" customHeight="true" outlineLevel="0" collapsed="false">
      <c r="A942" s="89"/>
      <c r="O942" s="90"/>
    </row>
    <row r="943" customFormat="false" ht="15.75" hidden="false" customHeight="true" outlineLevel="0" collapsed="false">
      <c r="A943" s="89"/>
      <c r="O943" s="90"/>
    </row>
    <row r="944" customFormat="false" ht="15.75" hidden="false" customHeight="true" outlineLevel="0" collapsed="false">
      <c r="A944" s="89"/>
      <c r="O944" s="90"/>
    </row>
    <row r="945" customFormat="false" ht="15.75" hidden="false" customHeight="true" outlineLevel="0" collapsed="false">
      <c r="A945" s="89"/>
      <c r="O945" s="90"/>
    </row>
    <row r="946" customFormat="false" ht="15.75" hidden="false" customHeight="true" outlineLevel="0" collapsed="false">
      <c r="A946" s="89"/>
      <c r="O946" s="90"/>
    </row>
    <row r="947" customFormat="false" ht="15.75" hidden="false" customHeight="true" outlineLevel="0" collapsed="false">
      <c r="A947" s="89"/>
      <c r="O947" s="90"/>
    </row>
    <row r="948" customFormat="false" ht="15.75" hidden="false" customHeight="true" outlineLevel="0" collapsed="false">
      <c r="A948" s="89"/>
      <c r="O948" s="90"/>
    </row>
    <row r="949" customFormat="false" ht="15.75" hidden="false" customHeight="true" outlineLevel="0" collapsed="false">
      <c r="A949" s="89"/>
      <c r="O949" s="90"/>
    </row>
    <row r="950" customFormat="false" ht="15.75" hidden="false" customHeight="true" outlineLevel="0" collapsed="false">
      <c r="A950" s="89"/>
      <c r="O950" s="90"/>
    </row>
    <row r="951" customFormat="false" ht="15.75" hidden="false" customHeight="true" outlineLevel="0" collapsed="false">
      <c r="A951" s="89"/>
      <c r="O951" s="90"/>
    </row>
    <row r="952" customFormat="false" ht="15.75" hidden="false" customHeight="true" outlineLevel="0" collapsed="false">
      <c r="A952" s="89"/>
      <c r="O952" s="90"/>
    </row>
    <row r="953" customFormat="false" ht="15.75" hidden="false" customHeight="true" outlineLevel="0" collapsed="false">
      <c r="A953" s="89"/>
      <c r="O953" s="90"/>
    </row>
    <row r="954" customFormat="false" ht="15.75" hidden="false" customHeight="true" outlineLevel="0" collapsed="false">
      <c r="A954" s="89"/>
      <c r="O954" s="90"/>
    </row>
    <row r="955" customFormat="false" ht="15.75" hidden="false" customHeight="true" outlineLevel="0" collapsed="false">
      <c r="A955" s="89"/>
      <c r="O955" s="90"/>
    </row>
    <row r="956" customFormat="false" ht="15.75" hidden="false" customHeight="true" outlineLevel="0" collapsed="false">
      <c r="A956" s="89"/>
      <c r="O956" s="90"/>
    </row>
    <row r="957" customFormat="false" ht="15.75" hidden="false" customHeight="true" outlineLevel="0" collapsed="false">
      <c r="A957" s="89"/>
      <c r="O957" s="90"/>
    </row>
    <row r="958" customFormat="false" ht="15.75" hidden="false" customHeight="true" outlineLevel="0" collapsed="false">
      <c r="A958" s="89"/>
      <c r="O958" s="90"/>
    </row>
    <row r="959" customFormat="false" ht="15.75" hidden="false" customHeight="true" outlineLevel="0" collapsed="false">
      <c r="A959" s="89"/>
      <c r="O959" s="90"/>
    </row>
    <row r="960" customFormat="false" ht="15.75" hidden="false" customHeight="true" outlineLevel="0" collapsed="false">
      <c r="A960" s="89"/>
      <c r="O960" s="90"/>
    </row>
    <row r="961" customFormat="false" ht="15.75" hidden="false" customHeight="true" outlineLevel="0" collapsed="false">
      <c r="A961" s="89"/>
      <c r="O961" s="90"/>
    </row>
    <row r="962" customFormat="false" ht="15.75" hidden="false" customHeight="true" outlineLevel="0" collapsed="false">
      <c r="A962" s="89"/>
      <c r="O962" s="90"/>
    </row>
    <row r="963" customFormat="false" ht="15.75" hidden="false" customHeight="true" outlineLevel="0" collapsed="false">
      <c r="A963" s="89"/>
      <c r="O963" s="90"/>
    </row>
    <row r="964" customFormat="false" ht="15.75" hidden="false" customHeight="true" outlineLevel="0" collapsed="false">
      <c r="A964" s="89"/>
      <c r="O964" s="90"/>
    </row>
    <row r="965" customFormat="false" ht="15.75" hidden="false" customHeight="true" outlineLevel="0" collapsed="false">
      <c r="A965" s="89"/>
      <c r="O965" s="90"/>
    </row>
    <row r="966" customFormat="false" ht="15.75" hidden="false" customHeight="true" outlineLevel="0" collapsed="false">
      <c r="A966" s="89"/>
      <c r="O966" s="90"/>
    </row>
    <row r="967" customFormat="false" ht="15.75" hidden="false" customHeight="true" outlineLevel="0" collapsed="false">
      <c r="A967" s="89"/>
      <c r="O967" s="90"/>
    </row>
    <row r="968" customFormat="false" ht="15.75" hidden="false" customHeight="true" outlineLevel="0" collapsed="false">
      <c r="A968" s="89"/>
      <c r="O968" s="90"/>
    </row>
    <row r="969" customFormat="false" ht="15.75" hidden="false" customHeight="true" outlineLevel="0" collapsed="false">
      <c r="A969" s="89"/>
      <c r="O969" s="90"/>
    </row>
    <row r="970" customFormat="false" ht="15.75" hidden="false" customHeight="true" outlineLevel="0" collapsed="false">
      <c r="A970" s="89"/>
      <c r="O970" s="90"/>
    </row>
    <row r="971" customFormat="false" ht="15.75" hidden="false" customHeight="true" outlineLevel="0" collapsed="false">
      <c r="A971" s="89"/>
      <c r="O971" s="90"/>
    </row>
    <row r="972" customFormat="false" ht="15.75" hidden="false" customHeight="true" outlineLevel="0" collapsed="false">
      <c r="A972" s="89"/>
      <c r="O972" s="90"/>
    </row>
    <row r="973" customFormat="false" ht="15.75" hidden="false" customHeight="true" outlineLevel="0" collapsed="false">
      <c r="A973" s="89"/>
      <c r="O973" s="90"/>
    </row>
    <row r="974" customFormat="false" ht="15.75" hidden="false" customHeight="true" outlineLevel="0" collapsed="false">
      <c r="A974" s="89"/>
      <c r="O974" s="90"/>
    </row>
    <row r="975" customFormat="false" ht="15.75" hidden="false" customHeight="true" outlineLevel="0" collapsed="false">
      <c r="A975" s="89"/>
      <c r="O975" s="90"/>
    </row>
    <row r="976" customFormat="false" ht="15.75" hidden="false" customHeight="true" outlineLevel="0" collapsed="false">
      <c r="A976" s="89"/>
      <c r="O976" s="90"/>
    </row>
    <row r="977" customFormat="false" ht="15.75" hidden="false" customHeight="true" outlineLevel="0" collapsed="false">
      <c r="A977" s="89"/>
      <c r="O977" s="90"/>
    </row>
    <row r="978" customFormat="false" ht="15.75" hidden="false" customHeight="true" outlineLevel="0" collapsed="false">
      <c r="A978" s="89"/>
      <c r="O978" s="90"/>
    </row>
    <row r="979" customFormat="false" ht="15.75" hidden="false" customHeight="true" outlineLevel="0" collapsed="false">
      <c r="A979" s="89"/>
      <c r="O979" s="90"/>
    </row>
    <row r="980" customFormat="false" ht="15.75" hidden="false" customHeight="true" outlineLevel="0" collapsed="false">
      <c r="A980" s="89"/>
      <c r="O980" s="90"/>
    </row>
    <row r="981" customFormat="false" ht="15.75" hidden="false" customHeight="true" outlineLevel="0" collapsed="false">
      <c r="A981" s="89"/>
      <c r="O981" s="90"/>
    </row>
    <row r="982" customFormat="false" ht="15.75" hidden="false" customHeight="true" outlineLevel="0" collapsed="false">
      <c r="A982" s="89"/>
      <c r="O982" s="90"/>
    </row>
    <row r="983" customFormat="false" ht="15.75" hidden="false" customHeight="true" outlineLevel="0" collapsed="false">
      <c r="A983" s="89"/>
      <c r="O983" s="90"/>
    </row>
    <row r="984" customFormat="false" ht="15.75" hidden="false" customHeight="true" outlineLevel="0" collapsed="false">
      <c r="A984" s="89"/>
      <c r="O984" s="90"/>
    </row>
    <row r="985" customFormat="false" ht="15.75" hidden="false" customHeight="true" outlineLevel="0" collapsed="false">
      <c r="A985" s="89"/>
      <c r="O985" s="90"/>
    </row>
    <row r="986" customFormat="false" ht="15.75" hidden="false" customHeight="true" outlineLevel="0" collapsed="false">
      <c r="A986" s="89"/>
      <c r="O986" s="90"/>
    </row>
    <row r="987" customFormat="false" ht="15.75" hidden="false" customHeight="true" outlineLevel="0" collapsed="false">
      <c r="A987" s="89"/>
      <c r="O987" s="90"/>
    </row>
    <row r="988" customFormat="false" ht="15.75" hidden="false" customHeight="true" outlineLevel="0" collapsed="false">
      <c r="A988" s="89"/>
      <c r="O988" s="90"/>
    </row>
    <row r="989" customFormat="false" ht="15.75" hidden="false" customHeight="true" outlineLevel="0" collapsed="false">
      <c r="A989" s="89"/>
      <c r="O989" s="90"/>
    </row>
    <row r="990" customFormat="false" ht="15.75" hidden="false" customHeight="true" outlineLevel="0" collapsed="false">
      <c r="A990" s="89"/>
      <c r="O990" s="90"/>
    </row>
    <row r="991" customFormat="false" ht="15.75" hidden="false" customHeight="true" outlineLevel="0" collapsed="false">
      <c r="A991" s="89"/>
      <c r="O991" s="90"/>
    </row>
    <row r="992" customFormat="false" ht="15.75" hidden="false" customHeight="true" outlineLevel="0" collapsed="false">
      <c r="A992" s="89"/>
      <c r="O992" s="90"/>
    </row>
    <row r="993" customFormat="false" ht="15.75" hidden="false" customHeight="true" outlineLevel="0" collapsed="false">
      <c r="A993" s="89"/>
      <c r="O993" s="90"/>
    </row>
    <row r="994" customFormat="false" ht="15.75" hidden="false" customHeight="true" outlineLevel="0" collapsed="false">
      <c r="A994" s="89"/>
      <c r="O994" s="90"/>
    </row>
    <row r="995" customFormat="false" ht="15.75" hidden="false" customHeight="true" outlineLevel="0" collapsed="false">
      <c r="A995" s="89"/>
      <c r="O995" s="90"/>
    </row>
    <row r="996" customFormat="false" ht="15.75" hidden="false" customHeight="true" outlineLevel="0" collapsed="false">
      <c r="A996" s="89"/>
      <c r="O996" s="90"/>
    </row>
    <row r="997" customFormat="false" ht="15.75" hidden="false" customHeight="true" outlineLevel="0" collapsed="false">
      <c r="A997" s="89"/>
      <c r="O997" s="90"/>
    </row>
    <row r="998" customFormat="false" ht="15.75" hidden="false" customHeight="true" outlineLevel="0" collapsed="false">
      <c r="A998" s="89"/>
      <c r="O998" s="90"/>
    </row>
    <row r="999" customFormat="false" ht="15.75" hidden="false" customHeight="true" outlineLevel="0" collapsed="false">
      <c r="A999" s="89"/>
      <c r="O999" s="90"/>
    </row>
    <row r="1000" customFormat="false" ht="15.75" hidden="false" customHeight="true" outlineLevel="0" collapsed="false">
      <c r="A1000" s="89"/>
      <c r="O1000" s="90"/>
    </row>
  </sheetData>
  <mergeCells count="1">
    <mergeCell ref="A1:A16"/>
  </mergeCells>
  <conditionalFormatting sqref="F2:O16">
    <cfRule type="cellIs" priority="2" operator="equal" aboveAverage="0" equalAverage="0" bottom="0" percent="0" rank="0" text="" dxfId="12">
      <formula>"A"</formula>
    </cfRule>
    <cfRule type="cellIs" priority="3" operator="equal" aboveAverage="0" equalAverage="0" bottom="0" percent="0" rank="0" text="" dxfId="15">
      <formula>"P"</formula>
    </cfRule>
  </conditionalFormatting>
  <conditionalFormatting sqref="U2:U1000 R1:R16">
    <cfRule type="colorScale" priority="4">
      <colorScale>
        <cfvo type="percent" val="0"/>
        <cfvo type="percent" val="50"/>
        <cfvo type="percent" val="100"/>
        <color rgb="FFCC0000"/>
        <color rgb="FFFFF2CC"/>
        <color rgb="FF57BB8A"/>
      </colorScale>
    </cfRule>
  </conditionalFormatting>
  <conditionalFormatting sqref="S2:U15">
    <cfRule type="expression" priority="5" aboveAverage="0" equalAverage="0" bottom="0" percent="0" rank="0" text="" dxfId="12">
      <formula>$I2:$I27="Fail"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84</TotalTime>
  <Application>LibreOffice/24.8.5.2$Windows_X86_64 LibreOffice_project/fddf2685c70b461e7832239a0162a77216259f22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en-GB</dc:language>
  <cp:lastModifiedBy/>
  <dcterms:modified xsi:type="dcterms:W3CDTF">2025-03-12T13:51:35Z</dcterms:modified>
  <cp:revision>5</cp:revision>
  <dc:subject/>
  <dc:title/>
</cp:coreProperties>
</file>